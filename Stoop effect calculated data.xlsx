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prishajain/Desktop/"/>
    </mc:Choice>
  </mc:AlternateContent>
  <xr:revisionPtr revIDLastSave="0" documentId="8_{C3C5CCA8-9435-2E4C-AC89-E39004E2C330}" xr6:coauthVersionLast="47" xr6:coauthVersionMax="47" xr10:uidLastSave="{00000000-0000-0000-0000-000000000000}"/>
  <bookViews>
    <workbookView xWindow="1900" yWindow="500" windowWidth="22180" windowHeight="16260" activeTab="3" xr2:uid="{00000000-000D-0000-FFFF-FFFF00000000}"/>
  </bookViews>
  <sheets>
    <sheet name="P1" sheetId="2" r:id="rId1"/>
    <sheet name="P2" sheetId="3" r:id="rId2"/>
    <sheet name="P3" sheetId="4" r:id="rId3"/>
    <sheet name="COMBINED" sheetId="5" r:id="rId4"/>
  </sheets>
  <definedNames>
    <definedName name="_xlnm._FilterDatabase" localSheetId="0" hidden="1">'P1'!$C$1:$C$43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5" l="1"/>
  <c r="C12" i="5"/>
  <c r="C11" i="5"/>
  <c r="C8" i="5"/>
  <c r="C7" i="5"/>
  <c r="B45" i="2"/>
  <c r="B47" i="2" s="1"/>
  <c r="A78" i="4"/>
  <c r="B50" i="4"/>
  <c r="B49" i="4"/>
  <c r="B46" i="4"/>
  <c r="B47" i="4" s="1"/>
  <c r="B45" i="4"/>
  <c r="A78" i="3"/>
  <c r="B51" i="3"/>
  <c r="B50" i="3"/>
  <c r="B47" i="3"/>
  <c r="B48" i="3" s="1"/>
  <c r="B46" i="3"/>
  <c r="A78" i="2"/>
  <c r="B50" i="2"/>
  <c r="B49" i="2"/>
  <c r="B46" i="2"/>
</calcChain>
</file>

<file path=xl/sharedStrings.xml><?xml version="1.0" encoding="utf-8"?>
<sst xmlns="http://schemas.openxmlformats.org/spreadsheetml/2006/main" count="1038" uniqueCount="80">
  <si>
    <t>word</t>
  </si>
  <si>
    <t>colour</t>
  </si>
  <si>
    <t>stim_condition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</si>
  <si>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</si>
  <si>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</si>
  <si>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</si>
  <si>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</si>
  <si>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</si>
  <si>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</si>
  <si>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</si>
  <si>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</si>
  <si>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</si>
  <si>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</si>
  <si>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</si>
  <si>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</si>
  <si>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</si>
  <si>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</si>
  <si>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ins.started</t>
  </si>
  <si>
    <t>text_2.started</t>
  </si>
  <si>
    <t>ins.stopped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</si>
  <si>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</si>
  <si>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</si>
  <si>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</si>
  <si>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</si>
  <si>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</si>
  <si>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</si>
  <si>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</si>
  <si>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</si>
  <si>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</si>
  <si>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</si>
  <si>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thanks.started</t>
  </si>
  <si>
    <t>text_3.started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</si>
  <si>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</si>
  <si>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</si>
  <si>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</si>
  <si>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</si>
  <si>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</si>
  <si>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</si>
  <si>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</si>
  <si>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</si>
  <si>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</si>
  <si>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2025-08-26_09h54.59.527</t>
  </si>
  <si>
    <t>stroop_task</t>
  </si>
  <si>
    <t>2025.1.1</t>
  </si>
  <si>
    <t>None</t>
  </si>
  <si>
    <t>2025-08-26 09h55.07.342727 +0530</t>
  </si>
  <si>
    <t>BLUE</t>
  </si>
  <si>
    <t>blue</t>
  </si>
  <si>
    <t>C</t>
  </si>
  <si>
    <t>b</t>
  </si>
  <si>
    <t>red</t>
  </si>
  <si>
    <t>I</t>
  </si>
  <si>
    <t>r</t>
  </si>
  <si>
    <t>RED</t>
  </si>
  <si>
    <t>Congruent</t>
  </si>
  <si>
    <t>Incongruent</t>
  </si>
  <si>
    <t>RT</t>
  </si>
  <si>
    <t>T-test</t>
  </si>
  <si>
    <t>P value</t>
  </si>
  <si>
    <t>congruent avg</t>
  </si>
  <si>
    <t>incongruent avg</t>
  </si>
  <si>
    <t>difference</t>
  </si>
  <si>
    <t>std of congruent</t>
  </si>
  <si>
    <t>std of incongruent</t>
  </si>
  <si>
    <t>Congruent avg</t>
  </si>
  <si>
    <t>std congruent</t>
  </si>
  <si>
    <t>std incongruent</t>
  </si>
  <si>
    <t>Incongruent avg</t>
  </si>
  <si>
    <t xml:space="preserve">P value </t>
  </si>
  <si>
    <t>Participants</t>
  </si>
  <si>
    <t>Congruent std</t>
  </si>
  <si>
    <t>incongruent std</t>
  </si>
  <si>
    <t>subject 1</t>
  </si>
  <si>
    <t>subject 2</t>
  </si>
  <si>
    <t>subject 3</t>
  </si>
  <si>
    <t>Avg</t>
  </si>
  <si>
    <t>std</t>
  </si>
  <si>
    <t>t-test</t>
  </si>
  <si>
    <t>DOF</t>
  </si>
  <si>
    <t>2 tailed pvalue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</si>
</sst>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0" borderId="6" xfId="0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2" fillId="0" borderId="0" xfId="0" applyFont="1">
      <alignment vertical="top" wrapText="1"/>
    </xf>
    <xf numFmtId="0" fontId="0" fillId="4" borderId="0" xfId="0" applyFill="1">
      <alignment vertical="top" wrapText="1"/>
    </xf>
    <xf numFmtId="0" fontId="2" fillId="0" borderId="0" xfId="0" applyNumberFormat="1" applyFont="1" applyAlignment="1">
      <alignment vertical="top"/>
    </xf>
    <xf numFmtId="0" fontId="0" fillId="4" borderId="0" xfId="0" applyNumberFormat="1" applyFill="1" applyAlignment="1">
      <alignment vertical="top"/>
    </xf>
    <xf numFmtId="0" fontId="3" fillId="0" borderId="0" xfId="0" applyFo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</a:t>
            </a:r>
            <a:r>
              <a:rPr lang="en-GB" baseline="0"/>
              <a:t> of all 3 subjects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COMBINED!$B$1</c:f>
              <c:strCache>
                <c:ptCount val="1"/>
                <c:pt idx="0">
                  <c:v>Congruent 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COMBINED!$A$2:$A$4</c:f>
              <c:strCache>
                <c:ptCount val="3"/>
                <c:pt idx="0">
                  <c:v>subject 1</c:v>
                </c:pt>
                <c:pt idx="1">
                  <c:v>subject 2</c:v>
                </c:pt>
                <c:pt idx="2">
                  <c:v>subject 3</c:v>
                </c:pt>
              </c:strCache>
            </c:strRef>
          </c:cat>
          <c:val>
            <c:numRef>
              <c:f>COMBINED!$B$2:$B$4</c:f>
              <c:numCache>
                <c:formatCode>General</c:formatCode>
                <c:ptCount val="3"/>
                <c:pt idx="0">
                  <c:v>0.44562585999999998</c:v>
                </c:pt>
                <c:pt idx="1">
                  <c:v>0.46256676000000002</c:v>
                </c:pt>
                <c:pt idx="2">
                  <c:v>0.55595218999999996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C-7A4D-8458-7526B9ED42E6}"/>
            </c:ext>
          </c:extLst>
        </c:ser>
        <c:ser>
          <c:idx val="1"/>
          <c:order val="1"/>
          <c:tx>
            <c:strRef>
              <c:f>COMBINED!$C$1</c:f>
              <c:strCache>
                <c:ptCount val="1"/>
                <c:pt idx="0">
                  <c:v>Incongruent avg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COMBINED!$A$2:$A$4</c:f>
              <c:strCache>
                <c:ptCount val="3"/>
                <c:pt idx="0">
                  <c:v>subject 1</c:v>
                </c:pt>
                <c:pt idx="1">
                  <c:v>subject 2</c:v>
                </c:pt>
                <c:pt idx="2">
                  <c:v>subject 3</c:v>
                </c:pt>
              </c:strCache>
            </c:strRef>
          </c:cat>
          <c:val>
            <c:numRef>
              <c:f>COMBINED!$C$2:$C$4</c:f>
              <c:numCache>
                <c:formatCode>General</c:formatCode>
                <c:ptCount val="3"/>
                <c:pt idx="0">
                  <c:v>0.57192646999999996</c:v>
                </c:pt>
                <c:pt idx="1">
                  <c:v>0.50555916400000001</c:v>
                </c:pt>
                <c:pt idx="2">
                  <c:v>0.66214914000000002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BC-7A4D-8458-7526B9ED4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9101168"/>
        <c:axId val="1286513296"/>
      </c:barChart>
      <c:catAx>
        <c:axId val="115910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513296"/>
        <c:crosses val="autoZero"/>
        <c:auto val="1"/>
        <c:lblAlgn val="ctr"/>
        <c:lblOffset val="100"/>
        <c:noMultiLvlLbl val="0"/>
      </c:catAx>
      <c:valAx>
        <c:axId val="128651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10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88900</xdr:colOff>
      <xdr:row>11</xdr:row>
      <xdr:rowOff>82550</xdr:rowOff>
    </xdr:from>
    <xdr:to>
      <xdr:col>11</xdr:col>
      <xdr:colOff>533400</xdr:colOff>
      <xdr:row>27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F8CDDE-3E32-6035-EFA1-C242B4FAA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84F5B-5DAB-2944-B426-A7CCEB4ACBD7}">
  <dimension ref="A1:AP78"/>
  <sheetViews>
    <sheetView topLeftCell="A5" workbookViewId="0">
      <selection activeCell="B45" sqref="B45"/>
    </sheetView>
  </sheetViews>
  <sheetFormatPr baseColWidth="10" defaultRowHeight="13" x14ac:dyDescent="0.15"/>
  <cols>
    <col min="1" max="1" width="16.33203125" customWidth="1"/>
    <col min="2" max="2" width="11.6640625" bestFit="1" customWidth="1"/>
  </cols>
  <sheetData>
    <row r="1" spans="1:42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3"/>
    </row>
    <row r="2" spans="1:42" x14ac:dyDescent="0.15">
      <c r="A2" s="16" t="s">
        <v>46</v>
      </c>
      <c r="B2" s="17" t="s">
        <v>47</v>
      </c>
      <c r="C2" s="8" t="s">
        <v>48</v>
      </c>
      <c r="D2" s="8" t="s">
        <v>49</v>
      </c>
      <c r="E2" s="7">
        <v>0</v>
      </c>
      <c r="F2" s="7">
        <v>0</v>
      </c>
      <c r="G2" s="7">
        <v>0</v>
      </c>
      <c r="H2" s="8" t="s">
        <v>49</v>
      </c>
      <c r="I2" s="7">
        <v>1</v>
      </c>
      <c r="J2" s="7">
        <v>0.74588449898874398</v>
      </c>
      <c r="K2" s="8" t="s">
        <v>44</v>
      </c>
      <c r="L2" s="7">
        <v>0</v>
      </c>
      <c r="M2" s="7">
        <v>0</v>
      </c>
      <c r="N2" s="7">
        <v>0</v>
      </c>
      <c r="O2" s="7">
        <v>3</v>
      </c>
      <c r="P2" s="7">
        <v>1.0419816669891599</v>
      </c>
      <c r="Q2" s="6"/>
      <c r="R2" s="6"/>
      <c r="S2" s="6"/>
      <c r="T2" s="6"/>
      <c r="U2" s="7">
        <v>1.0327457090024801</v>
      </c>
      <c r="V2" s="7">
        <v>1.0419816669891599</v>
      </c>
      <c r="W2" s="7">
        <v>1.5020467090071199</v>
      </c>
      <c r="X2" s="7">
        <v>1.5020467090071199</v>
      </c>
      <c r="Y2" s="7">
        <v>1.5020467090071199</v>
      </c>
      <c r="Z2" s="7">
        <v>2.4573524589941398</v>
      </c>
      <c r="AA2" s="8" t="s">
        <v>49</v>
      </c>
      <c r="AB2" s="7">
        <v>1</v>
      </c>
      <c r="AC2" s="7">
        <v>0.74588449898874398</v>
      </c>
      <c r="AD2" s="8" t="s">
        <v>44</v>
      </c>
      <c r="AE2" s="6"/>
      <c r="AF2" s="6"/>
      <c r="AG2" s="6"/>
      <c r="AH2" s="7">
        <v>1</v>
      </c>
      <c r="AI2" s="7">
        <v>1</v>
      </c>
      <c r="AJ2" s="8" t="s">
        <v>41</v>
      </c>
      <c r="AK2" s="8" t="s">
        <v>42</v>
      </c>
      <c r="AL2" s="6"/>
      <c r="AM2" s="8" t="s">
        <v>43</v>
      </c>
      <c r="AN2" s="8" t="s">
        <v>44</v>
      </c>
      <c r="AO2" s="8" t="s">
        <v>45</v>
      </c>
      <c r="AP2" s="6"/>
    </row>
    <row r="3" spans="1:42" x14ac:dyDescent="0.15">
      <c r="A3" s="9" t="s">
        <v>53</v>
      </c>
      <c r="B3" s="10" t="s">
        <v>50</v>
      </c>
      <c r="C3" s="11" t="s">
        <v>48</v>
      </c>
      <c r="D3" s="11" t="s">
        <v>52</v>
      </c>
      <c r="E3" s="12">
        <v>2</v>
      </c>
      <c r="F3" s="12">
        <v>2</v>
      </c>
      <c r="G3" s="12">
        <v>0</v>
      </c>
      <c r="H3" s="11" t="s">
        <v>52</v>
      </c>
      <c r="I3" s="12">
        <v>1</v>
      </c>
      <c r="J3" s="12">
        <v>0.57340220801415898</v>
      </c>
      <c r="K3" s="11" t="s">
        <v>44</v>
      </c>
      <c r="L3" s="12">
        <v>0</v>
      </c>
      <c r="M3" s="12">
        <v>2</v>
      </c>
      <c r="N3" s="12">
        <v>2</v>
      </c>
      <c r="O3" s="12">
        <v>0</v>
      </c>
      <c r="P3" s="12">
        <v>3.97729729200364</v>
      </c>
      <c r="Q3" s="13"/>
      <c r="R3" s="13"/>
      <c r="S3" s="13"/>
      <c r="T3" s="13"/>
      <c r="U3" s="12">
        <v>3.9685879999888098</v>
      </c>
      <c r="V3" s="12">
        <v>3.97729729200364</v>
      </c>
      <c r="W3" s="12">
        <v>4.45963812500122</v>
      </c>
      <c r="X3" s="12">
        <v>4.45963812500122</v>
      </c>
      <c r="Y3" s="12">
        <v>4.45963812500122</v>
      </c>
      <c r="Z3" s="12">
        <v>5.0450434169906702</v>
      </c>
      <c r="AA3" s="11" t="s">
        <v>52</v>
      </c>
      <c r="AB3" s="12">
        <v>1</v>
      </c>
      <c r="AC3" s="12">
        <v>0.57340220801415898</v>
      </c>
      <c r="AD3" s="11" t="s">
        <v>44</v>
      </c>
      <c r="AE3" s="13"/>
      <c r="AF3" s="13"/>
      <c r="AG3" s="13"/>
      <c r="AH3" s="12">
        <v>1</v>
      </c>
      <c r="AI3" s="12">
        <v>1</v>
      </c>
      <c r="AJ3" s="11" t="s">
        <v>41</v>
      </c>
      <c r="AK3" s="11" t="s">
        <v>42</v>
      </c>
      <c r="AL3" s="13"/>
      <c r="AM3" s="11" t="s">
        <v>43</v>
      </c>
      <c r="AN3" s="11" t="s">
        <v>44</v>
      </c>
      <c r="AO3" s="11" t="s">
        <v>45</v>
      </c>
      <c r="AP3" s="13"/>
    </row>
    <row r="4" spans="1:42" x14ac:dyDescent="0.15">
      <c r="A4" s="9" t="s">
        <v>53</v>
      </c>
      <c r="B4" s="10" t="s">
        <v>50</v>
      </c>
      <c r="C4" s="11" t="s">
        <v>48</v>
      </c>
      <c r="D4" s="11" t="s">
        <v>52</v>
      </c>
      <c r="E4" s="12">
        <v>5</v>
      </c>
      <c r="F4" s="12">
        <v>1</v>
      </c>
      <c r="G4" s="12">
        <v>1</v>
      </c>
      <c r="H4" s="11" t="s">
        <v>52</v>
      </c>
      <c r="I4" s="12">
        <v>1</v>
      </c>
      <c r="J4" s="12">
        <v>0.39474133300245701</v>
      </c>
      <c r="K4" s="11" t="s">
        <v>44</v>
      </c>
      <c r="L4" s="12">
        <v>1</v>
      </c>
      <c r="M4" s="12">
        <v>1</v>
      </c>
      <c r="N4" s="12">
        <v>5</v>
      </c>
      <c r="O4" s="12">
        <v>0</v>
      </c>
      <c r="P4" s="12">
        <v>7.3810919999959896</v>
      </c>
      <c r="Q4" s="13"/>
      <c r="R4" s="13"/>
      <c r="S4" s="13"/>
      <c r="T4" s="13"/>
      <c r="U4" s="12">
        <v>7.3723951669817298</v>
      </c>
      <c r="V4" s="12">
        <v>7.3810919999959896</v>
      </c>
      <c r="W4" s="12">
        <v>7.8692936669976898</v>
      </c>
      <c r="X4" s="12">
        <v>7.8692936669976898</v>
      </c>
      <c r="Y4" s="12">
        <v>7.8692936669976898</v>
      </c>
      <c r="Z4" s="12">
        <v>8.2671874999941792</v>
      </c>
      <c r="AA4" s="11" t="s">
        <v>52</v>
      </c>
      <c r="AB4" s="12">
        <v>1</v>
      </c>
      <c r="AC4" s="12">
        <v>0.39474133300245701</v>
      </c>
      <c r="AD4" s="11" t="s">
        <v>44</v>
      </c>
      <c r="AE4" s="13"/>
      <c r="AF4" s="13"/>
      <c r="AG4" s="13"/>
      <c r="AH4" s="12">
        <v>1</v>
      </c>
      <c r="AI4" s="12">
        <v>1</v>
      </c>
      <c r="AJ4" s="11" t="s">
        <v>41</v>
      </c>
      <c r="AK4" s="11" t="s">
        <v>42</v>
      </c>
      <c r="AL4" s="13"/>
      <c r="AM4" s="11" t="s">
        <v>43</v>
      </c>
      <c r="AN4" s="11" t="s">
        <v>44</v>
      </c>
      <c r="AO4" s="11" t="s">
        <v>45</v>
      </c>
      <c r="AP4" s="13"/>
    </row>
    <row r="5" spans="1:42" x14ac:dyDescent="0.15">
      <c r="A5" s="9" t="s">
        <v>46</v>
      </c>
      <c r="B5" s="10" t="s">
        <v>47</v>
      </c>
      <c r="C5" s="11" t="s">
        <v>48</v>
      </c>
      <c r="D5" s="11" t="s">
        <v>49</v>
      </c>
      <c r="E5" s="12">
        <v>7</v>
      </c>
      <c r="F5" s="12">
        <v>3</v>
      </c>
      <c r="G5" s="12">
        <v>1</v>
      </c>
      <c r="H5" s="11" t="s">
        <v>49</v>
      </c>
      <c r="I5" s="12">
        <v>1</v>
      </c>
      <c r="J5" s="12">
        <v>0.37704170800861903</v>
      </c>
      <c r="K5" s="11" t="s">
        <v>44</v>
      </c>
      <c r="L5" s="12">
        <v>1</v>
      </c>
      <c r="M5" s="12">
        <v>3</v>
      </c>
      <c r="N5" s="12">
        <v>7</v>
      </c>
      <c r="O5" s="12">
        <v>3</v>
      </c>
      <c r="P5" s="12">
        <v>9.2310853340022696</v>
      </c>
      <c r="Q5" s="13"/>
      <c r="R5" s="13"/>
      <c r="S5" s="13"/>
      <c r="T5" s="13"/>
      <c r="U5" s="12">
        <v>9.22184199999902</v>
      </c>
      <c r="V5" s="12">
        <v>9.2310853340022696</v>
      </c>
      <c r="W5" s="12">
        <v>9.7180202500021604</v>
      </c>
      <c r="X5" s="12">
        <v>9.7180202500021604</v>
      </c>
      <c r="Y5" s="12">
        <v>9.7180202500021604</v>
      </c>
      <c r="Z5" s="12">
        <v>10.100986083998601</v>
      </c>
      <c r="AA5" s="11" t="s">
        <v>49</v>
      </c>
      <c r="AB5" s="12">
        <v>1</v>
      </c>
      <c r="AC5" s="12">
        <v>0.37704170800861903</v>
      </c>
      <c r="AD5" s="11" t="s">
        <v>44</v>
      </c>
      <c r="AE5" s="13"/>
      <c r="AF5" s="13"/>
      <c r="AG5" s="13"/>
      <c r="AH5" s="12">
        <v>1</v>
      </c>
      <c r="AI5" s="12">
        <v>1</v>
      </c>
      <c r="AJ5" s="11" t="s">
        <v>41</v>
      </c>
      <c r="AK5" s="11" t="s">
        <v>42</v>
      </c>
      <c r="AL5" s="13"/>
      <c r="AM5" s="11" t="s">
        <v>43</v>
      </c>
      <c r="AN5" s="11" t="s">
        <v>44</v>
      </c>
      <c r="AO5" s="11" t="s">
        <v>45</v>
      </c>
      <c r="AP5" s="13"/>
    </row>
    <row r="6" spans="1:42" x14ac:dyDescent="0.15">
      <c r="A6" s="9" t="s">
        <v>46</v>
      </c>
      <c r="B6" s="10" t="s">
        <v>47</v>
      </c>
      <c r="C6" s="11" t="s">
        <v>48</v>
      </c>
      <c r="D6" s="11" t="s">
        <v>49</v>
      </c>
      <c r="E6" s="12">
        <v>9</v>
      </c>
      <c r="F6" s="12">
        <v>1</v>
      </c>
      <c r="G6" s="12">
        <v>2</v>
      </c>
      <c r="H6" s="11" t="s">
        <v>49</v>
      </c>
      <c r="I6" s="12">
        <v>1</v>
      </c>
      <c r="J6" s="12">
        <v>0.33869383300771</v>
      </c>
      <c r="K6" s="11" t="s">
        <v>44</v>
      </c>
      <c r="L6" s="12">
        <v>2</v>
      </c>
      <c r="M6" s="12">
        <v>1</v>
      </c>
      <c r="N6" s="12">
        <v>9</v>
      </c>
      <c r="O6" s="12">
        <v>3</v>
      </c>
      <c r="P6" s="12">
        <v>11.357932999992</v>
      </c>
      <c r="Q6" s="13"/>
      <c r="R6" s="13"/>
      <c r="S6" s="13"/>
      <c r="T6" s="13"/>
      <c r="U6" s="12">
        <v>11.350072917004599</v>
      </c>
      <c r="V6" s="12">
        <v>11.357932999992</v>
      </c>
      <c r="W6" s="12">
        <v>11.8434877920081</v>
      </c>
      <c r="X6" s="12">
        <v>11.8434877920081</v>
      </c>
      <c r="Y6" s="12">
        <v>11.8434877920081</v>
      </c>
      <c r="Z6" s="12">
        <v>12.184134167007899</v>
      </c>
      <c r="AA6" s="11" t="s">
        <v>49</v>
      </c>
      <c r="AB6" s="12">
        <v>1</v>
      </c>
      <c r="AC6" s="12">
        <v>0.33869383300771</v>
      </c>
      <c r="AD6" s="11" t="s">
        <v>44</v>
      </c>
      <c r="AE6" s="13"/>
      <c r="AF6" s="13"/>
      <c r="AG6" s="13"/>
      <c r="AH6" s="12">
        <v>1</v>
      </c>
      <c r="AI6" s="12">
        <v>1</v>
      </c>
      <c r="AJ6" s="11" t="s">
        <v>41</v>
      </c>
      <c r="AK6" s="11" t="s">
        <v>42</v>
      </c>
      <c r="AL6" s="13"/>
      <c r="AM6" s="11" t="s">
        <v>43</v>
      </c>
      <c r="AN6" s="11" t="s">
        <v>44</v>
      </c>
      <c r="AO6" s="11" t="s">
        <v>45</v>
      </c>
      <c r="AP6" s="13"/>
    </row>
    <row r="7" spans="1:42" x14ac:dyDescent="0.15">
      <c r="A7" s="9" t="s">
        <v>53</v>
      </c>
      <c r="B7" s="10" t="s">
        <v>50</v>
      </c>
      <c r="C7" s="11" t="s">
        <v>48</v>
      </c>
      <c r="D7" s="11" t="s">
        <v>52</v>
      </c>
      <c r="E7" s="12">
        <v>10</v>
      </c>
      <c r="F7" s="12">
        <v>2</v>
      </c>
      <c r="G7" s="12">
        <v>2</v>
      </c>
      <c r="H7" s="11" t="s">
        <v>52</v>
      </c>
      <c r="I7" s="12">
        <v>1</v>
      </c>
      <c r="J7" s="12">
        <v>0.433094415988307</v>
      </c>
      <c r="K7" s="11" t="s">
        <v>44</v>
      </c>
      <c r="L7" s="12">
        <v>2</v>
      </c>
      <c r="M7" s="12">
        <v>2</v>
      </c>
      <c r="N7" s="12">
        <v>10</v>
      </c>
      <c r="O7" s="12">
        <v>0</v>
      </c>
      <c r="P7" s="12">
        <v>12.1980936669861</v>
      </c>
      <c r="Q7" s="13"/>
      <c r="R7" s="13"/>
      <c r="S7" s="13"/>
      <c r="T7" s="13"/>
      <c r="U7" s="12">
        <v>12.188308749988201</v>
      </c>
      <c r="V7" s="12">
        <v>12.1980936669861</v>
      </c>
      <c r="W7" s="12">
        <v>12.6861151669873</v>
      </c>
      <c r="X7" s="12">
        <v>12.6861151669873</v>
      </c>
      <c r="Y7" s="12">
        <v>12.6861151669873</v>
      </c>
      <c r="Z7" s="12">
        <v>13.1287131669815</v>
      </c>
      <c r="AA7" s="11" t="s">
        <v>52</v>
      </c>
      <c r="AB7" s="12">
        <v>1</v>
      </c>
      <c r="AC7" s="12">
        <v>0.433094415988307</v>
      </c>
      <c r="AD7" s="11" t="s">
        <v>44</v>
      </c>
      <c r="AE7" s="13"/>
      <c r="AF7" s="13"/>
      <c r="AG7" s="13"/>
      <c r="AH7" s="12">
        <v>1</v>
      </c>
      <c r="AI7" s="12">
        <v>1</v>
      </c>
      <c r="AJ7" s="11" t="s">
        <v>41</v>
      </c>
      <c r="AK7" s="11" t="s">
        <v>42</v>
      </c>
      <c r="AL7" s="13"/>
      <c r="AM7" s="11" t="s">
        <v>43</v>
      </c>
      <c r="AN7" s="11" t="s">
        <v>44</v>
      </c>
      <c r="AO7" s="11" t="s">
        <v>45</v>
      </c>
      <c r="AP7" s="13"/>
    </row>
    <row r="8" spans="1:42" x14ac:dyDescent="0.15">
      <c r="A8" s="9" t="s">
        <v>53</v>
      </c>
      <c r="B8" s="10" t="s">
        <v>50</v>
      </c>
      <c r="C8" s="11" t="s">
        <v>48</v>
      </c>
      <c r="D8" s="11" t="s">
        <v>52</v>
      </c>
      <c r="E8" s="12">
        <v>12</v>
      </c>
      <c r="F8" s="12">
        <v>0</v>
      </c>
      <c r="G8" s="12">
        <v>3</v>
      </c>
      <c r="H8" s="11" t="s">
        <v>52</v>
      </c>
      <c r="I8" s="12">
        <v>1</v>
      </c>
      <c r="J8" s="12">
        <v>0.310244291002164</v>
      </c>
      <c r="K8" s="11" t="s">
        <v>44</v>
      </c>
      <c r="L8" s="12">
        <v>3</v>
      </c>
      <c r="M8" s="12">
        <v>0</v>
      </c>
      <c r="N8" s="12">
        <v>12</v>
      </c>
      <c r="O8" s="12">
        <v>0</v>
      </c>
      <c r="P8" s="12">
        <v>13.9903561669926</v>
      </c>
      <c r="Q8" s="13"/>
      <c r="R8" s="13"/>
      <c r="S8" s="13"/>
      <c r="T8" s="13"/>
      <c r="U8" s="12">
        <v>13.9823636669898</v>
      </c>
      <c r="V8" s="12">
        <v>13.9903561669926</v>
      </c>
      <c r="W8" s="12">
        <v>14.476972792006601</v>
      </c>
      <c r="X8" s="12">
        <v>14.476972792006601</v>
      </c>
      <c r="Y8" s="12">
        <v>14.476972792006601</v>
      </c>
      <c r="Z8" s="12">
        <v>14.795518083992601</v>
      </c>
      <c r="AA8" s="11" t="s">
        <v>52</v>
      </c>
      <c r="AB8" s="12">
        <v>1</v>
      </c>
      <c r="AC8" s="12">
        <v>0.310244291002164</v>
      </c>
      <c r="AD8" s="11" t="s">
        <v>44</v>
      </c>
      <c r="AE8" s="13"/>
      <c r="AF8" s="13"/>
      <c r="AG8" s="13"/>
      <c r="AH8" s="12">
        <v>1</v>
      </c>
      <c r="AI8" s="12">
        <v>1</v>
      </c>
      <c r="AJ8" s="11" t="s">
        <v>41</v>
      </c>
      <c r="AK8" s="11" t="s">
        <v>42</v>
      </c>
      <c r="AL8" s="13"/>
      <c r="AM8" s="11" t="s">
        <v>43</v>
      </c>
      <c r="AN8" s="11" t="s">
        <v>44</v>
      </c>
      <c r="AO8" s="11" t="s">
        <v>45</v>
      </c>
      <c r="AP8" s="13"/>
    </row>
    <row r="9" spans="1:42" x14ac:dyDescent="0.15">
      <c r="A9" s="9" t="s">
        <v>46</v>
      </c>
      <c r="B9" s="10" t="s">
        <v>47</v>
      </c>
      <c r="C9" s="11" t="s">
        <v>48</v>
      </c>
      <c r="D9" s="11" t="s">
        <v>49</v>
      </c>
      <c r="E9" s="12">
        <v>13</v>
      </c>
      <c r="F9" s="12">
        <v>1</v>
      </c>
      <c r="G9" s="12">
        <v>3</v>
      </c>
      <c r="H9" s="11" t="s">
        <v>49</v>
      </c>
      <c r="I9" s="12">
        <v>1</v>
      </c>
      <c r="J9" s="12">
        <v>0.42763787400326703</v>
      </c>
      <c r="K9" s="11" t="s">
        <v>44</v>
      </c>
      <c r="L9" s="12">
        <v>3</v>
      </c>
      <c r="M9" s="12">
        <v>1</v>
      </c>
      <c r="N9" s="12">
        <v>13</v>
      </c>
      <c r="O9" s="12">
        <v>3</v>
      </c>
      <c r="P9" s="12">
        <v>14.8082613750012</v>
      </c>
      <c r="Q9" s="13"/>
      <c r="R9" s="13"/>
      <c r="S9" s="13"/>
      <c r="T9" s="13"/>
      <c r="U9" s="12">
        <v>14.8002126670035</v>
      </c>
      <c r="V9" s="12">
        <v>14.8082613750012</v>
      </c>
      <c r="W9" s="12">
        <v>15.293614124995701</v>
      </c>
      <c r="X9" s="12">
        <v>15.293614124995701</v>
      </c>
      <c r="Y9" s="12">
        <v>15.293614124995701</v>
      </c>
      <c r="Z9" s="12">
        <v>15.728866749996101</v>
      </c>
      <c r="AA9" s="11" t="s">
        <v>49</v>
      </c>
      <c r="AB9" s="12">
        <v>1</v>
      </c>
      <c r="AC9" s="12">
        <v>0.42763787400326703</v>
      </c>
      <c r="AD9" s="11" t="s">
        <v>44</v>
      </c>
      <c r="AE9" s="13"/>
      <c r="AF9" s="13"/>
      <c r="AG9" s="13"/>
      <c r="AH9" s="12">
        <v>1</v>
      </c>
      <c r="AI9" s="12">
        <v>1</v>
      </c>
      <c r="AJ9" s="11" t="s">
        <v>41</v>
      </c>
      <c r="AK9" s="11" t="s">
        <v>42</v>
      </c>
      <c r="AL9" s="13"/>
      <c r="AM9" s="11" t="s">
        <v>43</v>
      </c>
      <c r="AN9" s="11" t="s">
        <v>44</v>
      </c>
      <c r="AO9" s="11" t="s">
        <v>45</v>
      </c>
      <c r="AP9" s="13"/>
    </row>
    <row r="10" spans="1:42" x14ac:dyDescent="0.15">
      <c r="A10" s="9" t="s">
        <v>46</v>
      </c>
      <c r="B10" s="10" t="s">
        <v>47</v>
      </c>
      <c r="C10" s="11" t="s">
        <v>48</v>
      </c>
      <c r="D10" s="11" t="s">
        <v>49</v>
      </c>
      <c r="E10" s="12">
        <v>16</v>
      </c>
      <c r="F10" s="12">
        <v>0</v>
      </c>
      <c r="G10" s="12">
        <v>4</v>
      </c>
      <c r="H10" s="11" t="s">
        <v>49</v>
      </c>
      <c r="I10" s="12">
        <v>1</v>
      </c>
      <c r="J10" s="12">
        <v>0.497903040988604</v>
      </c>
      <c r="K10" s="11" t="s">
        <v>44</v>
      </c>
      <c r="L10" s="12">
        <v>4</v>
      </c>
      <c r="M10" s="12">
        <v>0</v>
      </c>
      <c r="N10" s="12">
        <v>16</v>
      </c>
      <c r="O10" s="12">
        <v>3</v>
      </c>
      <c r="P10" s="12">
        <v>17.714497374981899</v>
      </c>
      <c r="Q10" s="13"/>
      <c r="R10" s="13"/>
      <c r="S10" s="13"/>
      <c r="T10" s="13"/>
      <c r="U10" s="12">
        <v>17.702644874982099</v>
      </c>
      <c r="V10" s="12">
        <v>17.714497374981899</v>
      </c>
      <c r="W10" s="12">
        <v>18.201431374996901</v>
      </c>
      <c r="X10" s="12">
        <v>18.201431374996901</v>
      </c>
      <c r="Y10" s="12">
        <v>18.201431374996901</v>
      </c>
      <c r="Z10" s="12">
        <v>18.7009986249905</v>
      </c>
      <c r="AA10" s="11" t="s">
        <v>49</v>
      </c>
      <c r="AB10" s="12">
        <v>1</v>
      </c>
      <c r="AC10" s="12">
        <v>0.497903040988604</v>
      </c>
      <c r="AD10" s="11" t="s">
        <v>44</v>
      </c>
      <c r="AE10" s="13"/>
      <c r="AF10" s="13"/>
      <c r="AG10" s="13"/>
      <c r="AH10" s="12">
        <v>1</v>
      </c>
      <c r="AI10" s="12">
        <v>1</v>
      </c>
      <c r="AJ10" s="11" t="s">
        <v>41</v>
      </c>
      <c r="AK10" s="11" t="s">
        <v>42</v>
      </c>
      <c r="AL10" s="13"/>
      <c r="AM10" s="11" t="s">
        <v>43</v>
      </c>
      <c r="AN10" s="11" t="s">
        <v>44</v>
      </c>
      <c r="AO10" s="11" t="s">
        <v>45</v>
      </c>
      <c r="AP10" s="13"/>
    </row>
    <row r="11" spans="1:42" x14ac:dyDescent="0.15">
      <c r="A11" s="9" t="s">
        <v>53</v>
      </c>
      <c r="B11" s="10" t="s">
        <v>50</v>
      </c>
      <c r="C11" s="11" t="s">
        <v>48</v>
      </c>
      <c r="D11" s="11" t="s">
        <v>52</v>
      </c>
      <c r="E11" s="12">
        <v>17</v>
      </c>
      <c r="F11" s="12">
        <v>1</v>
      </c>
      <c r="G11" s="12">
        <v>4</v>
      </c>
      <c r="H11" s="11" t="s">
        <v>52</v>
      </c>
      <c r="I11" s="12">
        <v>1</v>
      </c>
      <c r="J11" s="12">
        <v>0.51299220800865397</v>
      </c>
      <c r="K11" s="11" t="s">
        <v>44</v>
      </c>
      <c r="L11" s="12">
        <v>4</v>
      </c>
      <c r="M11" s="12">
        <v>1</v>
      </c>
      <c r="N11" s="12">
        <v>17</v>
      </c>
      <c r="O11" s="12">
        <v>0</v>
      </c>
      <c r="P11" s="12">
        <v>18.714949874993199</v>
      </c>
      <c r="Q11" s="13"/>
      <c r="R11" s="13"/>
      <c r="S11" s="13"/>
      <c r="T11" s="13"/>
      <c r="U11" s="12">
        <v>18.7053542920039</v>
      </c>
      <c r="V11" s="12">
        <v>18.714949874993199</v>
      </c>
      <c r="W11" s="12">
        <v>19.202285125007599</v>
      </c>
      <c r="X11" s="12">
        <v>19.202285125007599</v>
      </c>
      <c r="Y11" s="12">
        <v>19.202285125007599</v>
      </c>
      <c r="Z11" s="12">
        <v>19.718095416988898</v>
      </c>
      <c r="AA11" s="11" t="s">
        <v>52</v>
      </c>
      <c r="AB11" s="12">
        <v>1</v>
      </c>
      <c r="AC11" s="12">
        <v>0.51299220800865397</v>
      </c>
      <c r="AD11" s="11" t="s">
        <v>44</v>
      </c>
      <c r="AE11" s="13"/>
      <c r="AF11" s="13"/>
      <c r="AG11" s="13"/>
      <c r="AH11" s="12">
        <v>1</v>
      </c>
      <c r="AI11" s="12">
        <v>1</v>
      </c>
      <c r="AJ11" s="11" t="s">
        <v>41</v>
      </c>
      <c r="AK11" s="11" t="s">
        <v>42</v>
      </c>
      <c r="AL11" s="13"/>
      <c r="AM11" s="11" t="s">
        <v>43</v>
      </c>
      <c r="AN11" s="11" t="s">
        <v>44</v>
      </c>
      <c r="AO11" s="11" t="s">
        <v>45</v>
      </c>
      <c r="AP11" s="13"/>
    </row>
    <row r="12" spans="1:42" x14ac:dyDescent="0.15">
      <c r="A12" s="9" t="s">
        <v>53</v>
      </c>
      <c r="B12" s="10" t="s">
        <v>50</v>
      </c>
      <c r="C12" s="11" t="s">
        <v>48</v>
      </c>
      <c r="D12" s="11" t="s">
        <v>52</v>
      </c>
      <c r="E12" s="12">
        <v>20</v>
      </c>
      <c r="F12" s="12">
        <v>0</v>
      </c>
      <c r="G12" s="12">
        <v>5</v>
      </c>
      <c r="H12" s="11" t="s">
        <v>52</v>
      </c>
      <c r="I12" s="12">
        <v>1</v>
      </c>
      <c r="J12" s="12">
        <v>0.54080270801205199</v>
      </c>
      <c r="K12" s="11" t="s">
        <v>44</v>
      </c>
      <c r="L12" s="12">
        <v>5</v>
      </c>
      <c r="M12" s="12">
        <v>0</v>
      </c>
      <c r="N12" s="12">
        <v>20</v>
      </c>
      <c r="O12" s="12">
        <v>0</v>
      </c>
      <c r="P12" s="12">
        <v>22.374993000004899</v>
      </c>
      <c r="Q12" s="13"/>
      <c r="R12" s="13"/>
      <c r="S12" s="13"/>
      <c r="T12" s="13"/>
      <c r="U12" s="12">
        <v>22.367125458986301</v>
      </c>
      <c r="V12" s="12">
        <v>22.374993000004899</v>
      </c>
      <c r="W12" s="12">
        <v>22.860472458996799</v>
      </c>
      <c r="X12" s="12">
        <v>22.860472458996799</v>
      </c>
      <c r="Y12" s="12">
        <v>22.860472458996799</v>
      </c>
      <c r="Z12" s="12">
        <v>23.412492041999901</v>
      </c>
      <c r="AA12" s="11" t="s">
        <v>52</v>
      </c>
      <c r="AB12" s="12">
        <v>1</v>
      </c>
      <c r="AC12" s="12">
        <v>0.54080270801205199</v>
      </c>
      <c r="AD12" s="11" t="s">
        <v>44</v>
      </c>
      <c r="AE12" s="13"/>
      <c r="AF12" s="13"/>
      <c r="AG12" s="13"/>
      <c r="AH12" s="12">
        <v>1</v>
      </c>
      <c r="AI12" s="12">
        <v>1</v>
      </c>
      <c r="AJ12" s="11" t="s">
        <v>41</v>
      </c>
      <c r="AK12" s="11" t="s">
        <v>42</v>
      </c>
      <c r="AL12" s="13"/>
      <c r="AM12" s="11" t="s">
        <v>43</v>
      </c>
      <c r="AN12" s="11" t="s">
        <v>44</v>
      </c>
      <c r="AO12" s="11" t="s">
        <v>45</v>
      </c>
      <c r="AP12" s="13"/>
    </row>
    <row r="13" spans="1:42" x14ac:dyDescent="0.15">
      <c r="A13" s="9" t="s">
        <v>46</v>
      </c>
      <c r="B13" s="10" t="s">
        <v>47</v>
      </c>
      <c r="C13" s="11" t="s">
        <v>48</v>
      </c>
      <c r="D13" s="11" t="s">
        <v>49</v>
      </c>
      <c r="E13" s="12">
        <v>21</v>
      </c>
      <c r="F13" s="12">
        <v>1</v>
      </c>
      <c r="G13" s="12">
        <v>5</v>
      </c>
      <c r="H13" s="11" t="s">
        <v>49</v>
      </c>
      <c r="I13" s="12">
        <v>1</v>
      </c>
      <c r="J13" s="12">
        <v>0.56004229097743496</v>
      </c>
      <c r="K13" s="11" t="s">
        <v>44</v>
      </c>
      <c r="L13" s="12">
        <v>5</v>
      </c>
      <c r="M13" s="12">
        <v>1</v>
      </c>
      <c r="N13" s="12">
        <v>21</v>
      </c>
      <c r="O13" s="12">
        <v>3</v>
      </c>
      <c r="P13" s="12">
        <v>23.425747500004899</v>
      </c>
      <c r="Q13" s="13"/>
      <c r="R13" s="13"/>
      <c r="S13" s="13"/>
      <c r="T13" s="13"/>
      <c r="U13" s="12">
        <v>23.417705542000501</v>
      </c>
      <c r="V13" s="12">
        <v>23.425747500004899</v>
      </c>
      <c r="W13" s="12">
        <v>23.910323999996798</v>
      </c>
      <c r="X13" s="12">
        <v>23.910323999996798</v>
      </c>
      <c r="Y13" s="12">
        <v>23.910323999996798</v>
      </c>
      <c r="Z13" s="12">
        <v>24.4794128339854</v>
      </c>
      <c r="AA13" s="11" t="s">
        <v>49</v>
      </c>
      <c r="AB13" s="12">
        <v>1</v>
      </c>
      <c r="AC13" s="12">
        <v>0.56004229097743496</v>
      </c>
      <c r="AD13" s="11" t="s">
        <v>44</v>
      </c>
      <c r="AE13" s="13"/>
      <c r="AF13" s="13"/>
      <c r="AG13" s="13"/>
      <c r="AH13" s="12">
        <v>1</v>
      </c>
      <c r="AI13" s="12">
        <v>1</v>
      </c>
      <c r="AJ13" s="11" t="s">
        <v>41</v>
      </c>
      <c r="AK13" s="11" t="s">
        <v>42</v>
      </c>
      <c r="AL13" s="13"/>
      <c r="AM13" s="11" t="s">
        <v>43</v>
      </c>
      <c r="AN13" s="11" t="s">
        <v>44</v>
      </c>
      <c r="AO13" s="11" t="s">
        <v>45</v>
      </c>
      <c r="AP13" s="13"/>
    </row>
    <row r="14" spans="1:42" x14ac:dyDescent="0.15">
      <c r="A14" s="9" t="s">
        <v>46</v>
      </c>
      <c r="B14" s="10" t="s">
        <v>47</v>
      </c>
      <c r="C14" s="11" t="s">
        <v>48</v>
      </c>
      <c r="D14" s="11" t="s">
        <v>49</v>
      </c>
      <c r="E14" s="12">
        <v>25</v>
      </c>
      <c r="F14" s="12">
        <v>1</v>
      </c>
      <c r="G14" s="12">
        <v>6</v>
      </c>
      <c r="H14" s="11" t="s">
        <v>49</v>
      </c>
      <c r="I14" s="12">
        <v>1</v>
      </c>
      <c r="J14" s="12">
        <v>0.38699004097725298</v>
      </c>
      <c r="K14" s="11" t="s">
        <v>44</v>
      </c>
      <c r="L14" s="12">
        <v>6</v>
      </c>
      <c r="M14" s="12">
        <v>1</v>
      </c>
      <c r="N14" s="12">
        <v>25</v>
      </c>
      <c r="O14" s="12">
        <v>3</v>
      </c>
      <c r="P14" s="12">
        <v>27.225891209003802</v>
      </c>
      <c r="Q14" s="13"/>
      <c r="R14" s="13"/>
      <c r="S14" s="13"/>
      <c r="T14" s="13"/>
      <c r="U14" s="12">
        <v>27.2177910419996</v>
      </c>
      <c r="V14" s="12">
        <v>27.225891209003802</v>
      </c>
      <c r="W14" s="12">
        <v>27.710434749984401</v>
      </c>
      <c r="X14" s="12">
        <v>27.710434749984401</v>
      </c>
      <c r="Y14" s="12">
        <v>27.710434749984401</v>
      </c>
      <c r="Z14" s="12">
        <v>28.1013024169952</v>
      </c>
      <c r="AA14" s="11" t="s">
        <v>49</v>
      </c>
      <c r="AB14" s="12">
        <v>1</v>
      </c>
      <c r="AC14" s="12">
        <v>0.38699004097725298</v>
      </c>
      <c r="AD14" s="11" t="s">
        <v>44</v>
      </c>
      <c r="AE14" s="13"/>
      <c r="AF14" s="13"/>
      <c r="AG14" s="13"/>
      <c r="AH14" s="12">
        <v>1</v>
      </c>
      <c r="AI14" s="12">
        <v>1</v>
      </c>
      <c r="AJ14" s="11" t="s">
        <v>41</v>
      </c>
      <c r="AK14" s="11" t="s">
        <v>42</v>
      </c>
      <c r="AL14" s="13"/>
      <c r="AM14" s="11" t="s">
        <v>43</v>
      </c>
      <c r="AN14" s="11" t="s">
        <v>44</v>
      </c>
      <c r="AO14" s="11" t="s">
        <v>45</v>
      </c>
      <c r="AP14" s="13"/>
    </row>
    <row r="15" spans="1:42" x14ac:dyDescent="0.15">
      <c r="A15" s="9" t="s">
        <v>53</v>
      </c>
      <c r="B15" s="10" t="s">
        <v>50</v>
      </c>
      <c r="C15" s="11" t="s">
        <v>48</v>
      </c>
      <c r="D15" s="11" t="s">
        <v>52</v>
      </c>
      <c r="E15" s="12">
        <v>26</v>
      </c>
      <c r="F15" s="12">
        <v>2</v>
      </c>
      <c r="G15" s="12">
        <v>6</v>
      </c>
      <c r="H15" s="11" t="s">
        <v>52</v>
      </c>
      <c r="I15" s="12">
        <v>1</v>
      </c>
      <c r="J15" s="12">
        <v>0.37404437400982699</v>
      </c>
      <c r="K15" s="11" t="s">
        <v>44</v>
      </c>
      <c r="L15" s="12">
        <v>6</v>
      </c>
      <c r="M15" s="12">
        <v>2</v>
      </c>
      <c r="N15" s="12">
        <v>26</v>
      </c>
      <c r="O15" s="12">
        <v>0</v>
      </c>
      <c r="P15" s="12">
        <v>28.115024083992498</v>
      </c>
      <c r="Q15" s="13"/>
      <c r="R15" s="13"/>
      <c r="S15" s="13"/>
      <c r="T15" s="13"/>
      <c r="U15" s="12">
        <v>28.105493292008799</v>
      </c>
      <c r="V15" s="12">
        <v>28.115024083992498</v>
      </c>
      <c r="W15" s="12">
        <v>28.602523791982101</v>
      </c>
      <c r="X15" s="12">
        <v>28.602523791982101</v>
      </c>
      <c r="Y15" s="12">
        <v>28.602523791982101</v>
      </c>
      <c r="Z15" s="12">
        <v>28.979153708991401</v>
      </c>
      <c r="AA15" s="11" t="s">
        <v>52</v>
      </c>
      <c r="AB15" s="12">
        <v>1</v>
      </c>
      <c r="AC15" s="12">
        <v>0.37404437400982699</v>
      </c>
      <c r="AD15" s="11" t="s">
        <v>44</v>
      </c>
      <c r="AE15" s="13"/>
      <c r="AF15" s="13"/>
      <c r="AG15" s="13"/>
      <c r="AH15" s="12">
        <v>1</v>
      </c>
      <c r="AI15" s="12">
        <v>1</v>
      </c>
      <c r="AJ15" s="11" t="s">
        <v>41</v>
      </c>
      <c r="AK15" s="11" t="s">
        <v>42</v>
      </c>
      <c r="AL15" s="13"/>
      <c r="AM15" s="11" t="s">
        <v>43</v>
      </c>
      <c r="AN15" s="11" t="s">
        <v>44</v>
      </c>
      <c r="AO15" s="11" t="s">
        <v>45</v>
      </c>
      <c r="AP15" s="13"/>
    </row>
    <row r="16" spans="1:42" x14ac:dyDescent="0.15">
      <c r="A16" s="9" t="s">
        <v>53</v>
      </c>
      <c r="B16" s="10" t="s">
        <v>50</v>
      </c>
      <c r="C16" s="11" t="s">
        <v>48</v>
      </c>
      <c r="D16" s="11" t="s">
        <v>52</v>
      </c>
      <c r="E16" s="12">
        <v>29</v>
      </c>
      <c r="F16" s="12">
        <v>1</v>
      </c>
      <c r="G16" s="12">
        <v>7</v>
      </c>
      <c r="H16" s="11" t="s">
        <v>52</v>
      </c>
      <c r="I16" s="12">
        <v>1</v>
      </c>
      <c r="J16" s="12">
        <v>0.37004075001459602</v>
      </c>
      <c r="K16" s="11" t="s">
        <v>44</v>
      </c>
      <c r="L16" s="12">
        <v>7</v>
      </c>
      <c r="M16" s="12">
        <v>1</v>
      </c>
      <c r="N16" s="12">
        <v>29</v>
      </c>
      <c r="O16" s="12">
        <v>0</v>
      </c>
      <c r="P16" s="12">
        <v>31.0110372089839</v>
      </c>
      <c r="Q16" s="13"/>
      <c r="R16" s="13"/>
      <c r="S16" s="13"/>
      <c r="T16" s="13"/>
      <c r="U16" s="12">
        <v>30.987691958987899</v>
      </c>
      <c r="V16" s="12">
        <v>31.0110372089839</v>
      </c>
      <c r="W16" s="12">
        <v>31.4774400419847</v>
      </c>
      <c r="X16" s="12">
        <v>31.4774400419847</v>
      </c>
      <c r="Y16" s="12">
        <v>31.4774400419847</v>
      </c>
      <c r="Z16" s="12">
        <v>31.851550166989899</v>
      </c>
      <c r="AA16" s="11" t="s">
        <v>52</v>
      </c>
      <c r="AB16" s="12">
        <v>1</v>
      </c>
      <c r="AC16" s="12">
        <v>0.37004075001459602</v>
      </c>
      <c r="AD16" s="11" t="s">
        <v>44</v>
      </c>
      <c r="AE16" s="13"/>
      <c r="AF16" s="13"/>
      <c r="AG16" s="13"/>
      <c r="AH16" s="12">
        <v>1</v>
      </c>
      <c r="AI16" s="12">
        <v>1</v>
      </c>
      <c r="AJ16" s="11" t="s">
        <v>41</v>
      </c>
      <c r="AK16" s="11" t="s">
        <v>42</v>
      </c>
      <c r="AL16" s="13"/>
      <c r="AM16" s="11" t="s">
        <v>43</v>
      </c>
      <c r="AN16" s="11" t="s">
        <v>44</v>
      </c>
      <c r="AO16" s="11" t="s">
        <v>45</v>
      </c>
      <c r="AP16" s="13"/>
    </row>
    <row r="17" spans="1:42" x14ac:dyDescent="0.15">
      <c r="A17" s="9" t="s">
        <v>46</v>
      </c>
      <c r="B17" s="10" t="s">
        <v>47</v>
      </c>
      <c r="C17" s="11" t="s">
        <v>48</v>
      </c>
      <c r="D17" s="11" t="s">
        <v>49</v>
      </c>
      <c r="E17" s="12">
        <v>30</v>
      </c>
      <c r="F17" s="12">
        <v>2</v>
      </c>
      <c r="G17" s="12">
        <v>7</v>
      </c>
      <c r="H17" s="11" t="s">
        <v>49</v>
      </c>
      <c r="I17" s="12">
        <v>1</v>
      </c>
      <c r="J17" s="12">
        <v>0.40879312501056098</v>
      </c>
      <c r="K17" s="11" t="s">
        <v>44</v>
      </c>
      <c r="L17" s="12">
        <v>7</v>
      </c>
      <c r="M17" s="12">
        <v>2</v>
      </c>
      <c r="N17" s="12">
        <v>30</v>
      </c>
      <c r="O17" s="12">
        <v>3</v>
      </c>
      <c r="P17" s="12">
        <v>31.864855458988998</v>
      </c>
      <c r="Q17" s="13"/>
      <c r="R17" s="13"/>
      <c r="S17" s="13"/>
      <c r="T17" s="13"/>
      <c r="U17" s="12">
        <v>31.856067708984501</v>
      </c>
      <c r="V17" s="12">
        <v>31.864855458988998</v>
      </c>
      <c r="W17" s="12">
        <v>32.3528038339864</v>
      </c>
      <c r="X17" s="12">
        <v>32.3528038339864</v>
      </c>
      <c r="Y17" s="12">
        <v>32.3528038339864</v>
      </c>
      <c r="Z17" s="12">
        <v>32.768131958990097</v>
      </c>
      <c r="AA17" s="11" t="s">
        <v>49</v>
      </c>
      <c r="AB17" s="12">
        <v>1</v>
      </c>
      <c r="AC17" s="12">
        <v>0.40879312501056098</v>
      </c>
      <c r="AD17" s="11" t="s">
        <v>44</v>
      </c>
      <c r="AE17" s="13"/>
      <c r="AF17" s="13"/>
      <c r="AG17" s="13"/>
      <c r="AH17" s="12">
        <v>1</v>
      </c>
      <c r="AI17" s="12">
        <v>1</v>
      </c>
      <c r="AJ17" s="11" t="s">
        <v>41</v>
      </c>
      <c r="AK17" s="11" t="s">
        <v>42</v>
      </c>
      <c r="AL17" s="13"/>
      <c r="AM17" s="11" t="s">
        <v>43</v>
      </c>
      <c r="AN17" s="11" t="s">
        <v>44</v>
      </c>
      <c r="AO17" s="11" t="s">
        <v>45</v>
      </c>
      <c r="AP17" s="13"/>
    </row>
    <row r="18" spans="1:42" x14ac:dyDescent="0.15">
      <c r="A18" s="9" t="s">
        <v>46</v>
      </c>
      <c r="B18" s="10" t="s">
        <v>47</v>
      </c>
      <c r="C18" s="11" t="s">
        <v>48</v>
      </c>
      <c r="D18" s="11" t="s">
        <v>49</v>
      </c>
      <c r="E18" s="12">
        <v>34</v>
      </c>
      <c r="F18" s="12">
        <v>2</v>
      </c>
      <c r="G18" s="12">
        <v>8</v>
      </c>
      <c r="H18" s="11" t="s">
        <v>49</v>
      </c>
      <c r="I18" s="12">
        <v>1</v>
      </c>
      <c r="J18" s="12">
        <v>0.38261124899145199</v>
      </c>
      <c r="K18" s="11" t="s">
        <v>44</v>
      </c>
      <c r="L18" s="12">
        <v>8</v>
      </c>
      <c r="M18" s="12">
        <v>2</v>
      </c>
      <c r="N18" s="12">
        <v>34</v>
      </c>
      <c r="O18" s="12">
        <v>3</v>
      </c>
      <c r="P18" s="12">
        <v>35.749077583983301</v>
      </c>
      <c r="Q18" s="13"/>
      <c r="R18" s="13"/>
      <c r="S18" s="13"/>
      <c r="T18" s="13"/>
      <c r="U18" s="12">
        <v>35.741096459009</v>
      </c>
      <c r="V18" s="12">
        <v>35.749077583983301</v>
      </c>
      <c r="W18" s="12">
        <v>36.236936333996702</v>
      </c>
      <c r="X18" s="12">
        <v>36.236936333996702</v>
      </c>
      <c r="Y18" s="12">
        <v>36.236936333996702</v>
      </c>
      <c r="Z18" s="12">
        <v>36.629992292000701</v>
      </c>
      <c r="AA18" s="11" t="s">
        <v>49</v>
      </c>
      <c r="AB18" s="12">
        <v>1</v>
      </c>
      <c r="AC18" s="12">
        <v>0.38261124899145199</v>
      </c>
      <c r="AD18" s="11" t="s">
        <v>44</v>
      </c>
      <c r="AE18" s="13"/>
      <c r="AF18" s="13"/>
      <c r="AG18" s="13"/>
      <c r="AH18" s="12">
        <v>1</v>
      </c>
      <c r="AI18" s="12">
        <v>1</v>
      </c>
      <c r="AJ18" s="11" t="s">
        <v>41</v>
      </c>
      <c r="AK18" s="11" t="s">
        <v>42</v>
      </c>
      <c r="AL18" s="13"/>
      <c r="AM18" s="11" t="s">
        <v>43</v>
      </c>
      <c r="AN18" s="11" t="s">
        <v>44</v>
      </c>
      <c r="AO18" s="11" t="s">
        <v>45</v>
      </c>
      <c r="AP18" s="13"/>
    </row>
    <row r="19" spans="1:42" x14ac:dyDescent="0.15">
      <c r="A19" s="9" t="s">
        <v>53</v>
      </c>
      <c r="B19" s="10" t="s">
        <v>50</v>
      </c>
      <c r="C19" s="11" t="s">
        <v>48</v>
      </c>
      <c r="D19" s="11" t="s">
        <v>52</v>
      </c>
      <c r="E19" s="12">
        <v>35</v>
      </c>
      <c r="F19" s="12">
        <v>3</v>
      </c>
      <c r="G19" s="12">
        <v>8</v>
      </c>
      <c r="H19" s="11" t="s">
        <v>52</v>
      </c>
      <c r="I19" s="12">
        <v>1</v>
      </c>
      <c r="J19" s="12">
        <v>0.31336945798830101</v>
      </c>
      <c r="K19" s="11" t="s">
        <v>44</v>
      </c>
      <c r="L19" s="12">
        <v>8</v>
      </c>
      <c r="M19" s="12">
        <v>3</v>
      </c>
      <c r="N19" s="12">
        <v>35</v>
      </c>
      <c r="O19" s="12">
        <v>0</v>
      </c>
      <c r="P19" s="12">
        <v>36.643390209006597</v>
      </c>
      <c r="Q19" s="13"/>
      <c r="R19" s="13"/>
      <c r="S19" s="13"/>
      <c r="T19" s="13"/>
      <c r="U19" s="12">
        <v>36.635363916982897</v>
      </c>
      <c r="V19" s="12">
        <v>36.643390209006597</v>
      </c>
      <c r="W19" s="12">
        <v>37.127506333985401</v>
      </c>
      <c r="X19" s="12">
        <v>37.127506333985401</v>
      </c>
      <c r="Y19" s="12">
        <v>37.127506333985401</v>
      </c>
      <c r="Z19" s="12">
        <v>37.446212209004401</v>
      </c>
      <c r="AA19" s="11" t="s">
        <v>52</v>
      </c>
      <c r="AB19" s="12">
        <v>1</v>
      </c>
      <c r="AC19" s="12">
        <v>0.31336945798830101</v>
      </c>
      <c r="AD19" s="11" t="s">
        <v>44</v>
      </c>
      <c r="AE19" s="13"/>
      <c r="AF19" s="13"/>
      <c r="AG19" s="13"/>
      <c r="AH19" s="12">
        <v>1</v>
      </c>
      <c r="AI19" s="12">
        <v>1</v>
      </c>
      <c r="AJ19" s="11" t="s">
        <v>41</v>
      </c>
      <c r="AK19" s="11" t="s">
        <v>42</v>
      </c>
      <c r="AL19" s="13"/>
      <c r="AM19" s="11" t="s">
        <v>43</v>
      </c>
      <c r="AN19" s="11" t="s">
        <v>44</v>
      </c>
      <c r="AO19" s="11" t="s">
        <v>45</v>
      </c>
      <c r="AP19" s="13"/>
    </row>
    <row r="20" spans="1:42" x14ac:dyDescent="0.15">
      <c r="A20" s="9" t="s">
        <v>46</v>
      </c>
      <c r="B20" s="10" t="s">
        <v>47</v>
      </c>
      <c r="C20" s="11" t="s">
        <v>48</v>
      </c>
      <c r="D20" s="11" t="s">
        <v>49</v>
      </c>
      <c r="E20" s="12">
        <v>37</v>
      </c>
      <c r="F20" s="12">
        <v>1</v>
      </c>
      <c r="G20" s="12">
        <v>9</v>
      </c>
      <c r="H20" s="11" t="s">
        <v>49</v>
      </c>
      <c r="I20" s="12">
        <v>1</v>
      </c>
      <c r="J20" s="12">
        <v>0.53034833300625905</v>
      </c>
      <c r="K20" s="11" t="s">
        <v>44</v>
      </c>
      <c r="L20" s="12">
        <v>9</v>
      </c>
      <c r="M20" s="12">
        <v>1</v>
      </c>
      <c r="N20" s="12">
        <v>37</v>
      </c>
      <c r="O20" s="12">
        <v>3</v>
      </c>
      <c r="P20" s="12">
        <v>38.648899833991898</v>
      </c>
      <c r="Q20" s="13"/>
      <c r="R20" s="13"/>
      <c r="S20" s="13"/>
      <c r="T20" s="13"/>
      <c r="U20" s="12">
        <v>38.639211834000903</v>
      </c>
      <c r="V20" s="12">
        <v>38.648899833991898</v>
      </c>
      <c r="W20" s="12">
        <v>39.136373999994298</v>
      </c>
      <c r="X20" s="12">
        <v>39.136373999994298</v>
      </c>
      <c r="Y20" s="12">
        <v>39.136373999994298</v>
      </c>
      <c r="Z20" s="12">
        <v>39.668447333999197</v>
      </c>
      <c r="AA20" s="11" t="s">
        <v>49</v>
      </c>
      <c r="AB20" s="12">
        <v>1</v>
      </c>
      <c r="AC20" s="12">
        <v>0.53034833300625905</v>
      </c>
      <c r="AD20" s="11" t="s">
        <v>44</v>
      </c>
      <c r="AE20" s="13"/>
      <c r="AF20" s="13"/>
      <c r="AG20" s="13"/>
      <c r="AH20" s="12">
        <v>1</v>
      </c>
      <c r="AI20" s="12">
        <v>1</v>
      </c>
      <c r="AJ20" s="11" t="s">
        <v>41</v>
      </c>
      <c r="AK20" s="11" t="s">
        <v>42</v>
      </c>
      <c r="AL20" s="13"/>
      <c r="AM20" s="11" t="s">
        <v>43</v>
      </c>
      <c r="AN20" s="11" t="s">
        <v>44</v>
      </c>
      <c r="AO20" s="11" t="s">
        <v>45</v>
      </c>
      <c r="AP20" s="13"/>
    </row>
    <row r="21" spans="1:42" x14ac:dyDescent="0.15">
      <c r="A21" s="9" t="s">
        <v>53</v>
      </c>
      <c r="B21" s="10" t="s">
        <v>50</v>
      </c>
      <c r="C21" s="11" t="s">
        <v>48</v>
      </c>
      <c r="D21" s="11" t="s">
        <v>52</v>
      </c>
      <c r="E21" s="12">
        <v>38</v>
      </c>
      <c r="F21" s="12">
        <v>2</v>
      </c>
      <c r="G21" s="12">
        <v>9</v>
      </c>
      <c r="H21" s="11" t="s">
        <v>52</v>
      </c>
      <c r="I21" s="12">
        <v>1</v>
      </c>
      <c r="J21" s="12">
        <v>0.43383949997951299</v>
      </c>
      <c r="K21" s="11" t="s">
        <v>44</v>
      </c>
      <c r="L21" s="12">
        <v>9</v>
      </c>
      <c r="M21" s="12">
        <v>2</v>
      </c>
      <c r="N21" s="12">
        <v>38</v>
      </c>
      <c r="O21" s="12">
        <v>0</v>
      </c>
      <c r="P21" s="12">
        <v>39.682292624987902</v>
      </c>
      <c r="Q21" s="13"/>
      <c r="R21" s="13"/>
      <c r="S21" s="13"/>
      <c r="T21" s="13"/>
      <c r="U21" s="12">
        <v>39.672851249983097</v>
      </c>
      <c r="V21" s="12">
        <v>39.682292624987902</v>
      </c>
      <c r="W21" s="12">
        <v>40.1609715000086</v>
      </c>
      <c r="X21" s="12">
        <v>40.1609715000086</v>
      </c>
      <c r="Y21" s="12">
        <v>40.1609715000086</v>
      </c>
      <c r="Z21" s="12">
        <v>40.6059470839973</v>
      </c>
      <c r="AA21" s="11" t="s">
        <v>52</v>
      </c>
      <c r="AB21" s="12">
        <v>1</v>
      </c>
      <c r="AC21" s="12">
        <v>0.43383949997951299</v>
      </c>
      <c r="AD21" s="11" t="s">
        <v>44</v>
      </c>
      <c r="AE21" s="13"/>
      <c r="AF21" s="13"/>
      <c r="AG21" s="13"/>
      <c r="AH21" s="12">
        <v>1</v>
      </c>
      <c r="AI21" s="12">
        <v>1</v>
      </c>
      <c r="AJ21" s="11" t="s">
        <v>41</v>
      </c>
      <c r="AK21" s="11" t="s">
        <v>42</v>
      </c>
      <c r="AL21" s="13"/>
      <c r="AM21" s="11" t="s">
        <v>43</v>
      </c>
      <c r="AN21" s="11" t="s">
        <v>44</v>
      </c>
      <c r="AO21" s="11" t="s">
        <v>45</v>
      </c>
      <c r="AP21" s="13"/>
    </row>
    <row r="22" spans="1:42" x14ac:dyDescent="0.15">
      <c r="A22" s="9" t="s">
        <v>46</v>
      </c>
      <c r="B22" s="10" t="s">
        <v>50</v>
      </c>
      <c r="C22" s="11" t="s">
        <v>51</v>
      </c>
      <c r="D22" s="11" t="s">
        <v>52</v>
      </c>
      <c r="E22" s="12">
        <v>1</v>
      </c>
      <c r="F22" s="12">
        <v>1</v>
      </c>
      <c r="G22" s="12">
        <v>0</v>
      </c>
      <c r="H22" s="11" t="s">
        <v>52</v>
      </c>
      <c r="I22" s="12">
        <v>1</v>
      </c>
      <c r="J22" s="12">
        <v>1.00726854099776</v>
      </c>
      <c r="K22" s="11" t="s">
        <v>44</v>
      </c>
      <c r="L22" s="12">
        <v>0</v>
      </c>
      <c r="M22" s="12">
        <v>1</v>
      </c>
      <c r="N22" s="12">
        <v>1</v>
      </c>
      <c r="O22" s="12">
        <v>2</v>
      </c>
      <c r="P22" s="12">
        <v>2.4674079999967899</v>
      </c>
      <c r="Q22" s="13"/>
      <c r="R22" s="13"/>
      <c r="S22" s="13"/>
      <c r="T22" s="13"/>
      <c r="U22" s="12">
        <v>2.4577980839821998</v>
      </c>
      <c r="V22" s="12">
        <v>2.4674079999967899</v>
      </c>
      <c r="W22" s="12">
        <v>2.9508483340032399</v>
      </c>
      <c r="X22" s="12">
        <v>2.9508483340032399</v>
      </c>
      <c r="Y22" s="12">
        <v>2.9508483340032399</v>
      </c>
      <c r="Z22" s="12">
        <v>3.96203408399015</v>
      </c>
      <c r="AA22" s="11" t="s">
        <v>52</v>
      </c>
      <c r="AB22" s="12">
        <v>1</v>
      </c>
      <c r="AC22" s="12">
        <v>1.00726854099776</v>
      </c>
      <c r="AD22" s="11" t="s">
        <v>44</v>
      </c>
      <c r="AE22" s="13"/>
      <c r="AF22" s="13"/>
      <c r="AG22" s="13"/>
      <c r="AH22" s="12">
        <v>1</v>
      </c>
      <c r="AI22" s="12">
        <v>1</v>
      </c>
      <c r="AJ22" s="11" t="s">
        <v>41</v>
      </c>
      <c r="AK22" s="11" t="s">
        <v>42</v>
      </c>
      <c r="AL22" s="13"/>
      <c r="AM22" s="11" t="s">
        <v>43</v>
      </c>
      <c r="AN22" s="11" t="s">
        <v>44</v>
      </c>
      <c r="AO22" s="11" t="s">
        <v>45</v>
      </c>
      <c r="AP22" s="13"/>
    </row>
    <row r="23" spans="1:42" x14ac:dyDescent="0.15">
      <c r="A23" s="9" t="s">
        <v>53</v>
      </c>
      <c r="B23" s="10" t="s">
        <v>47</v>
      </c>
      <c r="C23" s="11" t="s">
        <v>51</v>
      </c>
      <c r="D23" s="11" t="s">
        <v>49</v>
      </c>
      <c r="E23" s="12">
        <v>3</v>
      </c>
      <c r="F23" s="12">
        <v>3</v>
      </c>
      <c r="G23" s="12">
        <v>0</v>
      </c>
      <c r="H23" s="11" t="s">
        <v>49</v>
      </c>
      <c r="I23" s="12">
        <v>1</v>
      </c>
      <c r="J23" s="12">
        <v>0.50574324998888198</v>
      </c>
      <c r="K23" s="11" t="s">
        <v>44</v>
      </c>
      <c r="L23" s="12">
        <v>0</v>
      </c>
      <c r="M23" s="12">
        <v>3</v>
      </c>
      <c r="N23" s="12">
        <v>3</v>
      </c>
      <c r="O23" s="12">
        <v>1</v>
      </c>
      <c r="P23" s="12">
        <v>5.0645363339863296</v>
      </c>
      <c r="Q23" s="13"/>
      <c r="R23" s="13"/>
      <c r="S23" s="13"/>
      <c r="T23" s="13"/>
      <c r="U23" s="12">
        <v>5.0461167089815699</v>
      </c>
      <c r="V23" s="12">
        <v>5.0645363339863296</v>
      </c>
      <c r="W23" s="12">
        <v>5.5433523340034299</v>
      </c>
      <c r="X23" s="12">
        <v>5.5433523340034299</v>
      </c>
      <c r="Y23" s="12">
        <v>5.5433523340034299</v>
      </c>
      <c r="Z23" s="12">
        <v>6.0510010840080204</v>
      </c>
      <c r="AA23" s="11" t="s">
        <v>49</v>
      </c>
      <c r="AB23" s="12">
        <v>1</v>
      </c>
      <c r="AC23" s="12">
        <v>0.50574324998888198</v>
      </c>
      <c r="AD23" s="11" t="s">
        <v>44</v>
      </c>
      <c r="AE23" s="13"/>
      <c r="AF23" s="13"/>
      <c r="AG23" s="13"/>
      <c r="AH23" s="12">
        <v>1</v>
      </c>
      <c r="AI23" s="12">
        <v>1</v>
      </c>
      <c r="AJ23" s="11" t="s">
        <v>41</v>
      </c>
      <c r="AK23" s="11" t="s">
        <v>42</v>
      </c>
      <c r="AL23" s="13"/>
      <c r="AM23" s="11" t="s">
        <v>43</v>
      </c>
      <c r="AN23" s="11" t="s">
        <v>44</v>
      </c>
      <c r="AO23" s="11" t="s">
        <v>45</v>
      </c>
      <c r="AP23" s="13"/>
    </row>
    <row r="24" spans="1:42" x14ac:dyDescent="0.15">
      <c r="A24" s="9" t="s">
        <v>46</v>
      </c>
      <c r="B24" s="10" t="s">
        <v>50</v>
      </c>
      <c r="C24" s="11" t="s">
        <v>51</v>
      </c>
      <c r="D24" s="11" t="s">
        <v>52</v>
      </c>
      <c r="E24" s="12">
        <v>4</v>
      </c>
      <c r="F24" s="12">
        <v>0</v>
      </c>
      <c r="G24" s="12">
        <v>1</v>
      </c>
      <c r="H24" s="11" t="s">
        <v>52</v>
      </c>
      <c r="I24" s="12">
        <v>1</v>
      </c>
      <c r="J24" s="12">
        <v>0.81132633297238499</v>
      </c>
      <c r="K24" s="11" t="s">
        <v>44</v>
      </c>
      <c r="L24" s="12">
        <v>1</v>
      </c>
      <c r="M24" s="12">
        <v>0</v>
      </c>
      <c r="N24" s="12">
        <v>4</v>
      </c>
      <c r="O24" s="12">
        <v>2</v>
      </c>
      <c r="P24" s="12">
        <v>6.0642508339951799</v>
      </c>
      <c r="Q24" s="13"/>
      <c r="R24" s="13"/>
      <c r="S24" s="13"/>
      <c r="T24" s="13"/>
      <c r="U24" s="12">
        <v>6.0561894589918701</v>
      </c>
      <c r="V24" s="12">
        <v>6.0642508339951799</v>
      </c>
      <c r="W24" s="12">
        <v>6.5516629169869702</v>
      </c>
      <c r="X24" s="12">
        <v>6.5516629169869702</v>
      </c>
      <c r="Y24" s="12">
        <v>6.5516629169869702</v>
      </c>
      <c r="Z24" s="12">
        <v>7.3678653749811902</v>
      </c>
      <c r="AA24" s="11" t="s">
        <v>52</v>
      </c>
      <c r="AB24" s="12">
        <v>1</v>
      </c>
      <c r="AC24" s="12">
        <v>0.81132633297238499</v>
      </c>
      <c r="AD24" s="11" t="s">
        <v>44</v>
      </c>
      <c r="AE24" s="13"/>
      <c r="AF24" s="13"/>
      <c r="AG24" s="13"/>
      <c r="AH24" s="12">
        <v>1</v>
      </c>
      <c r="AI24" s="12">
        <v>1</v>
      </c>
      <c r="AJ24" s="11" t="s">
        <v>41</v>
      </c>
      <c r="AK24" s="11" t="s">
        <v>42</v>
      </c>
      <c r="AL24" s="13"/>
      <c r="AM24" s="11" t="s">
        <v>43</v>
      </c>
      <c r="AN24" s="11" t="s">
        <v>44</v>
      </c>
      <c r="AO24" s="11" t="s">
        <v>45</v>
      </c>
      <c r="AP24" s="13"/>
    </row>
    <row r="25" spans="1:42" x14ac:dyDescent="0.15">
      <c r="A25" s="9" t="s">
        <v>53</v>
      </c>
      <c r="B25" s="10" t="s">
        <v>47</v>
      </c>
      <c r="C25" s="11" t="s">
        <v>51</v>
      </c>
      <c r="D25" s="11" t="s">
        <v>49</v>
      </c>
      <c r="E25" s="12">
        <v>6</v>
      </c>
      <c r="F25" s="12">
        <v>2</v>
      </c>
      <c r="G25" s="12">
        <v>1</v>
      </c>
      <c r="H25" s="11" t="s">
        <v>49</v>
      </c>
      <c r="I25" s="12">
        <v>1</v>
      </c>
      <c r="J25" s="12">
        <v>0.44660491700051402</v>
      </c>
      <c r="K25" s="11" t="s">
        <v>44</v>
      </c>
      <c r="L25" s="12">
        <v>1</v>
      </c>
      <c r="M25" s="12">
        <v>2</v>
      </c>
      <c r="N25" s="12">
        <v>6</v>
      </c>
      <c r="O25" s="12">
        <v>1</v>
      </c>
      <c r="P25" s="12">
        <v>8.2767250839970092</v>
      </c>
      <c r="Q25" s="13"/>
      <c r="R25" s="13"/>
      <c r="S25" s="13"/>
      <c r="T25" s="13"/>
      <c r="U25" s="12">
        <v>8.2684880839951802</v>
      </c>
      <c r="V25" s="12">
        <v>8.2767250839970092</v>
      </c>
      <c r="W25" s="12">
        <v>8.7674222500063497</v>
      </c>
      <c r="X25" s="12">
        <v>8.7674222500063497</v>
      </c>
      <c r="Y25" s="12">
        <v>8.7674222500063497</v>
      </c>
      <c r="Z25" s="12">
        <v>9.2174984999874106</v>
      </c>
      <c r="AA25" s="11" t="s">
        <v>49</v>
      </c>
      <c r="AB25" s="12">
        <v>1</v>
      </c>
      <c r="AC25" s="12">
        <v>0.44660491700051402</v>
      </c>
      <c r="AD25" s="11" t="s">
        <v>44</v>
      </c>
      <c r="AE25" s="13"/>
      <c r="AF25" s="13"/>
      <c r="AG25" s="13"/>
      <c r="AH25" s="12">
        <v>1</v>
      </c>
      <c r="AI25" s="12">
        <v>1</v>
      </c>
      <c r="AJ25" s="11" t="s">
        <v>41</v>
      </c>
      <c r="AK25" s="11" t="s">
        <v>42</v>
      </c>
      <c r="AL25" s="13"/>
      <c r="AM25" s="11" t="s">
        <v>43</v>
      </c>
      <c r="AN25" s="11" t="s">
        <v>44</v>
      </c>
      <c r="AO25" s="11" t="s">
        <v>45</v>
      </c>
      <c r="AP25" s="13"/>
    </row>
    <row r="26" spans="1:42" x14ac:dyDescent="0.15">
      <c r="A26" s="9" t="s">
        <v>53</v>
      </c>
      <c r="B26" s="10" t="s">
        <v>47</v>
      </c>
      <c r="C26" s="11" t="s">
        <v>51</v>
      </c>
      <c r="D26" s="11" t="s">
        <v>49</v>
      </c>
      <c r="E26" s="12">
        <v>8</v>
      </c>
      <c r="F26" s="12">
        <v>0</v>
      </c>
      <c r="G26" s="12">
        <v>2</v>
      </c>
      <c r="H26" s="11" t="s">
        <v>49</v>
      </c>
      <c r="I26" s="12">
        <v>1</v>
      </c>
      <c r="J26" s="12">
        <v>0.73577145801391497</v>
      </c>
      <c r="K26" s="11" t="s">
        <v>44</v>
      </c>
      <c r="L26" s="12">
        <v>2</v>
      </c>
      <c r="M26" s="12">
        <v>0</v>
      </c>
      <c r="N26" s="12">
        <v>8</v>
      </c>
      <c r="O26" s="12">
        <v>1</v>
      </c>
      <c r="P26" s="12">
        <v>10.1149664589902</v>
      </c>
      <c r="Q26" s="13"/>
      <c r="R26" s="13"/>
      <c r="S26" s="13"/>
      <c r="T26" s="13"/>
      <c r="U26" s="12">
        <v>10.104980709002101</v>
      </c>
      <c r="V26" s="12">
        <v>10.1149664589902</v>
      </c>
      <c r="W26" s="12">
        <v>10.602443709009099</v>
      </c>
      <c r="X26" s="12">
        <v>10.602443709009099</v>
      </c>
      <c r="Y26" s="12">
        <v>10.602443709009099</v>
      </c>
      <c r="Z26" s="12">
        <v>11.345328499999599</v>
      </c>
      <c r="AA26" s="11" t="s">
        <v>49</v>
      </c>
      <c r="AB26" s="12">
        <v>1</v>
      </c>
      <c r="AC26" s="12">
        <v>0.73577145801391497</v>
      </c>
      <c r="AD26" s="11" t="s">
        <v>44</v>
      </c>
      <c r="AE26" s="13"/>
      <c r="AF26" s="13"/>
      <c r="AG26" s="13"/>
      <c r="AH26" s="12">
        <v>1</v>
      </c>
      <c r="AI26" s="12">
        <v>1</v>
      </c>
      <c r="AJ26" s="11" t="s">
        <v>41</v>
      </c>
      <c r="AK26" s="11" t="s">
        <v>42</v>
      </c>
      <c r="AL26" s="13"/>
      <c r="AM26" s="11" t="s">
        <v>43</v>
      </c>
      <c r="AN26" s="11" t="s">
        <v>44</v>
      </c>
      <c r="AO26" s="11" t="s">
        <v>45</v>
      </c>
      <c r="AP26" s="13"/>
    </row>
    <row r="27" spans="1:42" x14ac:dyDescent="0.15">
      <c r="A27" s="9" t="s">
        <v>46</v>
      </c>
      <c r="B27" s="10" t="s">
        <v>50</v>
      </c>
      <c r="C27" s="11" t="s">
        <v>51</v>
      </c>
      <c r="D27" s="11" t="s">
        <v>52</v>
      </c>
      <c r="E27" s="12">
        <v>11</v>
      </c>
      <c r="F27" s="12">
        <v>3</v>
      </c>
      <c r="G27" s="12">
        <v>2</v>
      </c>
      <c r="H27" s="11" t="s">
        <v>52</v>
      </c>
      <c r="I27" s="12">
        <v>1</v>
      </c>
      <c r="J27" s="12">
        <v>0.34569895800086697</v>
      </c>
      <c r="K27" s="11" t="s">
        <v>44</v>
      </c>
      <c r="L27" s="12">
        <v>2</v>
      </c>
      <c r="M27" s="12">
        <v>3</v>
      </c>
      <c r="N27" s="12">
        <v>11</v>
      </c>
      <c r="O27" s="12">
        <v>2</v>
      </c>
      <c r="P27" s="12">
        <v>13.141268834006</v>
      </c>
      <c r="Q27" s="13"/>
      <c r="R27" s="13"/>
      <c r="S27" s="13"/>
      <c r="T27" s="13"/>
      <c r="U27" s="12">
        <v>13.1334543339908</v>
      </c>
      <c r="V27" s="12">
        <v>13.141268834006</v>
      </c>
      <c r="W27" s="12">
        <v>13.626621167000801</v>
      </c>
      <c r="X27" s="12">
        <v>13.626621167000801</v>
      </c>
      <c r="Y27" s="12">
        <v>13.626621167000801</v>
      </c>
      <c r="Z27" s="12">
        <v>13.9787123749848</v>
      </c>
      <c r="AA27" s="11" t="s">
        <v>52</v>
      </c>
      <c r="AB27" s="12">
        <v>1</v>
      </c>
      <c r="AC27" s="12">
        <v>0.34569895800086697</v>
      </c>
      <c r="AD27" s="11" t="s">
        <v>44</v>
      </c>
      <c r="AE27" s="13"/>
      <c r="AF27" s="13"/>
      <c r="AG27" s="13"/>
      <c r="AH27" s="12">
        <v>1</v>
      </c>
      <c r="AI27" s="12">
        <v>1</v>
      </c>
      <c r="AJ27" s="11" t="s">
        <v>41</v>
      </c>
      <c r="AK27" s="11" t="s">
        <v>42</v>
      </c>
      <c r="AL27" s="13"/>
      <c r="AM27" s="11" t="s">
        <v>43</v>
      </c>
      <c r="AN27" s="11" t="s">
        <v>44</v>
      </c>
      <c r="AO27" s="11" t="s">
        <v>45</v>
      </c>
      <c r="AP27" s="13"/>
    </row>
    <row r="28" spans="1:42" x14ac:dyDescent="0.15">
      <c r="A28" s="9" t="s">
        <v>53</v>
      </c>
      <c r="B28" s="10" t="s">
        <v>47</v>
      </c>
      <c r="C28" s="11" t="s">
        <v>51</v>
      </c>
      <c r="D28" s="11" t="s">
        <v>49</v>
      </c>
      <c r="E28" s="12">
        <v>14</v>
      </c>
      <c r="F28" s="12">
        <v>2</v>
      </c>
      <c r="G28" s="12">
        <v>3</v>
      </c>
      <c r="H28" s="11" t="s">
        <v>49</v>
      </c>
      <c r="I28" s="12">
        <v>1</v>
      </c>
      <c r="J28" s="12">
        <v>0.42668283300008603</v>
      </c>
      <c r="K28" s="11" t="s">
        <v>44</v>
      </c>
      <c r="L28" s="12">
        <v>3</v>
      </c>
      <c r="M28" s="12">
        <v>2</v>
      </c>
      <c r="N28" s="12">
        <v>14</v>
      </c>
      <c r="O28" s="12">
        <v>1</v>
      </c>
      <c r="P28" s="12">
        <v>15.7417759170057</v>
      </c>
      <c r="Q28" s="13"/>
      <c r="R28" s="13"/>
      <c r="S28" s="13"/>
      <c r="T28" s="13"/>
      <c r="U28" s="12">
        <v>15.7338951670099</v>
      </c>
      <c r="V28" s="12">
        <v>15.7417759170057</v>
      </c>
      <c r="W28" s="12">
        <v>16.226699333987199</v>
      </c>
      <c r="X28" s="12">
        <v>16.226699333987199</v>
      </c>
      <c r="Y28" s="12">
        <v>16.226699333987199</v>
      </c>
      <c r="Z28" s="12">
        <v>16.662269124994101</v>
      </c>
      <c r="AA28" s="11" t="s">
        <v>49</v>
      </c>
      <c r="AB28" s="12">
        <v>1</v>
      </c>
      <c r="AC28" s="12">
        <v>0.42668283300008603</v>
      </c>
      <c r="AD28" s="11" t="s">
        <v>44</v>
      </c>
      <c r="AE28" s="13"/>
      <c r="AF28" s="13"/>
      <c r="AG28" s="13"/>
      <c r="AH28" s="12">
        <v>1</v>
      </c>
      <c r="AI28" s="12">
        <v>1</v>
      </c>
      <c r="AJ28" s="11" t="s">
        <v>41</v>
      </c>
      <c r="AK28" s="11" t="s">
        <v>42</v>
      </c>
      <c r="AL28" s="13"/>
      <c r="AM28" s="11" t="s">
        <v>43</v>
      </c>
      <c r="AN28" s="11" t="s">
        <v>44</v>
      </c>
      <c r="AO28" s="11" t="s">
        <v>45</v>
      </c>
      <c r="AP28" s="13"/>
    </row>
    <row r="29" spans="1:42" x14ac:dyDescent="0.15">
      <c r="A29" s="9" t="s">
        <v>46</v>
      </c>
      <c r="B29" s="10" t="s">
        <v>50</v>
      </c>
      <c r="C29" s="11" t="s">
        <v>51</v>
      </c>
      <c r="D29" s="11" t="s">
        <v>52</v>
      </c>
      <c r="E29" s="12">
        <v>15</v>
      </c>
      <c r="F29" s="12">
        <v>3</v>
      </c>
      <c r="G29" s="12">
        <v>3</v>
      </c>
      <c r="H29" s="11" t="s">
        <v>52</v>
      </c>
      <c r="I29" s="12">
        <v>1</v>
      </c>
      <c r="J29" s="12">
        <v>0.53768391598714504</v>
      </c>
      <c r="K29" s="11" t="s">
        <v>44</v>
      </c>
      <c r="L29" s="12">
        <v>3</v>
      </c>
      <c r="M29" s="12">
        <v>3</v>
      </c>
      <c r="N29" s="12">
        <v>15</v>
      </c>
      <c r="O29" s="12">
        <v>2</v>
      </c>
      <c r="P29" s="12">
        <v>16.674814041994999</v>
      </c>
      <c r="Q29" s="13"/>
      <c r="R29" s="13"/>
      <c r="S29" s="13"/>
      <c r="T29" s="13"/>
      <c r="U29" s="12">
        <v>16.666837750002699</v>
      </c>
      <c r="V29" s="12">
        <v>16.674814041994999</v>
      </c>
      <c r="W29" s="12">
        <v>17.1605965420022</v>
      </c>
      <c r="X29" s="12">
        <v>17.1605965420022</v>
      </c>
      <c r="Y29" s="12">
        <v>17.1605965420022</v>
      </c>
      <c r="Z29" s="12">
        <v>17.701290833996602</v>
      </c>
      <c r="AA29" s="11" t="s">
        <v>52</v>
      </c>
      <c r="AB29" s="12">
        <v>1</v>
      </c>
      <c r="AC29" s="12">
        <v>0.53768391598714504</v>
      </c>
      <c r="AD29" s="11" t="s">
        <v>44</v>
      </c>
      <c r="AE29" s="13"/>
      <c r="AF29" s="13"/>
      <c r="AG29" s="13"/>
      <c r="AH29" s="12">
        <v>1</v>
      </c>
      <c r="AI29" s="12">
        <v>1</v>
      </c>
      <c r="AJ29" s="11" t="s">
        <v>41</v>
      </c>
      <c r="AK29" s="11" t="s">
        <v>42</v>
      </c>
      <c r="AL29" s="13"/>
      <c r="AM29" s="11" t="s">
        <v>43</v>
      </c>
      <c r="AN29" s="11" t="s">
        <v>44</v>
      </c>
      <c r="AO29" s="11" t="s">
        <v>45</v>
      </c>
      <c r="AP29" s="13"/>
    </row>
    <row r="30" spans="1:42" x14ac:dyDescent="0.15">
      <c r="A30" s="9" t="s">
        <v>53</v>
      </c>
      <c r="B30" s="10" t="s">
        <v>47</v>
      </c>
      <c r="C30" s="11" t="s">
        <v>51</v>
      </c>
      <c r="D30" s="11" t="s">
        <v>49</v>
      </c>
      <c r="E30" s="12">
        <v>18</v>
      </c>
      <c r="F30" s="12">
        <v>2</v>
      </c>
      <c r="G30" s="12">
        <v>4</v>
      </c>
      <c r="H30" s="11" t="s">
        <v>49</v>
      </c>
      <c r="I30" s="12">
        <v>1</v>
      </c>
      <c r="J30" s="12">
        <v>0.63788754100096401</v>
      </c>
      <c r="K30" s="11" t="s">
        <v>44</v>
      </c>
      <c r="L30" s="12">
        <v>4</v>
      </c>
      <c r="M30" s="12">
        <v>2</v>
      </c>
      <c r="N30" s="12">
        <v>18</v>
      </c>
      <c r="O30" s="12">
        <v>1</v>
      </c>
      <c r="P30" s="12">
        <v>19.728406584006699</v>
      </c>
      <c r="Q30" s="13"/>
      <c r="R30" s="13"/>
      <c r="S30" s="13"/>
      <c r="T30" s="13"/>
      <c r="U30" s="12">
        <v>19.719324208999801</v>
      </c>
      <c r="V30" s="12">
        <v>19.728406584006699</v>
      </c>
      <c r="W30" s="12">
        <v>20.218634583987299</v>
      </c>
      <c r="X30" s="12">
        <v>20.218634583987299</v>
      </c>
      <c r="Y30" s="12">
        <v>20.218634583987299</v>
      </c>
      <c r="Z30" s="12">
        <v>20.862442833982598</v>
      </c>
      <c r="AA30" s="11" t="s">
        <v>49</v>
      </c>
      <c r="AB30" s="12">
        <v>1</v>
      </c>
      <c r="AC30" s="12">
        <v>0.63788754100096401</v>
      </c>
      <c r="AD30" s="11" t="s">
        <v>44</v>
      </c>
      <c r="AE30" s="13"/>
      <c r="AF30" s="13"/>
      <c r="AG30" s="13"/>
      <c r="AH30" s="12">
        <v>1</v>
      </c>
      <c r="AI30" s="12">
        <v>1</v>
      </c>
      <c r="AJ30" s="11" t="s">
        <v>41</v>
      </c>
      <c r="AK30" s="11" t="s">
        <v>42</v>
      </c>
      <c r="AL30" s="13"/>
      <c r="AM30" s="11" t="s">
        <v>43</v>
      </c>
      <c r="AN30" s="11" t="s">
        <v>44</v>
      </c>
      <c r="AO30" s="11" t="s">
        <v>45</v>
      </c>
      <c r="AP30" s="13"/>
    </row>
    <row r="31" spans="1:42" x14ac:dyDescent="0.15">
      <c r="A31" s="9" t="s">
        <v>46</v>
      </c>
      <c r="B31" s="10" t="s">
        <v>50</v>
      </c>
      <c r="C31" s="11" t="s">
        <v>51</v>
      </c>
      <c r="D31" s="11" t="s">
        <v>52</v>
      </c>
      <c r="E31" s="12">
        <v>19</v>
      </c>
      <c r="F31" s="12">
        <v>3</v>
      </c>
      <c r="G31" s="12">
        <v>4</v>
      </c>
      <c r="H31" s="11" t="s">
        <v>52</v>
      </c>
      <c r="I31" s="12">
        <v>1</v>
      </c>
      <c r="J31" s="12">
        <v>0.99325766600668397</v>
      </c>
      <c r="K31" s="11" t="s">
        <v>44</v>
      </c>
      <c r="L31" s="12">
        <v>4</v>
      </c>
      <c r="M31" s="12">
        <v>3</v>
      </c>
      <c r="N31" s="12">
        <v>19</v>
      </c>
      <c r="O31" s="12">
        <v>2</v>
      </c>
      <c r="P31" s="12">
        <v>20.8756818340044</v>
      </c>
      <c r="Q31" s="13"/>
      <c r="R31" s="13"/>
      <c r="S31" s="13"/>
      <c r="T31" s="13"/>
      <c r="U31" s="12">
        <v>20.867689749982699</v>
      </c>
      <c r="V31" s="12">
        <v>20.8756818340044</v>
      </c>
      <c r="W31" s="12">
        <v>21.360171624983199</v>
      </c>
      <c r="X31" s="12">
        <v>21.360171624983199</v>
      </c>
      <c r="Y31" s="12">
        <v>21.360171624983199</v>
      </c>
      <c r="Z31" s="12">
        <v>22.362424583989199</v>
      </c>
      <c r="AA31" s="11" t="s">
        <v>52</v>
      </c>
      <c r="AB31" s="12">
        <v>1</v>
      </c>
      <c r="AC31" s="12">
        <v>0.99325766600668397</v>
      </c>
      <c r="AD31" s="11" t="s">
        <v>44</v>
      </c>
      <c r="AE31" s="13"/>
      <c r="AF31" s="13"/>
      <c r="AG31" s="13"/>
      <c r="AH31" s="12">
        <v>1</v>
      </c>
      <c r="AI31" s="12">
        <v>1</v>
      </c>
      <c r="AJ31" s="11" t="s">
        <v>41</v>
      </c>
      <c r="AK31" s="11" t="s">
        <v>42</v>
      </c>
      <c r="AL31" s="13"/>
      <c r="AM31" s="11" t="s">
        <v>43</v>
      </c>
      <c r="AN31" s="11" t="s">
        <v>44</v>
      </c>
      <c r="AO31" s="11" t="s">
        <v>45</v>
      </c>
      <c r="AP31" s="13"/>
    </row>
    <row r="32" spans="1:42" x14ac:dyDescent="0.15">
      <c r="A32" s="9" t="s">
        <v>53</v>
      </c>
      <c r="B32" s="10" t="s">
        <v>47</v>
      </c>
      <c r="C32" s="11" t="s">
        <v>51</v>
      </c>
      <c r="D32" s="11" t="s">
        <v>49</v>
      </c>
      <c r="E32" s="12">
        <v>22</v>
      </c>
      <c r="F32" s="12">
        <v>2</v>
      </c>
      <c r="G32" s="12">
        <v>5</v>
      </c>
      <c r="H32" s="11" t="s">
        <v>49</v>
      </c>
      <c r="I32" s="12">
        <v>1</v>
      </c>
      <c r="J32" s="12">
        <v>0.34810758300591299</v>
      </c>
      <c r="K32" s="11" t="s">
        <v>44</v>
      </c>
      <c r="L32" s="12">
        <v>5</v>
      </c>
      <c r="M32" s="12">
        <v>2</v>
      </c>
      <c r="N32" s="12">
        <v>22</v>
      </c>
      <c r="O32" s="12">
        <v>1</v>
      </c>
      <c r="P32" s="12">
        <v>24.492494334001101</v>
      </c>
      <c r="Q32" s="13"/>
      <c r="R32" s="13"/>
      <c r="S32" s="13"/>
      <c r="T32" s="13"/>
      <c r="U32" s="12">
        <v>24.484779041988102</v>
      </c>
      <c r="V32" s="12">
        <v>24.492494334001101</v>
      </c>
      <c r="W32" s="12">
        <v>24.9775061669934</v>
      </c>
      <c r="X32" s="12">
        <v>24.9775061669934</v>
      </c>
      <c r="Y32" s="12">
        <v>24.9775061669934</v>
      </c>
      <c r="Z32" s="12">
        <v>25.329202749999201</v>
      </c>
      <c r="AA32" s="11" t="s">
        <v>49</v>
      </c>
      <c r="AB32" s="12">
        <v>1</v>
      </c>
      <c r="AC32" s="12">
        <v>0.34810758300591299</v>
      </c>
      <c r="AD32" s="11" t="s">
        <v>44</v>
      </c>
      <c r="AE32" s="13"/>
      <c r="AF32" s="13"/>
      <c r="AG32" s="13"/>
      <c r="AH32" s="12">
        <v>1</v>
      </c>
      <c r="AI32" s="12">
        <v>1</v>
      </c>
      <c r="AJ32" s="11" t="s">
        <v>41</v>
      </c>
      <c r="AK32" s="11" t="s">
        <v>42</v>
      </c>
      <c r="AL32" s="13"/>
      <c r="AM32" s="11" t="s">
        <v>43</v>
      </c>
      <c r="AN32" s="11" t="s">
        <v>44</v>
      </c>
      <c r="AO32" s="11" t="s">
        <v>45</v>
      </c>
      <c r="AP32" s="13"/>
    </row>
    <row r="33" spans="1:42" x14ac:dyDescent="0.15">
      <c r="A33" s="9" t="s">
        <v>46</v>
      </c>
      <c r="B33" s="10" t="s">
        <v>50</v>
      </c>
      <c r="C33" s="11" t="s">
        <v>51</v>
      </c>
      <c r="D33" s="11" t="s">
        <v>52</v>
      </c>
      <c r="E33" s="12">
        <v>23</v>
      </c>
      <c r="F33" s="12">
        <v>3</v>
      </c>
      <c r="G33" s="12">
        <v>5</v>
      </c>
      <c r="H33" s="11" t="s">
        <v>52</v>
      </c>
      <c r="I33" s="12">
        <v>1</v>
      </c>
      <c r="J33" s="12">
        <v>0.46197604099870698</v>
      </c>
      <c r="K33" s="11" t="s">
        <v>44</v>
      </c>
      <c r="L33" s="12">
        <v>5</v>
      </c>
      <c r="M33" s="12">
        <v>3</v>
      </c>
      <c r="N33" s="12">
        <v>23</v>
      </c>
      <c r="O33" s="12">
        <v>2</v>
      </c>
      <c r="P33" s="12">
        <v>25.342340125003801</v>
      </c>
      <c r="Q33" s="13"/>
      <c r="R33" s="13"/>
      <c r="S33" s="13"/>
      <c r="T33" s="13"/>
      <c r="U33" s="12">
        <v>25.334232374996599</v>
      </c>
      <c r="V33" s="12">
        <v>25.342340125003801</v>
      </c>
      <c r="W33" s="12">
        <v>25.8276361669996</v>
      </c>
      <c r="X33" s="12">
        <v>25.8276361669996</v>
      </c>
      <c r="Y33" s="12">
        <v>25.8276361669996</v>
      </c>
      <c r="Z33" s="12">
        <v>26.295812666998199</v>
      </c>
      <c r="AA33" s="11" t="s">
        <v>52</v>
      </c>
      <c r="AB33" s="12">
        <v>1</v>
      </c>
      <c r="AC33" s="12">
        <v>0.46197604099870698</v>
      </c>
      <c r="AD33" s="11" t="s">
        <v>44</v>
      </c>
      <c r="AE33" s="13"/>
      <c r="AF33" s="13"/>
      <c r="AG33" s="13"/>
      <c r="AH33" s="12">
        <v>1</v>
      </c>
      <c r="AI33" s="12">
        <v>1</v>
      </c>
      <c r="AJ33" s="11" t="s">
        <v>41</v>
      </c>
      <c r="AK33" s="11" t="s">
        <v>42</v>
      </c>
      <c r="AL33" s="13"/>
      <c r="AM33" s="11" t="s">
        <v>43</v>
      </c>
      <c r="AN33" s="11" t="s">
        <v>44</v>
      </c>
      <c r="AO33" s="11" t="s">
        <v>45</v>
      </c>
      <c r="AP33" s="13"/>
    </row>
    <row r="34" spans="1:42" x14ac:dyDescent="0.15">
      <c r="A34" s="9" t="s">
        <v>53</v>
      </c>
      <c r="B34" s="10" t="s">
        <v>47</v>
      </c>
      <c r="C34" s="11" t="s">
        <v>51</v>
      </c>
      <c r="D34" s="11" t="s">
        <v>49</v>
      </c>
      <c r="E34" s="12">
        <v>24</v>
      </c>
      <c r="F34" s="12">
        <v>0</v>
      </c>
      <c r="G34" s="12">
        <v>6</v>
      </c>
      <c r="H34" s="11" t="s">
        <v>49</v>
      </c>
      <c r="I34" s="12">
        <v>1</v>
      </c>
      <c r="J34" s="12">
        <v>0.40739508299157001</v>
      </c>
      <c r="K34" s="11" t="s">
        <v>44</v>
      </c>
      <c r="L34" s="12">
        <v>6</v>
      </c>
      <c r="M34" s="12">
        <v>0</v>
      </c>
      <c r="N34" s="12">
        <v>24</v>
      </c>
      <c r="O34" s="12">
        <v>1</v>
      </c>
      <c r="P34" s="12">
        <v>26.307246334006798</v>
      </c>
      <c r="Q34" s="13"/>
      <c r="R34" s="13"/>
      <c r="S34" s="13"/>
      <c r="T34" s="13"/>
      <c r="U34" s="12">
        <v>26.299509834003398</v>
      </c>
      <c r="V34" s="12">
        <v>26.307246334006798</v>
      </c>
      <c r="W34" s="12">
        <v>26.793869166984202</v>
      </c>
      <c r="X34" s="12">
        <v>26.793869166984202</v>
      </c>
      <c r="Y34" s="12">
        <v>26.793869166984202</v>
      </c>
      <c r="Z34" s="12">
        <v>27.2125451669854</v>
      </c>
      <c r="AA34" s="11" t="s">
        <v>49</v>
      </c>
      <c r="AB34" s="12">
        <v>1</v>
      </c>
      <c r="AC34" s="12">
        <v>0.40739508299157001</v>
      </c>
      <c r="AD34" s="11" t="s">
        <v>44</v>
      </c>
      <c r="AE34" s="13"/>
      <c r="AF34" s="13"/>
      <c r="AG34" s="13"/>
      <c r="AH34" s="12">
        <v>1</v>
      </c>
      <c r="AI34" s="12">
        <v>1</v>
      </c>
      <c r="AJ34" s="11" t="s">
        <v>41</v>
      </c>
      <c r="AK34" s="11" t="s">
        <v>42</v>
      </c>
      <c r="AL34" s="13"/>
      <c r="AM34" s="11" t="s">
        <v>43</v>
      </c>
      <c r="AN34" s="11" t="s">
        <v>44</v>
      </c>
      <c r="AO34" s="11" t="s">
        <v>45</v>
      </c>
      <c r="AP34" s="13"/>
    </row>
    <row r="35" spans="1:42" x14ac:dyDescent="0.15">
      <c r="A35" s="9" t="s">
        <v>46</v>
      </c>
      <c r="B35" s="10" t="s">
        <v>50</v>
      </c>
      <c r="C35" s="11" t="s">
        <v>51</v>
      </c>
      <c r="D35" s="11" t="s">
        <v>52</v>
      </c>
      <c r="E35" s="12">
        <v>27</v>
      </c>
      <c r="F35" s="12">
        <v>3</v>
      </c>
      <c r="G35" s="12">
        <v>6</v>
      </c>
      <c r="H35" s="11" t="s">
        <v>52</v>
      </c>
      <c r="I35" s="12">
        <v>1</v>
      </c>
      <c r="J35" s="12">
        <v>0.59912124901893604</v>
      </c>
      <c r="K35" s="11" t="s">
        <v>44</v>
      </c>
      <c r="L35" s="12">
        <v>6</v>
      </c>
      <c r="M35" s="12">
        <v>3</v>
      </c>
      <c r="N35" s="12">
        <v>27</v>
      </c>
      <c r="O35" s="12">
        <v>2</v>
      </c>
      <c r="P35" s="12">
        <v>28.991868584009399</v>
      </c>
      <c r="Q35" s="13"/>
      <c r="R35" s="13"/>
      <c r="S35" s="13"/>
      <c r="T35" s="13"/>
      <c r="U35" s="12">
        <v>28.983849709009501</v>
      </c>
      <c r="V35" s="12">
        <v>28.991868584009399</v>
      </c>
      <c r="W35" s="12">
        <v>29.477541416999902</v>
      </c>
      <c r="X35" s="12">
        <v>29.477541416999902</v>
      </c>
      <c r="Y35" s="12">
        <v>29.477541416999902</v>
      </c>
      <c r="Z35" s="12">
        <v>30.0798283339827</v>
      </c>
      <c r="AA35" s="11" t="s">
        <v>52</v>
      </c>
      <c r="AB35" s="12">
        <v>1</v>
      </c>
      <c r="AC35" s="12">
        <v>0.59912124901893604</v>
      </c>
      <c r="AD35" s="11" t="s">
        <v>44</v>
      </c>
      <c r="AE35" s="13"/>
      <c r="AF35" s="13"/>
      <c r="AG35" s="13"/>
      <c r="AH35" s="12">
        <v>1</v>
      </c>
      <c r="AI35" s="12">
        <v>1</v>
      </c>
      <c r="AJ35" s="11" t="s">
        <v>41</v>
      </c>
      <c r="AK35" s="11" t="s">
        <v>42</v>
      </c>
      <c r="AL35" s="13"/>
      <c r="AM35" s="11" t="s">
        <v>43</v>
      </c>
      <c r="AN35" s="11" t="s">
        <v>44</v>
      </c>
      <c r="AO35" s="11" t="s">
        <v>45</v>
      </c>
      <c r="AP35" s="13"/>
    </row>
    <row r="36" spans="1:42" x14ac:dyDescent="0.15">
      <c r="A36" s="9" t="s">
        <v>46</v>
      </c>
      <c r="B36" s="10" t="s">
        <v>50</v>
      </c>
      <c r="C36" s="11" t="s">
        <v>51</v>
      </c>
      <c r="D36" s="11" t="s">
        <v>52</v>
      </c>
      <c r="E36" s="12">
        <v>28</v>
      </c>
      <c r="F36" s="12">
        <v>0</v>
      </c>
      <c r="G36" s="12">
        <v>7</v>
      </c>
      <c r="H36" s="11" t="s">
        <v>52</v>
      </c>
      <c r="I36" s="12">
        <v>1</v>
      </c>
      <c r="J36" s="12">
        <v>0.40509533300064499</v>
      </c>
      <c r="K36" s="11" t="s">
        <v>44</v>
      </c>
      <c r="L36" s="12">
        <v>7</v>
      </c>
      <c r="M36" s="12">
        <v>0</v>
      </c>
      <c r="N36" s="12">
        <v>28</v>
      </c>
      <c r="O36" s="12">
        <v>2</v>
      </c>
      <c r="P36" s="12">
        <v>30.090195875003701</v>
      </c>
      <c r="Q36" s="13"/>
      <c r="R36" s="13"/>
      <c r="S36" s="13"/>
      <c r="T36" s="13"/>
      <c r="U36" s="12">
        <v>30.080996208998801</v>
      </c>
      <c r="V36" s="12">
        <v>30.090195875003701</v>
      </c>
      <c r="W36" s="12">
        <v>30.577490374998899</v>
      </c>
      <c r="X36" s="12">
        <v>30.577490374998899</v>
      </c>
      <c r="Y36" s="12">
        <v>30.577490374998899</v>
      </c>
      <c r="Z36" s="12">
        <v>30.9840442499844</v>
      </c>
      <c r="AA36" s="11" t="s">
        <v>52</v>
      </c>
      <c r="AB36" s="12">
        <v>1</v>
      </c>
      <c r="AC36" s="12">
        <v>0.40509533300064499</v>
      </c>
      <c r="AD36" s="11" t="s">
        <v>44</v>
      </c>
      <c r="AE36" s="13"/>
      <c r="AF36" s="13"/>
      <c r="AG36" s="13"/>
      <c r="AH36" s="12">
        <v>1</v>
      </c>
      <c r="AI36" s="12">
        <v>1</v>
      </c>
      <c r="AJ36" s="11" t="s">
        <v>41</v>
      </c>
      <c r="AK36" s="11" t="s">
        <v>42</v>
      </c>
      <c r="AL36" s="13"/>
      <c r="AM36" s="11" t="s">
        <v>43</v>
      </c>
      <c r="AN36" s="11" t="s">
        <v>44</v>
      </c>
      <c r="AO36" s="11" t="s">
        <v>45</v>
      </c>
      <c r="AP36" s="13"/>
    </row>
    <row r="37" spans="1:42" x14ac:dyDescent="0.15">
      <c r="A37" s="9" t="s">
        <v>53</v>
      </c>
      <c r="B37" s="10" t="s">
        <v>47</v>
      </c>
      <c r="C37" s="11" t="s">
        <v>51</v>
      </c>
      <c r="D37" s="11" t="s">
        <v>49</v>
      </c>
      <c r="E37" s="12">
        <v>31</v>
      </c>
      <c r="F37" s="12">
        <v>3</v>
      </c>
      <c r="G37" s="12">
        <v>7</v>
      </c>
      <c r="H37" s="11" t="s">
        <v>49</v>
      </c>
      <c r="I37" s="12">
        <v>1</v>
      </c>
      <c r="J37" s="12">
        <v>0.34868158301105701</v>
      </c>
      <c r="K37" s="11" t="s">
        <v>44</v>
      </c>
      <c r="L37" s="12">
        <v>7</v>
      </c>
      <c r="M37" s="12">
        <v>3</v>
      </c>
      <c r="N37" s="12">
        <v>31</v>
      </c>
      <c r="O37" s="12">
        <v>1</v>
      </c>
      <c r="P37" s="12">
        <v>32.781931250006899</v>
      </c>
      <c r="Q37" s="13"/>
      <c r="R37" s="13"/>
      <c r="S37" s="13"/>
      <c r="T37" s="13"/>
      <c r="U37" s="12">
        <v>32.772256958996898</v>
      </c>
      <c r="V37" s="12">
        <v>32.781931250006899</v>
      </c>
      <c r="W37" s="12">
        <v>33.269816041982303</v>
      </c>
      <c r="X37" s="12">
        <v>33.269816041982303</v>
      </c>
      <c r="Y37" s="12">
        <v>33.269816041982303</v>
      </c>
      <c r="Z37" s="12">
        <v>33.629478249989901</v>
      </c>
      <c r="AA37" s="11" t="s">
        <v>49</v>
      </c>
      <c r="AB37" s="12">
        <v>1</v>
      </c>
      <c r="AC37" s="12">
        <v>0.34868158301105701</v>
      </c>
      <c r="AD37" s="11" t="s">
        <v>44</v>
      </c>
      <c r="AE37" s="13"/>
      <c r="AF37" s="13"/>
      <c r="AG37" s="13"/>
      <c r="AH37" s="12">
        <v>1</v>
      </c>
      <c r="AI37" s="12">
        <v>1</v>
      </c>
      <c r="AJ37" s="11" t="s">
        <v>41</v>
      </c>
      <c r="AK37" s="11" t="s">
        <v>42</v>
      </c>
      <c r="AL37" s="13"/>
      <c r="AM37" s="11" t="s">
        <v>43</v>
      </c>
      <c r="AN37" s="11" t="s">
        <v>44</v>
      </c>
      <c r="AO37" s="11" t="s">
        <v>45</v>
      </c>
      <c r="AP37" s="13"/>
    </row>
    <row r="38" spans="1:42" x14ac:dyDescent="0.15">
      <c r="A38" s="9" t="s">
        <v>46</v>
      </c>
      <c r="B38" s="10" t="s">
        <v>50</v>
      </c>
      <c r="C38" s="11" t="s">
        <v>51</v>
      </c>
      <c r="D38" s="11" t="s">
        <v>52</v>
      </c>
      <c r="E38" s="12">
        <v>32</v>
      </c>
      <c r="F38" s="12">
        <v>0</v>
      </c>
      <c r="G38" s="12">
        <v>8</v>
      </c>
      <c r="H38" s="11" t="s">
        <v>52</v>
      </c>
      <c r="I38" s="12">
        <v>1</v>
      </c>
      <c r="J38" s="12">
        <v>0.45222195799578901</v>
      </c>
      <c r="K38" s="11" t="s">
        <v>44</v>
      </c>
      <c r="L38" s="12">
        <v>8</v>
      </c>
      <c r="M38" s="12">
        <v>0</v>
      </c>
      <c r="N38" s="12">
        <v>32</v>
      </c>
      <c r="O38" s="12">
        <v>2</v>
      </c>
      <c r="P38" s="12">
        <v>33.642145999998299</v>
      </c>
      <c r="Q38" s="13"/>
      <c r="R38" s="13"/>
      <c r="S38" s="13"/>
      <c r="T38" s="13"/>
      <c r="U38" s="12">
        <v>33.633963083993898</v>
      </c>
      <c r="V38" s="12">
        <v>33.642145999998299</v>
      </c>
      <c r="W38" s="12">
        <v>34.127233959006801</v>
      </c>
      <c r="X38" s="12">
        <v>34.127233959006801</v>
      </c>
      <c r="Y38" s="12">
        <v>34.127233959006801</v>
      </c>
      <c r="Z38" s="12">
        <v>34.584304166986797</v>
      </c>
      <c r="AA38" s="11" t="s">
        <v>52</v>
      </c>
      <c r="AB38" s="12">
        <v>1</v>
      </c>
      <c r="AC38" s="12">
        <v>0.45222195799578901</v>
      </c>
      <c r="AD38" s="11" t="s">
        <v>44</v>
      </c>
      <c r="AE38" s="13"/>
      <c r="AF38" s="13"/>
      <c r="AG38" s="13"/>
      <c r="AH38" s="12">
        <v>1</v>
      </c>
      <c r="AI38" s="12">
        <v>1</v>
      </c>
      <c r="AJ38" s="11" t="s">
        <v>41</v>
      </c>
      <c r="AK38" s="11" t="s">
        <v>42</v>
      </c>
      <c r="AL38" s="13"/>
      <c r="AM38" s="11" t="s">
        <v>43</v>
      </c>
      <c r="AN38" s="11" t="s">
        <v>44</v>
      </c>
      <c r="AO38" s="11" t="s">
        <v>45</v>
      </c>
      <c r="AP38" s="13"/>
    </row>
    <row r="39" spans="1:42" x14ac:dyDescent="0.15">
      <c r="A39" s="9" t="s">
        <v>53</v>
      </c>
      <c r="B39" s="10" t="s">
        <v>47</v>
      </c>
      <c r="C39" s="11" t="s">
        <v>51</v>
      </c>
      <c r="D39" s="11" t="s">
        <v>49</v>
      </c>
      <c r="E39" s="12">
        <v>33</v>
      </c>
      <c r="F39" s="12">
        <v>1</v>
      </c>
      <c r="G39" s="12">
        <v>8</v>
      </c>
      <c r="H39" s="11" t="s">
        <v>49</v>
      </c>
      <c r="I39" s="12">
        <v>1</v>
      </c>
      <c r="J39" s="12">
        <v>0.65423487499356303</v>
      </c>
      <c r="K39" s="11" t="s">
        <v>44</v>
      </c>
      <c r="L39" s="12">
        <v>8</v>
      </c>
      <c r="M39" s="12">
        <v>1</v>
      </c>
      <c r="N39" s="12">
        <v>33</v>
      </c>
      <c r="O39" s="12">
        <v>1</v>
      </c>
      <c r="P39" s="12">
        <v>34.611169499985401</v>
      </c>
      <c r="Q39" s="13"/>
      <c r="R39" s="13"/>
      <c r="S39" s="13"/>
      <c r="T39" s="13"/>
      <c r="U39" s="12">
        <v>34.587831167009398</v>
      </c>
      <c r="V39" s="12">
        <v>34.611169499985401</v>
      </c>
      <c r="W39" s="12">
        <v>35.077397749992102</v>
      </c>
      <c r="X39" s="12">
        <v>35.077397749992102</v>
      </c>
      <c r="Y39" s="12">
        <v>35.077397749992102</v>
      </c>
      <c r="Z39" s="12">
        <v>35.735136542003602</v>
      </c>
      <c r="AA39" s="11" t="s">
        <v>49</v>
      </c>
      <c r="AB39" s="12">
        <v>1</v>
      </c>
      <c r="AC39" s="12">
        <v>0.65423487499356303</v>
      </c>
      <c r="AD39" s="11" t="s">
        <v>44</v>
      </c>
      <c r="AE39" s="13"/>
      <c r="AF39" s="13"/>
      <c r="AG39" s="13"/>
      <c r="AH39" s="12">
        <v>1</v>
      </c>
      <c r="AI39" s="12">
        <v>1</v>
      </c>
      <c r="AJ39" s="11" t="s">
        <v>41</v>
      </c>
      <c r="AK39" s="11" t="s">
        <v>42</v>
      </c>
      <c r="AL39" s="13"/>
      <c r="AM39" s="11" t="s">
        <v>43</v>
      </c>
      <c r="AN39" s="11" t="s">
        <v>44</v>
      </c>
      <c r="AO39" s="11" t="s">
        <v>45</v>
      </c>
      <c r="AP39" s="13"/>
    </row>
    <row r="40" spans="1:42" x14ac:dyDescent="0.15">
      <c r="A40" s="9" t="s">
        <v>53</v>
      </c>
      <c r="B40" s="10" t="s">
        <v>47</v>
      </c>
      <c r="C40" s="11" t="s">
        <v>51</v>
      </c>
      <c r="D40" s="11" t="s">
        <v>49</v>
      </c>
      <c r="E40" s="12">
        <v>36</v>
      </c>
      <c r="F40" s="12">
        <v>0</v>
      </c>
      <c r="G40" s="12">
        <v>9</v>
      </c>
      <c r="H40" s="11" t="s">
        <v>49</v>
      </c>
      <c r="I40" s="12">
        <v>1</v>
      </c>
      <c r="J40" s="12">
        <v>0.68803770799422603</v>
      </c>
      <c r="K40" s="11" t="s">
        <v>44</v>
      </c>
      <c r="L40" s="12">
        <v>9</v>
      </c>
      <c r="M40" s="12">
        <v>0</v>
      </c>
      <c r="N40" s="12">
        <v>36</v>
      </c>
      <c r="O40" s="12">
        <v>1</v>
      </c>
      <c r="P40" s="12">
        <v>37.455771916982499</v>
      </c>
      <c r="Q40" s="13"/>
      <c r="R40" s="13"/>
      <c r="S40" s="13"/>
      <c r="T40" s="13"/>
      <c r="U40" s="12">
        <v>37.447316000005202</v>
      </c>
      <c r="V40" s="12">
        <v>37.455771916982499</v>
      </c>
      <c r="W40" s="12">
        <v>37.944640083995203</v>
      </c>
      <c r="X40" s="12">
        <v>37.944640083995203</v>
      </c>
      <c r="Y40" s="12">
        <v>37.944640083995203</v>
      </c>
      <c r="Z40" s="12">
        <v>38.635069999989398</v>
      </c>
      <c r="AA40" s="11" t="s">
        <v>49</v>
      </c>
      <c r="AB40" s="12">
        <v>1</v>
      </c>
      <c r="AC40" s="12">
        <v>0.68803770799422603</v>
      </c>
      <c r="AD40" s="11" t="s">
        <v>44</v>
      </c>
      <c r="AE40" s="13"/>
      <c r="AF40" s="13"/>
      <c r="AG40" s="13"/>
      <c r="AH40" s="12">
        <v>1</v>
      </c>
      <c r="AI40" s="12">
        <v>1</v>
      </c>
      <c r="AJ40" s="11" t="s">
        <v>41</v>
      </c>
      <c r="AK40" s="11" t="s">
        <v>42</v>
      </c>
      <c r="AL40" s="13"/>
      <c r="AM40" s="11" t="s">
        <v>43</v>
      </c>
      <c r="AN40" s="11" t="s">
        <v>44</v>
      </c>
      <c r="AO40" s="11" t="s">
        <v>45</v>
      </c>
      <c r="AP40" s="13"/>
    </row>
    <row r="41" spans="1:42" x14ac:dyDescent="0.15">
      <c r="A41" s="9" t="s">
        <v>46</v>
      </c>
      <c r="B41" s="10" t="s">
        <v>50</v>
      </c>
      <c r="C41" s="11" t="s">
        <v>51</v>
      </c>
      <c r="D41" s="11" t="s">
        <v>52</v>
      </c>
      <c r="E41" s="12">
        <v>39</v>
      </c>
      <c r="F41" s="12">
        <v>3</v>
      </c>
      <c r="G41" s="12">
        <v>9</v>
      </c>
      <c r="H41" s="11" t="s">
        <v>52</v>
      </c>
      <c r="I41" s="12">
        <v>1</v>
      </c>
      <c r="J41" s="12">
        <v>0.62573249900015104</v>
      </c>
      <c r="K41" s="11" t="s">
        <v>44</v>
      </c>
      <c r="L41" s="12">
        <v>9</v>
      </c>
      <c r="M41" s="12">
        <v>3</v>
      </c>
      <c r="N41" s="12">
        <v>39</v>
      </c>
      <c r="O41" s="12">
        <v>2</v>
      </c>
      <c r="P41" s="12">
        <v>40.615446541982202</v>
      </c>
      <c r="Q41" s="13"/>
      <c r="R41" s="13"/>
      <c r="S41" s="13"/>
      <c r="T41" s="13"/>
      <c r="U41" s="12">
        <v>40.609576999995603</v>
      </c>
      <c r="V41" s="12">
        <v>40.615446541982202</v>
      </c>
      <c r="W41" s="12">
        <v>41.104030249989599</v>
      </c>
      <c r="X41" s="12">
        <v>41.104030249989599</v>
      </c>
      <c r="Y41" s="12">
        <v>41.104030249989599</v>
      </c>
      <c r="Z41" s="12">
        <v>41.735730666987401</v>
      </c>
      <c r="AA41" s="11" t="s">
        <v>52</v>
      </c>
      <c r="AB41" s="12">
        <v>1</v>
      </c>
      <c r="AC41" s="12">
        <v>0.62573249900015104</v>
      </c>
      <c r="AD41" s="11" t="s">
        <v>44</v>
      </c>
      <c r="AE41" s="13"/>
      <c r="AF41" s="13"/>
      <c r="AG41" s="13"/>
      <c r="AH41" s="12">
        <v>1</v>
      </c>
      <c r="AI41" s="12">
        <v>1</v>
      </c>
      <c r="AJ41" s="11" t="s">
        <v>41</v>
      </c>
      <c r="AK41" s="11" t="s">
        <v>42</v>
      </c>
      <c r="AL41" s="13"/>
      <c r="AM41" s="11" t="s">
        <v>43</v>
      </c>
      <c r="AN41" s="11" t="s">
        <v>44</v>
      </c>
      <c r="AO41" s="11" t="s">
        <v>45</v>
      </c>
      <c r="AP41" s="13"/>
    </row>
    <row r="42" spans="1:42" x14ac:dyDescent="0.15">
      <c r="A42" s="14"/>
      <c r="B42" s="15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2">
        <v>1.08339590078685E-2</v>
      </c>
      <c r="S42" s="12">
        <v>2.7413375006290201E-2</v>
      </c>
      <c r="T42" s="12">
        <v>1.0100437499932</v>
      </c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2">
        <v>1</v>
      </c>
      <c r="AI42" s="12">
        <v>1</v>
      </c>
      <c r="AJ42" s="11" t="s">
        <v>41</v>
      </c>
      <c r="AK42" s="11" t="s">
        <v>42</v>
      </c>
      <c r="AL42" s="13"/>
      <c r="AM42" s="11" t="s">
        <v>43</v>
      </c>
      <c r="AN42" s="11" t="s">
        <v>44</v>
      </c>
      <c r="AO42" s="11" t="s">
        <v>45</v>
      </c>
      <c r="AP42" s="13"/>
    </row>
    <row r="43" spans="1:42" x14ac:dyDescent="0.15">
      <c r="A43" s="14"/>
      <c r="B43" s="15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2">
        <v>41.736004792008302</v>
      </c>
      <c r="AF43" s="12">
        <v>41.7616394170036</v>
      </c>
      <c r="AG43" s="12">
        <v>42.744987459009302</v>
      </c>
      <c r="AH43" s="12">
        <v>1</v>
      </c>
      <c r="AI43" s="12">
        <v>1</v>
      </c>
      <c r="AJ43" s="11" t="s">
        <v>41</v>
      </c>
      <c r="AK43" s="11" t="s">
        <v>42</v>
      </c>
      <c r="AL43" s="13"/>
      <c r="AM43" s="11" t="s">
        <v>43</v>
      </c>
      <c r="AN43" s="11" t="s">
        <v>44</v>
      </c>
      <c r="AO43" s="11" t="s">
        <v>45</v>
      </c>
      <c r="AP43" s="13"/>
    </row>
    <row r="45" spans="1:42" ht="14" x14ac:dyDescent="0.15">
      <c r="A45" s="18" t="s">
        <v>59</v>
      </c>
      <c r="B45" s="19">
        <f>AVERAGEIF(C2:C41, "C", J2:J41)</f>
        <v>0.44562586199899668</v>
      </c>
    </row>
    <row r="46" spans="1:42" ht="14" x14ac:dyDescent="0.15">
      <c r="A46" s="18" t="s">
        <v>60</v>
      </c>
      <c r="B46" s="19">
        <f>AVERAGEIF(C2:C41, "I", J2:J41)</f>
        <v>0.57192646624898802</v>
      </c>
    </row>
    <row r="47" spans="1:42" ht="14" x14ac:dyDescent="0.15">
      <c r="A47" s="18" t="s">
        <v>61</v>
      </c>
      <c r="B47" s="19">
        <f>B46-B45</f>
        <v>0.12630060424999134</v>
      </c>
    </row>
    <row r="49" spans="1:2" ht="14" x14ac:dyDescent="0.15">
      <c r="A49" s="18" t="s">
        <v>62</v>
      </c>
      <c r="B49" s="19">
        <f>_xlfn.STDEV.S(A56:A75)</f>
        <v>0.10707852989589309</v>
      </c>
    </row>
    <row r="50" spans="1:2" ht="14" x14ac:dyDescent="0.15">
      <c r="A50" s="18" t="s">
        <v>63</v>
      </c>
      <c r="B50" s="19">
        <f>_xlfn.STDEV.S(B56:B75)</f>
        <v>0.1992393008634902</v>
      </c>
    </row>
    <row r="54" spans="1:2" ht="14" x14ac:dyDescent="0.15">
      <c r="A54" s="18" t="s">
        <v>54</v>
      </c>
      <c r="B54" s="18" t="s">
        <v>55</v>
      </c>
    </row>
    <row r="55" spans="1:2" ht="14" x14ac:dyDescent="0.15">
      <c r="A55" s="18" t="s">
        <v>56</v>
      </c>
      <c r="B55" s="18" t="s">
        <v>56</v>
      </c>
    </row>
    <row r="56" spans="1:2" x14ac:dyDescent="0.15">
      <c r="A56" s="7">
        <v>0.74588449898874398</v>
      </c>
      <c r="B56" s="12">
        <v>1.00726854099776</v>
      </c>
    </row>
    <row r="57" spans="1:2" x14ac:dyDescent="0.15">
      <c r="A57" s="12">
        <v>0.57340220801415898</v>
      </c>
      <c r="B57" s="12">
        <v>0.50574324998888198</v>
      </c>
    </row>
    <row r="58" spans="1:2" x14ac:dyDescent="0.15">
      <c r="A58" s="12">
        <v>0.39474133300245701</v>
      </c>
      <c r="B58" s="12">
        <v>0.81132633297238499</v>
      </c>
    </row>
    <row r="59" spans="1:2" x14ac:dyDescent="0.15">
      <c r="A59" s="12">
        <v>0.37704170800861903</v>
      </c>
      <c r="B59" s="12">
        <v>0.44660491700051402</v>
      </c>
    </row>
    <row r="60" spans="1:2" x14ac:dyDescent="0.15">
      <c r="A60" s="12">
        <v>0.33869383300771</v>
      </c>
      <c r="B60" s="12">
        <v>0.73577145801391497</v>
      </c>
    </row>
    <row r="61" spans="1:2" x14ac:dyDescent="0.15">
      <c r="A61" s="12">
        <v>0.433094415988307</v>
      </c>
      <c r="B61" s="12">
        <v>0.34569895800086697</v>
      </c>
    </row>
    <row r="62" spans="1:2" x14ac:dyDescent="0.15">
      <c r="A62" s="12">
        <v>0.310244291002164</v>
      </c>
      <c r="B62" s="12">
        <v>0.42668283300008603</v>
      </c>
    </row>
    <row r="63" spans="1:2" x14ac:dyDescent="0.15">
      <c r="A63" s="12">
        <v>0.42763787400326703</v>
      </c>
      <c r="B63" s="12">
        <v>0.53768391598714504</v>
      </c>
    </row>
    <row r="64" spans="1:2" x14ac:dyDescent="0.15">
      <c r="A64" s="12">
        <v>0.497903040988604</v>
      </c>
      <c r="B64" s="12">
        <v>0.63788754100096401</v>
      </c>
    </row>
    <row r="65" spans="1:2" x14ac:dyDescent="0.15">
      <c r="A65" s="12">
        <v>0.51299220800865397</v>
      </c>
      <c r="B65" s="12">
        <v>0.99325766600668397</v>
      </c>
    </row>
    <row r="66" spans="1:2" x14ac:dyDescent="0.15">
      <c r="A66" s="12">
        <v>0.54080270801205199</v>
      </c>
      <c r="B66" s="12">
        <v>0.34810758300591299</v>
      </c>
    </row>
    <row r="67" spans="1:2" x14ac:dyDescent="0.15">
      <c r="A67" s="12">
        <v>0.56004229097743496</v>
      </c>
      <c r="B67" s="12">
        <v>0.46197604099870698</v>
      </c>
    </row>
    <row r="68" spans="1:2" x14ac:dyDescent="0.15">
      <c r="A68" s="12">
        <v>0.38699004097725298</v>
      </c>
      <c r="B68" s="12">
        <v>0.40739508299157001</v>
      </c>
    </row>
    <row r="69" spans="1:2" x14ac:dyDescent="0.15">
      <c r="A69" s="12">
        <v>0.37404437400982699</v>
      </c>
      <c r="B69" s="12">
        <v>0.59912124901893604</v>
      </c>
    </row>
    <row r="70" spans="1:2" x14ac:dyDescent="0.15">
      <c r="A70" s="12">
        <v>0.37004075001459602</v>
      </c>
      <c r="B70" s="12">
        <v>0.40509533300064499</v>
      </c>
    </row>
    <row r="71" spans="1:2" x14ac:dyDescent="0.15">
      <c r="A71" s="12">
        <v>0.40879312501056098</v>
      </c>
      <c r="B71" s="12">
        <v>0.34868158301105701</v>
      </c>
    </row>
    <row r="72" spans="1:2" x14ac:dyDescent="0.15">
      <c r="A72" s="12">
        <v>0.38261124899145199</v>
      </c>
      <c r="B72" s="12">
        <v>0.45222195799578901</v>
      </c>
    </row>
    <row r="73" spans="1:2" x14ac:dyDescent="0.15">
      <c r="A73" s="12">
        <v>0.31336945798830101</v>
      </c>
      <c r="B73" s="12">
        <v>0.65423487499356303</v>
      </c>
    </row>
    <row r="74" spans="1:2" x14ac:dyDescent="0.15">
      <c r="A74" s="12">
        <v>0.53034833300625905</v>
      </c>
      <c r="B74" s="12">
        <v>0.68803770799422603</v>
      </c>
    </row>
    <row r="75" spans="1:2" x14ac:dyDescent="0.15">
      <c r="A75" s="12">
        <v>0.43383949997951299</v>
      </c>
      <c r="B75" s="12">
        <v>0.62573249900015104</v>
      </c>
    </row>
    <row r="77" spans="1:2" ht="14" x14ac:dyDescent="0.15">
      <c r="A77" s="18" t="s">
        <v>57</v>
      </c>
    </row>
    <row r="78" spans="1:2" ht="14" x14ac:dyDescent="0.15">
      <c r="A78" s="19">
        <f>_xlfn.T.TEST(A56:A75,B56:B75,2,1)</f>
        <v>6.8395112782247726E-3</v>
      </c>
      <c r="B78" s="18" t="s">
        <v>58</v>
      </c>
    </row>
  </sheetData>
  <autoFilter ref="C1:C43" xr:uid="{E8384F5B-5DAB-2944-B426-A7CCEB4ACBD7}">
    <sortState xmlns:xlrd2="http://schemas.microsoft.com/office/spreadsheetml/2017/richdata2" ref="A2:AO43">
      <sortCondition ref="C1:C4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C4AB9-7E46-144E-A05D-112E80EE4802}">
  <dimension ref="A1:J78"/>
  <sheetViews>
    <sheetView topLeftCell="A22" workbookViewId="0">
      <selection activeCell="B46" sqref="B46"/>
    </sheetView>
  </sheetViews>
  <sheetFormatPr baseColWidth="10" defaultRowHeight="13" x14ac:dyDescent="0.15"/>
  <sheetData>
    <row r="1" spans="1:1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15">
      <c r="A2" s="4"/>
      <c r="B2" s="5"/>
      <c r="C2" s="6"/>
      <c r="D2" s="6"/>
      <c r="E2" s="6"/>
      <c r="F2" s="6"/>
      <c r="G2" s="6"/>
      <c r="H2" s="6"/>
      <c r="I2" s="6"/>
      <c r="J2" s="6"/>
    </row>
    <row r="3" spans="1:10" x14ac:dyDescent="0.15">
      <c r="A3" s="9" t="s">
        <v>46</v>
      </c>
      <c r="B3" s="10" t="s">
        <v>47</v>
      </c>
      <c r="C3" s="11" t="s">
        <v>48</v>
      </c>
      <c r="D3" s="11" t="s">
        <v>49</v>
      </c>
      <c r="E3" s="12">
        <v>1</v>
      </c>
      <c r="F3" s="12">
        <v>1</v>
      </c>
      <c r="G3" s="12">
        <v>0</v>
      </c>
      <c r="H3" s="11" t="s">
        <v>49</v>
      </c>
      <c r="I3" s="12">
        <v>1</v>
      </c>
      <c r="J3" s="12">
        <v>0.506335707003018</v>
      </c>
    </row>
    <row r="4" spans="1:10" x14ac:dyDescent="0.15">
      <c r="A4" s="9" t="s">
        <v>53</v>
      </c>
      <c r="B4" s="10" t="s">
        <v>50</v>
      </c>
      <c r="C4" s="11" t="s">
        <v>48</v>
      </c>
      <c r="D4" s="11" t="s">
        <v>52</v>
      </c>
      <c r="E4" s="12">
        <v>3</v>
      </c>
      <c r="F4" s="12">
        <v>3</v>
      </c>
      <c r="G4" s="12">
        <v>0</v>
      </c>
      <c r="H4" s="11" t="s">
        <v>52</v>
      </c>
      <c r="I4" s="12">
        <v>1</v>
      </c>
      <c r="J4" s="12">
        <v>0.38125483199837601</v>
      </c>
    </row>
    <row r="5" spans="1:10" x14ac:dyDescent="0.15">
      <c r="A5" s="9" t="s">
        <v>46</v>
      </c>
      <c r="B5" s="10" t="s">
        <v>47</v>
      </c>
      <c r="C5" s="11" t="s">
        <v>48</v>
      </c>
      <c r="D5" s="11" t="s">
        <v>49</v>
      </c>
      <c r="E5" s="12">
        <v>5</v>
      </c>
      <c r="F5" s="12">
        <v>1</v>
      </c>
      <c r="G5" s="12">
        <v>1</v>
      </c>
      <c r="H5" s="11" t="s">
        <v>49</v>
      </c>
      <c r="I5" s="12">
        <v>1</v>
      </c>
      <c r="J5" s="12">
        <v>0.75741095701232597</v>
      </c>
    </row>
    <row r="6" spans="1:10" x14ac:dyDescent="0.15">
      <c r="A6" s="9" t="s">
        <v>53</v>
      </c>
      <c r="B6" s="10" t="s">
        <v>50</v>
      </c>
      <c r="C6" s="11" t="s">
        <v>48</v>
      </c>
      <c r="D6" s="11" t="s">
        <v>52</v>
      </c>
      <c r="E6" s="12">
        <v>7</v>
      </c>
      <c r="F6" s="12">
        <v>3</v>
      </c>
      <c r="G6" s="12">
        <v>1</v>
      </c>
      <c r="H6" s="11" t="s">
        <v>52</v>
      </c>
      <c r="I6" s="12">
        <v>1</v>
      </c>
      <c r="J6" s="12">
        <v>0.403909915999975</v>
      </c>
    </row>
    <row r="7" spans="1:10" x14ac:dyDescent="0.15">
      <c r="A7" s="9" t="s">
        <v>46</v>
      </c>
      <c r="B7" s="10" t="s">
        <v>47</v>
      </c>
      <c r="C7" s="11" t="s">
        <v>48</v>
      </c>
      <c r="D7" s="11" t="s">
        <v>49</v>
      </c>
      <c r="E7" s="12">
        <v>9</v>
      </c>
      <c r="F7" s="12">
        <v>1</v>
      </c>
      <c r="G7" s="12">
        <v>2</v>
      </c>
      <c r="H7" s="11" t="s">
        <v>49</v>
      </c>
      <c r="I7" s="12">
        <v>1</v>
      </c>
      <c r="J7" s="12">
        <v>0.41558499902021101</v>
      </c>
    </row>
    <row r="8" spans="1:10" x14ac:dyDescent="0.15">
      <c r="A8" s="9" t="s">
        <v>53</v>
      </c>
      <c r="B8" s="10" t="s">
        <v>50</v>
      </c>
      <c r="C8" s="11" t="s">
        <v>48</v>
      </c>
      <c r="D8" s="11" t="s">
        <v>52</v>
      </c>
      <c r="E8" s="12">
        <v>10</v>
      </c>
      <c r="F8" s="12">
        <v>2</v>
      </c>
      <c r="G8" s="12">
        <v>2</v>
      </c>
      <c r="H8" s="11" t="s">
        <v>52</v>
      </c>
      <c r="I8" s="12">
        <v>1</v>
      </c>
      <c r="J8" s="12">
        <v>0.324414123984752</v>
      </c>
    </row>
    <row r="9" spans="1:10" x14ac:dyDescent="0.15">
      <c r="A9" s="9" t="s">
        <v>46</v>
      </c>
      <c r="B9" s="10" t="s">
        <v>47</v>
      </c>
      <c r="C9" s="11" t="s">
        <v>48</v>
      </c>
      <c r="D9" s="11" t="s">
        <v>49</v>
      </c>
      <c r="E9" s="12">
        <v>12</v>
      </c>
      <c r="F9" s="12">
        <v>0</v>
      </c>
      <c r="G9" s="12">
        <v>3</v>
      </c>
      <c r="H9" s="11" t="s">
        <v>49</v>
      </c>
      <c r="I9" s="12">
        <v>1</v>
      </c>
      <c r="J9" s="12">
        <v>0.32371087401406801</v>
      </c>
    </row>
    <row r="10" spans="1:10" x14ac:dyDescent="0.15">
      <c r="A10" s="9" t="s">
        <v>53</v>
      </c>
      <c r="B10" s="10" t="s">
        <v>50</v>
      </c>
      <c r="C10" s="11" t="s">
        <v>48</v>
      </c>
      <c r="D10" s="11" t="s">
        <v>52</v>
      </c>
      <c r="E10" s="12">
        <v>14</v>
      </c>
      <c r="F10" s="12">
        <v>2</v>
      </c>
      <c r="G10" s="12">
        <v>3</v>
      </c>
      <c r="H10" s="11" t="s">
        <v>52</v>
      </c>
      <c r="I10" s="12">
        <v>1</v>
      </c>
      <c r="J10" s="12">
        <v>0.55352945800404996</v>
      </c>
    </row>
    <row r="11" spans="1:10" x14ac:dyDescent="0.15">
      <c r="A11" s="9" t="s">
        <v>46</v>
      </c>
      <c r="B11" s="10" t="s">
        <v>47</v>
      </c>
      <c r="C11" s="11" t="s">
        <v>48</v>
      </c>
      <c r="D11" s="11" t="s">
        <v>49</v>
      </c>
      <c r="E11" s="12">
        <v>17</v>
      </c>
      <c r="F11" s="12">
        <v>1</v>
      </c>
      <c r="G11" s="12">
        <v>4</v>
      </c>
      <c r="H11" s="11" t="s">
        <v>49</v>
      </c>
      <c r="I11" s="12">
        <v>1</v>
      </c>
      <c r="J11" s="12">
        <v>0.48690595800872</v>
      </c>
    </row>
    <row r="12" spans="1:10" x14ac:dyDescent="0.15">
      <c r="A12" s="9" t="s">
        <v>53</v>
      </c>
      <c r="B12" s="10" t="s">
        <v>50</v>
      </c>
      <c r="C12" s="11" t="s">
        <v>48</v>
      </c>
      <c r="D12" s="11" t="s">
        <v>52</v>
      </c>
      <c r="E12" s="12">
        <v>19</v>
      </c>
      <c r="F12" s="12">
        <v>3</v>
      </c>
      <c r="G12" s="12">
        <v>4</v>
      </c>
      <c r="H12" s="11" t="s">
        <v>52</v>
      </c>
      <c r="I12" s="12">
        <v>1</v>
      </c>
      <c r="J12" s="12">
        <v>0.34271999902557598</v>
      </c>
    </row>
    <row r="13" spans="1:10" x14ac:dyDescent="0.15">
      <c r="A13" s="9" t="s">
        <v>46</v>
      </c>
      <c r="B13" s="10" t="s">
        <v>47</v>
      </c>
      <c r="C13" s="11" t="s">
        <v>48</v>
      </c>
      <c r="D13" s="11" t="s">
        <v>49</v>
      </c>
      <c r="E13" s="12">
        <v>20</v>
      </c>
      <c r="F13" s="12">
        <v>0</v>
      </c>
      <c r="G13" s="12">
        <v>5</v>
      </c>
      <c r="H13" s="11" t="s">
        <v>49</v>
      </c>
      <c r="I13" s="12">
        <v>1</v>
      </c>
      <c r="J13" s="12">
        <v>0.45124820797354898</v>
      </c>
    </row>
    <row r="14" spans="1:10" x14ac:dyDescent="0.15">
      <c r="A14" s="9" t="s">
        <v>53</v>
      </c>
      <c r="B14" s="10" t="s">
        <v>50</v>
      </c>
      <c r="C14" s="11" t="s">
        <v>48</v>
      </c>
      <c r="D14" s="11" t="s">
        <v>52</v>
      </c>
      <c r="E14" s="12">
        <v>21</v>
      </c>
      <c r="F14" s="12">
        <v>1</v>
      </c>
      <c r="G14" s="12">
        <v>5</v>
      </c>
      <c r="H14" s="11" t="s">
        <v>52</v>
      </c>
      <c r="I14" s="12">
        <v>1</v>
      </c>
      <c r="J14" s="12">
        <v>0.36407012501149399</v>
      </c>
    </row>
    <row r="15" spans="1:10" x14ac:dyDescent="0.15">
      <c r="A15" s="9" t="s">
        <v>53</v>
      </c>
      <c r="B15" s="10" t="s">
        <v>50</v>
      </c>
      <c r="C15" s="11" t="s">
        <v>48</v>
      </c>
      <c r="D15" s="11" t="s">
        <v>52</v>
      </c>
      <c r="E15" s="12">
        <v>25</v>
      </c>
      <c r="F15" s="12">
        <v>1</v>
      </c>
      <c r="G15" s="12">
        <v>6</v>
      </c>
      <c r="H15" s="11" t="s">
        <v>52</v>
      </c>
      <c r="I15" s="12">
        <v>1</v>
      </c>
      <c r="J15" s="12">
        <v>0.465218708006432</v>
      </c>
    </row>
    <row r="16" spans="1:10" x14ac:dyDescent="0.15">
      <c r="A16" s="9" t="s">
        <v>46</v>
      </c>
      <c r="B16" s="10" t="s">
        <v>47</v>
      </c>
      <c r="C16" s="11" t="s">
        <v>48</v>
      </c>
      <c r="D16" s="11" t="s">
        <v>49</v>
      </c>
      <c r="E16" s="12">
        <v>26</v>
      </c>
      <c r="F16" s="12">
        <v>2</v>
      </c>
      <c r="G16" s="12">
        <v>6</v>
      </c>
      <c r="H16" s="11" t="s">
        <v>49</v>
      </c>
      <c r="I16" s="12">
        <v>1</v>
      </c>
      <c r="J16" s="12">
        <v>0.53522066600271501</v>
      </c>
    </row>
    <row r="17" spans="1:10" x14ac:dyDescent="0.15">
      <c r="A17" s="9" t="s">
        <v>53</v>
      </c>
      <c r="B17" s="10" t="s">
        <v>50</v>
      </c>
      <c r="C17" s="11" t="s">
        <v>48</v>
      </c>
      <c r="D17" s="11" t="s">
        <v>52</v>
      </c>
      <c r="E17" s="12">
        <v>28</v>
      </c>
      <c r="F17" s="12">
        <v>0</v>
      </c>
      <c r="G17" s="12">
        <v>7</v>
      </c>
      <c r="H17" s="11" t="s">
        <v>52</v>
      </c>
      <c r="I17" s="12">
        <v>1</v>
      </c>
      <c r="J17" s="12">
        <v>0.49370516600902198</v>
      </c>
    </row>
    <row r="18" spans="1:10" x14ac:dyDescent="0.15">
      <c r="A18" s="9" t="s">
        <v>46</v>
      </c>
      <c r="B18" s="10" t="s">
        <v>47</v>
      </c>
      <c r="C18" s="11" t="s">
        <v>48</v>
      </c>
      <c r="D18" s="11" t="s">
        <v>49</v>
      </c>
      <c r="E18" s="12">
        <v>30</v>
      </c>
      <c r="F18" s="12">
        <v>2</v>
      </c>
      <c r="G18" s="12">
        <v>7</v>
      </c>
      <c r="H18" s="11" t="s">
        <v>49</v>
      </c>
      <c r="I18" s="12">
        <v>1</v>
      </c>
      <c r="J18" s="12">
        <v>0.52599999899393901</v>
      </c>
    </row>
    <row r="19" spans="1:10" x14ac:dyDescent="0.15">
      <c r="A19" s="9" t="s">
        <v>53</v>
      </c>
      <c r="B19" s="10" t="s">
        <v>50</v>
      </c>
      <c r="C19" s="11" t="s">
        <v>48</v>
      </c>
      <c r="D19" s="11" t="s">
        <v>52</v>
      </c>
      <c r="E19" s="12">
        <v>32</v>
      </c>
      <c r="F19" s="12">
        <v>0</v>
      </c>
      <c r="G19" s="12">
        <v>8</v>
      </c>
      <c r="H19" s="11" t="s">
        <v>52</v>
      </c>
      <c r="I19" s="12">
        <v>1</v>
      </c>
      <c r="J19" s="12">
        <v>0.42989374898024801</v>
      </c>
    </row>
    <row r="20" spans="1:10" x14ac:dyDescent="0.15">
      <c r="A20" s="9" t="s">
        <v>46</v>
      </c>
      <c r="B20" s="10" t="s">
        <v>47</v>
      </c>
      <c r="C20" s="11" t="s">
        <v>48</v>
      </c>
      <c r="D20" s="11" t="s">
        <v>49</v>
      </c>
      <c r="E20" s="12">
        <v>33</v>
      </c>
      <c r="F20" s="12">
        <v>1</v>
      </c>
      <c r="G20" s="12">
        <v>8</v>
      </c>
      <c r="H20" s="11" t="s">
        <v>49</v>
      </c>
      <c r="I20" s="12">
        <v>1</v>
      </c>
      <c r="J20" s="12">
        <v>0.46570033201715</v>
      </c>
    </row>
    <row r="21" spans="1:10" x14ac:dyDescent="0.15">
      <c r="A21" s="9" t="s">
        <v>46</v>
      </c>
      <c r="B21" s="10" t="s">
        <v>47</v>
      </c>
      <c r="C21" s="11" t="s">
        <v>48</v>
      </c>
      <c r="D21" s="11" t="s">
        <v>49</v>
      </c>
      <c r="E21" s="12">
        <v>37</v>
      </c>
      <c r="F21" s="12">
        <v>1</v>
      </c>
      <c r="G21" s="12">
        <v>9</v>
      </c>
      <c r="H21" s="11" t="s">
        <v>49</v>
      </c>
      <c r="I21" s="12">
        <v>1</v>
      </c>
      <c r="J21" s="12">
        <v>0.46418562397593599</v>
      </c>
    </row>
    <row r="22" spans="1:10" x14ac:dyDescent="0.15">
      <c r="A22" s="9" t="s">
        <v>53</v>
      </c>
      <c r="B22" s="10" t="s">
        <v>50</v>
      </c>
      <c r="C22" s="11" t="s">
        <v>48</v>
      </c>
      <c r="D22" s="11" t="s">
        <v>52</v>
      </c>
      <c r="E22" s="12">
        <v>38</v>
      </c>
      <c r="F22" s="12">
        <v>2</v>
      </c>
      <c r="G22" s="12">
        <v>9</v>
      </c>
      <c r="H22" s="11" t="s">
        <v>52</v>
      </c>
      <c r="I22" s="12">
        <v>1</v>
      </c>
      <c r="J22" s="12">
        <v>0.56031570699997302</v>
      </c>
    </row>
    <row r="23" spans="1:10" x14ac:dyDescent="0.15">
      <c r="A23" s="9" t="s">
        <v>46</v>
      </c>
      <c r="B23" s="10" t="s">
        <v>50</v>
      </c>
      <c r="C23" s="11" t="s">
        <v>51</v>
      </c>
      <c r="D23" s="11" t="s">
        <v>52</v>
      </c>
      <c r="E23" s="12">
        <v>0</v>
      </c>
      <c r="F23" s="12">
        <v>0</v>
      </c>
      <c r="G23" s="12">
        <v>0</v>
      </c>
      <c r="H23" s="11" t="s">
        <v>52</v>
      </c>
      <c r="I23" s="12">
        <v>1</v>
      </c>
      <c r="J23" s="12">
        <v>1.0077872489928299</v>
      </c>
    </row>
    <row r="24" spans="1:10" x14ac:dyDescent="0.15">
      <c r="A24" s="9" t="s">
        <v>53</v>
      </c>
      <c r="B24" s="10" t="s">
        <v>47</v>
      </c>
      <c r="C24" s="11" t="s">
        <v>51</v>
      </c>
      <c r="D24" s="11" t="s">
        <v>49</v>
      </c>
      <c r="E24" s="12">
        <v>2</v>
      </c>
      <c r="F24" s="12">
        <v>2</v>
      </c>
      <c r="G24" s="12">
        <v>0</v>
      </c>
      <c r="H24" s="11" t="s">
        <v>49</v>
      </c>
      <c r="I24" s="12">
        <v>1</v>
      </c>
      <c r="J24" s="12">
        <v>0.76207341600093104</v>
      </c>
    </row>
    <row r="25" spans="1:10" x14ac:dyDescent="0.15">
      <c r="A25" s="9" t="s">
        <v>46</v>
      </c>
      <c r="B25" s="10" t="s">
        <v>50</v>
      </c>
      <c r="C25" s="11" t="s">
        <v>51</v>
      </c>
      <c r="D25" s="11" t="s">
        <v>52</v>
      </c>
      <c r="E25" s="12">
        <v>4</v>
      </c>
      <c r="F25" s="12">
        <v>0</v>
      </c>
      <c r="G25" s="12">
        <v>1</v>
      </c>
      <c r="H25" s="11" t="s">
        <v>49</v>
      </c>
      <c r="I25" s="12">
        <v>0</v>
      </c>
      <c r="J25" s="12">
        <v>0.34766737397876601</v>
      </c>
    </row>
    <row r="26" spans="1:10" x14ac:dyDescent="0.15">
      <c r="A26" s="9" t="s">
        <v>53</v>
      </c>
      <c r="B26" s="10" t="s">
        <v>47</v>
      </c>
      <c r="C26" s="11" t="s">
        <v>51</v>
      </c>
      <c r="D26" s="11" t="s">
        <v>49</v>
      </c>
      <c r="E26" s="12">
        <v>6</v>
      </c>
      <c r="F26" s="12">
        <v>2</v>
      </c>
      <c r="G26" s="12">
        <v>1</v>
      </c>
      <c r="H26" s="11" t="s">
        <v>49</v>
      </c>
      <c r="I26" s="12">
        <v>1</v>
      </c>
      <c r="J26" s="12">
        <v>0.439707582001574</v>
      </c>
    </row>
    <row r="27" spans="1:10" x14ac:dyDescent="0.15">
      <c r="A27" s="9" t="s">
        <v>53</v>
      </c>
      <c r="B27" s="10" t="s">
        <v>47</v>
      </c>
      <c r="C27" s="11" t="s">
        <v>51</v>
      </c>
      <c r="D27" s="11" t="s">
        <v>49</v>
      </c>
      <c r="E27" s="12">
        <v>8</v>
      </c>
      <c r="F27" s="12">
        <v>0</v>
      </c>
      <c r="G27" s="12">
        <v>2</v>
      </c>
      <c r="H27" s="11" t="s">
        <v>49</v>
      </c>
      <c r="I27" s="12">
        <v>1</v>
      </c>
      <c r="J27" s="12">
        <v>0.29101287398953002</v>
      </c>
    </row>
    <row r="28" spans="1:10" x14ac:dyDescent="0.15">
      <c r="A28" s="9" t="s">
        <v>46</v>
      </c>
      <c r="B28" s="10" t="s">
        <v>50</v>
      </c>
      <c r="C28" s="11" t="s">
        <v>51</v>
      </c>
      <c r="D28" s="11" t="s">
        <v>52</v>
      </c>
      <c r="E28" s="12">
        <v>11</v>
      </c>
      <c r="F28" s="12">
        <v>3</v>
      </c>
      <c r="G28" s="12">
        <v>2</v>
      </c>
      <c r="H28" s="11" t="s">
        <v>52</v>
      </c>
      <c r="I28" s="12">
        <v>1</v>
      </c>
      <c r="J28" s="12">
        <v>0.64179779100231804</v>
      </c>
    </row>
    <row r="29" spans="1:10" x14ac:dyDescent="0.15">
      <c r="A29" s="9" t="s">
        <v>46</v>
      </c>
      <c r="B29" s="10" t="s">
        <v>50</v>
      </c>
      <c r="C29" s="11" t="s">
        <v>51</v>
      </c>
      <c r="D29" s="11" t="s">
        <v>52</v>
      </c>
      <c r="E29" s="12">
        <v>13</v>
      </c>
      <c r="F29" s="12">
        <v>1</v>
      </c>
      <c r="G29" s="12">
        <v>3</v>
      </c>
      <c r="H29" s="11" t="s">
        <v>52</v>
      </c>
      <c r="I29" s="12">
        <v>1</v>
      </c>
      <c r="J29" s="12">
        <v>0.58453233199543297</v>
      </c>
    </row>
    <row r="30" spans="1:10" x14ac:dyDescent="0.15">
      <c r="A30" s="9" t="s">
        <v>53</v>
      </c>
      <c r="B30" s="10" t="s">
        <v>47</v>
      </c>
      <c r="C30" s="11" t="s">
        <v>51</v>
      </c>
      <c r="D30" s="11" t="s">
        <v>49</v>
      </c>
      <c r="E30" s="12">
        <v>15</v>
      </c>
      <c r="F30" s="12">
        <v>3</v>
      </c>
      <c r="G30" s="12">
        <v>3</v>
      </c>
      <c r="H30" s="11" t="s">
        <v>49</v>
      </c>
      <c r="I30" s="12">
        <v>1</v>
      </c>
      <c r="J30" s="12">
        <v>0.313701873994432</v>
      </c>
    </row>
    <row r="31" spans="1:10" x14ac:dyDescent="0.15">
      <c r="A31" s="9" t="s">
        <v>53</v>
      </c>
      <c r="B31" s="10" t="s">
        <v>47</v>
      </c>
      <c r="C31" s="11" t="s">
        <v>51</v>
      </c>
      <c r="D31" s="11" t="s">
        <v>49</v>
      </c>
      <c r="E31" s="12">
        <v>16</v>
      </c>
      <c r="F31" s="12">
        <v>0</v>
      </c>
      <c r="G31" s="12">
        <v>4</v>
      </c>
      <c r="H31" s="11" t="s">
        <v>49</v>
      </c>
      <c r="I31" s="12">
        <v>1</v>
      </c>
      <c r="J31" s="12">
        <v>0.28593116599950003</v>
      </c>
    </row>
    <row r="32" spans="1:10" x14ac:dyDescent="0.15">
      <c r="A32" s="9" t="s">
        <v>46</v>
      </c>
      <c r="B32" s="10" t="s">
        <v>50</v>
      </c>
      <c r="C32" s="11" t="s">
        <v>51</v>
      </c>
      <c r="D32" s="11" t="s">
        <v>52</v>
      </c>
      <c r="E32" s="12">
        <v>18</v>
      </c>
      <c r="F32" s="12">
        <v>2</v>
      </c>
      <c r="G32" s="12">
        <v>4</v>
      </c>
      <c r="H32" s="11" t="s">
        <v>52</v>
      </c>
      <c r="I32" s="12">
        <v>1</v>
      </c>
      <c r="J32" s="12">
        <v>0.371037582983263</v>
      </c>
    </row>
    <row r="33" spans="1:10" x14ac:dyDescent="0.15">
      <c r="A33" s="9" t="s">
        <v>46</v>
      </c>
      <c r="B33" s="10" t="s">
        <v>50</v>
      </c>
      <c r="C33" s="11" t="s">
        <v>51</v>
      </c>
      <c r="D33" s="11" t="s">
        <v>52</v>
      </c>
      <c r="E33" s="12">
        <v>22</v>
      </c>
      <c r="F33" s="12">
        <v>2</v>
      </c>
      <c r="G33" s="12">
        <v>5</v>
      </c>
      <c r="H33" s="11" t="s">
        <v>49</v>
      </c>
      <c r="I33" s="12">
        <v>0</v>
      </c>
      <c r="J33" s="12">
        <v>0.32151816599070998</v>
      </c>
    </row>
    <row r="34" spans="1:10" x14ac:dyDescent="0.15">
      <c r="A34" s="9" t="s">
        <v>53</v>
      </c>
      <c r="B34" s="10" t="s">
        <v>47</v>
      </c>
      <c r="C34" s="11" t="s">
        <v>51</v>
      </c>
      <c r="D34" s="11" t="s">
        <v>49</v>
      </c>
      <c r="E34" s="12">
        <v>23</v>
      </c>
      <c r="F34" s="12">
        <v>3</v>
      </c>
      <c r="G34" s="12">
        <v>5</v>
      </c>
      <c r="H34" s="11" t="s">
        <v>52</v>
      </c>
      <c r="I34" s="12">
        <v>0</v>
      </c>
      <c r="J34" s="12">
        <v>0.58075966598698903</v>
      </c>
    </row>
    <row r="35" spans="1:10" x14ac:dyDescent="0.15">
      <c r="A35" s="9" t="s">
        <v>53</v>
      </c>
      <c r="B35" s="10" t="s">
        <v>47</v>
      </c>
      <c r="C35" s="11" t="s">
        <v>51</v>
      </c>
      <c r="D35" s="11" t="s">
        <v>49</v>
      </c>
      <c r="E35" s="12">
        <v>24</v>
      </c>
      <c r="F35" s="12">
        <v>0</v>
      </c>
      <c r="G35" s="12">
        <v>6</v>
      </c>
      <c r="H35" s="11" t="s">
        <v>49</v>
      </c>
      <c r="I35" s="12">
        <v>1</v>
      </c>
      <c r="J35" s="12">
        <v>0.67259695800021302</v>
      </c>
    </row>
    <row r="36" spans="1:10" x14ac:dyDescent="0.15">
      <c r="A36" s="9" t="s">
        <v>46</v>
      </c>
      <c r="B36" s="10" t="s">
        <v>50</v>
      </c>
      <c r="C36" s="11" t="s">
        <v>51</v>
      </c>
      <c r="D36" s="11" t="s">
        <v>52</v>
      </c>
      <c r="E36" s="12">
        <v>27</v>
      </c>
      <c r="F36" s="12">
        <v>3</v>
      </c>
      <c r="G36" s="12">
        <v>6</v>
      </c>
      <c r="H36" s="11" t="s">
        <v>52</v>
      </c>
      <c r="I36" s="12">
        <v>1</v>
      </c>
      <c r="J36" s="12">
        <v>0.41038316598860503</v>
      </c>
    </row>
    <row r="37" spans="1:10" x14ac:dyDescent="0.15">
      <c r="A37" s="9" t="s">
        <v>46</v>
      </c>
      <c r="B37" s="10" t="s">
        <v>50</v>
      </c>
      <c r="C37" s="11" t="s">
        <v>51</v>
      </c>
      <c r="D37" s="11" t="s">
        <v>52</v>
      </c>
      <c r="E37" s="12">
        <v>29</v>
      </c>
      <c r="F37" s="12">
        <v>1</v>
      </c>
      <c r="G37" s="12">
        <v>7</v>
      </c>
      <c r="H37" s="11" t="s">
        <v>52</v>
      </c>
      <c r="I37" s="12">
        <v>1</v>
      </c>
      <c r="J37" s="12">
        <v>0.35742254098295201</v>
      </c>
    </row>
    <row r="38" spans="1:10" x14ac:dyDescent="0.15">
      <c r="A38" s="9" t="s">
        <v>53</v>
      </c>
      <c r="B38" s="10" t="s">
        <v>47</v>
      </c>
      <c r="C38" s="11" t="s">
        <v>51</v>
      </c>
      <c r="D38" s="11" t="s">
        <v>49</v>
      </c>
      <c r="E38" s="12">
        <v>31</v>
      </c>
      <c r="F38" s="12">
        <v>3</v>
      </c>
      <c r="G38" s="12">
        <v>7</v>
      </c>
      <c r="H38" s="11" t="s">
        <v>49</v>
      </c>
      <c r="I38" s="12">
        <v>1</v>
      </c>
      <c r="J38" s="12">
        <v>0.63785333200939898</v>
      </c>
    </row>
    <row r="39" spans="1:10" x14ac:dyDescent="0.15">
      <c r="A39" s="9" t="s">
        <v>53</v>
      </c>
      <c r="B39" s="10" t="s">
        <v>47</v>
      </c>
      <c r="C39" s="11" t="s">
        <v>51</v>
      </c>
      <c r="D39" s="11" t="s">
        <v>49</v>
      </c>
      <c r="E39" s="12">
        <v>34</v>
      </c>
      <c r="F39" s="12">
        <v>2</v>
      </c>
      <c r="G39" s="12">
        <v>8</v>
      </c>
      <c r="H39" s="11" t="s">
        <v>49</v>
      </c>
      <c r="I39" s="12">
        <v>1</v>
      </c>
      <c r="J39" s="12">
        <v>0.78069462400162604</v>
      </c>
    </row>
    <row r="40" spans="1:10" x14ac:dyDescent="0.15">
      <c r="A40" s="9" t="s">
        <v>46</v>
      </c>
      <c r="B40" s="10" t="s">
        <v>50</v>
      </c>
      <c r="C40" s="11" t="s">
        <v>51</v>
      </c>
      <c r="D40" s="11" t="s">
        <v>52</v>
      </c>
      <c r="E40" s="12">
        <v>35</v>
      </c>
      <c r="F40" s="12">
        <v>3</v>
      </c>
      <c r="G40" s="12">
        <v>8</v>
      </c>
      <c r="H40" s="11" t="s">
        <v>52</v>
      </c>
      <c r="I40" s="12">
        <v>1</v>
      </c>
      <c r="J40" s="12">
        <v>0.34982112399302401</v>
      </c>
    </row>
    <row r="41" spans="1:10" x14ac:dyDescent="0.15">
      <c r="A41" s="9" t="s">
        <v>46</v>
      </c>
      <c r="B41" s="10" t="s">
        <v>50</v>
      </c>
      <c r="C41" s="11" t="s">
        <v>51</v>
      </c>
      <c r="D41" s="11" t="s">
        <v>52</v>
      </c>
      <c r="E41" s="12">
        <v>36</v>
      </c>
      <c r="F41" s="12">
        <v>0</v>
      </c>
      <c r="G41" s="12">
        <v>9</v>
      </c>
      <c r="H41" s="11" t="s">
        <v>52</v>
      </c>
      <c r="I41" s="12">
        <v>1</v>
      </c>
      <c r="J41" s="12">
        <v>0.35181312399799902</v>
      </c>
    </row>
    <row r="42" spans="1:10" x14ac:dyDescent="0.15">
      <c r="A42" s="9" t="s">
        <v>53</v>
      </c>
      <c r="B42" s="10" t="s">
        <v>47</v>
      </c>
      <c r="C42" s="11" t="s">
        <v>51</v>
      </c>
      <c r="D42" s="11" t="s">
        <v>49</v>
      </c>
      <c r="E42" s="12">
        <v>39</v>
      </c>
      <c r="F42" s="12">
        <v>3</v>
      </c>
      <c r="G42" s="12">
        <v>9</v>
      </c>
      <c r="H42" s="11" t="s">
        <v>49</v>
      </c>
      <c r="I42" s="12">
        <v>1</v>
      </c>
      <c r="J42" s="12">
        <v>0.60372091599856503</v>
      </c>
    </row>
    <row r="43" spans="1:10" x14ac:dyDescent="0.15">
      <c r="A43" s="14"/>
      <c r="B43" s="15"/>
      <c r="C43" s="13"/>
      <c r="D43" s="13"/>
      <c r="E43" s="13"/>
      <c r="F43" s="13"/>
      <c r="G43" s="13"/>
      <c r="H43" s="13"/>
      <c r="I43" s="13"/>
      <c r="J43" s="13"/>
    </row>
    <row r="44" spans="1:10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15">
      <c r="A46" s="20" t="s">
        <v>64</v>
      </c>
      <c r="B46" s="21">
        <f>AVERAGEIF(C3:C42,"C", J3:J42)</f>
        <v>0.46256675540207653</v>
      </c>
      <c r="C46" s="1"/>
      <c r="D46" s="1"/>
      <c r="E46" s="1"/>
      <c r="F46" s="1"/>
      <c r="G46" s="1"/>
      <c r="H46" s="1"/>
      <c r="I46" s="1"/>
      <c r="J46" s="1"/>
    </row>
    <row r="47" spans="1:10" x14ac:dyDescent="0.15">
      <c r="A47" s="20" t="s">
        <v>60</v>
      </c>
      <c r="B47" s="21">
        <f>AVERAGEIF(C3:C42,"I", J3:J42)</f>
        <v>0.50559164289443304</v>
      </c>
      <c r="C47" s="1"/>
      <c r="D47" s="1"/>
      <c r="E47" s="1"/>
      <c r="F47" s="1"/>
      <c r="G47" s="1"/>
      <c r="H47" s="1"/>
      <c r="I47" s="1"/>
      <c r="J47" s="1"/>
    </row>
    <row r="48" spans="1:10" x14ac:dyDescent="0.15">
      <c r="A48" s="20" t="s">
        <v>61</v>
      </c>
      <c r="B48" s="21">
        <f>B47-B46</f>
        <v>4.3024887492356501E-2</v>
      </c>
      <c r="C48" s="1"/>
      <c r="D48" s="1"/>
      <c r="E48" s="1"/>
      <c r="F48" s="1"/>
      <c r="G48" s="1"/>
      <c r="H48" s="1"/>
      <c r="I48" s="1"/>
      <c r="J48" s="1"/>
    </row>
    <row r="49" spans="1:10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15">
      <c r="A50" s="20" t="s">
        <v>65</v>
      </c>
      <c r="B50" s="21">
        <f>_xlfn.STDEV.S(A56:A75)</f>
        <v>0.10090350865716492</v>
      </c>
      <c r="C50" s="1"/>
      <c r="D50" s="1"/>
      <c r="E50" s="1"/>
      <c r="F50" s="1"/>
      <c r="G50" s="1"/>
      <c r="H50" s="1"/>
      <c r="I50" s="1"/>
      <c r="J50" s="1"/>
    </row>
    <row r="51" spans="1:10" x14ac:dyDescent="0.15">
      <c r="A51" s="20" t="s">
        <v>66</v>
      </c>
      <c r="B51" s="21">
        <f>_xlfn.STDEV.S(B56:B75)</f>
        <v>0.20136747564580396</v>
      </c>
      <c r="C51" s="1"/>
      <c r="D51" s="1"/>
      <c r="E51" s="1"/>
      <c r="F51" s="1"/>
      <c r="G51" s="1"/>
      <c r="H51" s="1"/>
      <c r="I51" s="1"/>
      <c r="J51" s="1"/>
    </row>
    <row r="52" spans="1:10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15">
      <c r="A54" s="20" t="s">
        <v>54</v>
      </c>
      <c r="B54" s="20" t="s">
        <v>55</v>
      </c>
      <c r="C54" s="1"/>
      <c r="D54" s="1"/>
      <c r="E54" s="1"/>
      <c r="F54" s="1"/>
      <c r="G54" s="1"/>
      <c r="H54" s="1"/>
      <c r="I54" s="1"/>
      <c r="J54" s="1"/>
    </row>
    <row r="55" spans="1:10" x14ac:dyDescent="0.15">
      <c r="A55" s="20" t="s">
        <v>56</v>
      </c>
      <c r="B55" s="20" t="s">
        <v>56</v>
      </c>
      <c r="C55" s="1"/>
      <c r="D55" s="1"/>
      <c r="E55" s="1"/>
      <c r="F55" s="1"/>
      <c r="G55" s="1"/>
      <c r="H55" s="1"/>
      <c r="I55" s="1"/>
      <c r="J55" s="1"/>
    </row>
    <row r="56" spans="1:10" x14ac:dyDescent="0.15">
      <c r="A56" s="12">
        <v>0.506335707003018</v>
      </c>
      <c r="B56" s="12">
        <v>1.0077872489928299</v>
      </c>
      <c r="C56" s="1"/>
      <c r="D56" s="1"/>
      <c r="E56" s="1"/>
      <c r="F56" s="1"/>
      <c r="G56" s="1"/>
      <c r="H56" s="1"/>
      <c r="I56" s="1"/>
      <c r="J56" s="1"/>
    </row>
    <row r="57" spans="1:10" x14ac:dyDescent="0.15">
      <c r="A57" s="12">
        <v>0.38125483199837601</v>
      </c>
      <c r="B57" s="12">
        <v>0.76207341600093104</v>
      </c>
      <c r="C57" s="1"/>
      <c r="D57" s="1"/>
      <c r="E57" s="1"/>
      <c r="F57" s="1"/>
      <c r="G57" s="1"/>
      <c r="H57" s="1"/>
      <c r="I57" s="1"/>
      <c r="J57" s="1"/>
    </row>
    <row r="58" spans="1:10" x14ac:dyDescent="0.15">
      <c r="A58" s="12">
        <v>0.75741095701232597</v>
      </c>
      <c r="B58" s="12">
        <v>0.34766737397876601</v>
      </c>
      <c r="C58" s="1"/>
      <c r="D58" s="1"/>
      <c r="E58" s="1"/>
      <c r="F58" s="1"/>
      <c r="G58" s="1"/>
      <c r="H58" s="1"/>
      <c r="I58" s="1"/>
      <c r="J58" s="1"/>
    </row>
    <row r="59" spans="1:10" x14ac:dyDescent="0.15">
      <c r="A59" s="12">
        <v>0.403909915999975</v>
      </c>
      <c r="B59" s="12">
        <v>0.439707582001574</v>
      </c>
      <c r="C59" s="1"/>
      <c r="D59" s="1"/>
      <c r="E59" s="1"/>
      <c r="F59" s="1"/>
      <c r="G59" s="1"/>
      <c r="H59" s="1"/>
      <c r="I59" s="1"/>
      <c r="J59" s="1"/>
    </row>
    <row r="60" spans="1:10" x14ac:dyDescent="0.15">
      <c r="A60" s="12">
        <v>0.41558499902021101</v>
      </c>
      <c r="B60" s="12">
        <v>0.29101287398953002</v>
      </c>
      <c r="C60" s="1"/>
      <c r="D60" s="1"/>
      <c r="E60" s="1"/>
      <c r="F60" s="1"/>
      <c r="G60" s="1"/>
      <c r="H60" s="1"/>
      <c r="I60" s="1"/>
      <c r="J60" s="1"/>
    </row>
    <row r="61" spans="1:10" x14ac:dyDescent="0.15">
      <c r="A61" s="12">
        <v>0.324414123984752</v>
      </c>
      <c r="B61" s="12">
        <v>0.64179779100231804</v>
      </c>
      <c r="C61" s="1"/>
      <c r="D61" s="1"/>
      <c r="E61" s="1"/>
      <c r="F61" s="1"/>
      <c r="G61" s="1"/>
      <c r="H61" s="1"/>
      <c r="I61" s="1"/>
      <c r="J61" s="1"/>
    </row>
    <row r="62" spans="1:10" x14ac:dyDescent="0.15">
      <c r="A62" s="12">
        <v>0.32371087401406801</v>
      </c>
      <c r="B62" s="12">
        <v>0.58453233199543297</v>
      </c>
      <c r="C62" s="1"/>
      <c r="D62" s="1"/>
      <c r="E62" s="1"/>
      <c r="F62" s="1"/>
      <c r="G62" s="1"/>
      <c r="H62" s="1"/>
      <c r="I62" s="1"/>
      <c r="J62" s="1"/>
    </row>
    <row r="63" spans="1:10" x14ac:dyDescent="0.15">
      <c r="A63" s="12">
        <v>0.55352945800404996</v>
      </c>
      <c r="B63" s="12">
        <v>0.313701873994432</v>
      </c>
      <c r="C63" s="1"/>
      <c r="D63" s="1"/>
      <c r="E63" s="1"/>
      <c r="F63" s="1"/>
      <c r="G63" s="1"/>
      <c r="H63" s="1"/>
      <c r="I63" s="1"/>
      <c r="J63" s="1"/>
    </row>
    <row r="64" spans="1:10" x14ac:dyDescent="0.15">
      <c r="A64" s="12">
        <v>0.48690595800872</v>
      </c>
      <c r="B64" s="12">
        <v>0.28593116599950003</v>
      </c>
      <c r="C64" s="1"/>
      <c r="D64" s="1"/>
      <c r="E64" s="1"/>
      <c r="F64" s="1"/>
      <c r="G64" s="1"/>
      <c r="H64" s="1"/>
      <c r="I64" s="1"/>
      <c r="J64" s="1"/>
    </row>
    <row r="65" spans="1:10" x14ac:dyDescent="0.15">
      <c r="A65" s="12">
        <v>0.34271999902557598</v>
      </c>
      <c r="B65" s="12">
        <v>0.371037582983263</v>
      </c>
      <c r="C65" s="1"/>
      <c r="D65" s="1"/>
      <c r="E65" s="1"/>
      <c r="F65" s="1"/>
      <c r="G65" s="1"/>
      <c r="H65" s="1"/>
      <c r="I65" s="1"/>
      <c r="J65" s="1"/>
    </row>
    <row r="66" spans="1:10" x14ac:dyDescent="0.15">
      <c r="A66" s="12">
        <v>0.45124820797354898</v>
      </c>
      <c r="B66" s="12">
        <v>0.32151816599070998</v>
      </c>
      <c r="C66" s="1"/>
      <c r="D66" s="1"/>
      <c r="E66" s="1"/>
      <c r="F66" s="1"/>
      <c r="G66" s="1"/>
      <c r="H66" s="1"/>
      <c r="I66" s="1"/>
      <c r="J66" s="1"/>
    </row>
    <row r="67" spans="1:10" x14ac:dyDescent="0.15">
      <c r="A67" s="12">
        <v>0.36407012501149399</v>
      </c>
      <c r="B67" s="12">
        <v>0.58075966598698903</v>
      </c>
      <c r="C67" s="1"/>
      <c r="D67" s="1"/>
      <c r="E67" s="1"/>
      <c r="F67" s="1"/>
      <c r="G67" s="1"/>
      <c r="H67" s="1"/>
      <c r="I67" s="1"/>
      <c r="J67" s="1"/>
    </row>
    <row r="68" spans="1:10" x14ac:dyDescent="0.15">
      <c r="A68" s="12">
        <v>0.465218708006432</v>
      </c>
      <c r="B68" s="12">
        <v>0.67259695800021302</v>
      </c>
      <c r="C68" s="1"/>
      <c r="D68" s="1"/>
      <c r="E68" s="1"/>
      <c r="F68" s="1"/>
      <c r="G68" s="1"/>
      <c r="H68" s="1"/>
      <c r="I68" s="1"/>
      <c r="J68" s="1"/>
    </row>
    <row r="69" spans="1:10" x14ac:dyDescent="0.15">
      <c r="A69" s="12">
        <v>0.53522066600271501</v>
      </c>
      <c r="B69" s="12">
        <v>0.41038316598860503</v>
      </c>
      <c r="C69" s="1"/>
      <c r="D69" s="1"/>
      <c r="E69" s="1"/>
      <c r="F69" s="1"/>
      <c r="G69" s="1"/>
      <c r="H69" s="1"/>
      <c r="I69" s="1"/>
      <c r="J69" s="1"/>
    </row>
    <row r="70" spans="1:10" x14ac:dyDescent="0.15">
      <c r="A70" s="12">
        <v>0.49370516600902198</v>
      </c>
      <c r="B70" s="12">
        <v>0.35742254098295201</v>
      </c>
      <c r="C70" s="1"/>
      <c r="D70" s="1"/>
      <c r="E70" s="1"/>
      <c r="F70" s="1"/>
      <c r="G70" s="1"/>
      <c r="H70" s="1"/>
      <c r="I70" s="1"/>
      <c r="J70" s="1"/>
    </row>
    <row r="71" spans="1:10" x14ac:dyDescent="0.15">
      <c r="A71" s="12">
        <v>0.52599999899393901</v>
      </c>
      <c r="B71" s="12">
        <v>0.63785333200939898</v>
      </c>
      <c r="C71" s="1"/>
      <c r="D71" s="1"/>
      <c r="E71" s="1"/>
      <c r="F71" s="1"/>
      <c r="G71" s="1"/>
      <c r="H71" s="1"/>
      <c r="I71" s="1"/>
      <c r="J71" s="1"/>
    </row>
    <row r="72" spans="1:10" x14ac:dyDescent="0.15">
      <c r="A72" s="12">
        <v>0.42989374898024801</v>
      </c>
      <c r="B72" s="12">
        <v>0.78069462400162604</v>
      </c>
      <c r="C72" s="1"/>
      <c r="D72" s="1"/>
      <c r="E72" s="1"/>
      <c r="F72" s="1"/>
      <c r="G72" s="1"/>
      <c r="H72" s="1"/>
      <c r="I72" s="1"/>
      <c r="J72" s="1"/>
    </row>
    <row r="73" spans="1:10" x14ac:dyDescent="0.15">
      <c r="A73" s="12">
        <v>0.46570033201715</v>
      </c>
      <c r="B73" s="12">
        <v>0.34982112399302401</v>
      </c>
      <c r="C73" s="1"/>
      <c r="D73" s="1"/>
      <c r="E73" s="1"/>
      <c r="F73" s="1"/>
      <c r="G73" s="1"/>
      <c r="H73" s="1"/>
      <c r="I73" s="1"/>
      <c r="J73" s="1"/>
    </row>
    <row r="74" spans="1:10" x14ac:dyDescent="0.15">
      <c r="A74" s="12">
        <v>0.46418562397593599</v>
      </c>
      <c r="B74" s="12">
        <v>0.35181312399799902</v>
      </c>
      <c r="C74" s="1"/>
      <c r="D74" s="1"/>
      <c r="E74" s="1"/>
      <c r="F74" s="1"/>
      <c r="G74" s="1"/>
      <c r="H74" s="1"/>
      <c r="I74" s="1"/>
      <c r="J74" s="1"/>
    </row>
    <row r="75" spans="1:10" x14ac:dyDescent="0.15">
      <c r="A75" s="12">
        <v>0.56031570699997302</v>
      </c>
      <c r="B75" s="12">
        <v>0.60372091599856503</v>
      </c>
      <c r="C75" s="1"/>
      <c r="D75" s="1"/>
      <c r="E75" s="1"/>
      <c r="F75" s="1"/>
      <c r="G75" s="1"/>
      <c r="H75" s="1"/>
      <c r="I75" s="1"/>
      <c r="J75" s="1"/>
    </row>
    <row r="76" spans="1:10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15">
      <c r="A77" s="20" t="s">
        <v>57</v>
      </c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15">
      <c r="A78" s="21">
        <f>_xlfn.T.TEST(A56:A75,B56:B75, 2, 1)</f>
        <v>0.43705785016426713</v>
      </c>
      <c r="B78" s="20" t="s">
        <v>58</v>
      </c>
      <c r="C78" s="1"/>
      <c r="D78" s="1"/>
      <c r="E78" s="1"/>
      <c r="F78" s="1"/>
      <c r="G78" s="1"/>
      <c r="H78" s="1"/>
      <c r="I78" s="1"/>
      <c r="J7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C20B-434E-2C4E-86C7-B2F7B44F94DA}">
  <dimension ref="A1:J78"/>
  <sheetViews>
    <sheetView topLeftCell="A36" workbookViewId="0">
      <selection activeCell="L12" sqref="L12"/>
    </sheetView>
  </sheetViews>
  <sheetFormatPr baseColWidth="10" defaultRowHeight="13" x14ac:dyDescent="0.15"/>
  <sheetData>
    <row r="1" spans="1:1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15">
      <c r="A2" s="16" t="s">
        <v>46</v>
      </c>
      <c r="B2" s="17" t="s">
        <v>47</v>
      </c>
      <c r="C2" s="8" t="s">
        <v>48</v>
      </c>
      <c r="D2" s="8" t="s">
        <v>49</v>
      </c>
      <c r="E2" s="7">
        <v>0</v>
      </c>
      <c r="F2" s="7">
        <v>0</v>
      </c>
      <c r="G2" s="7">
        <v>0</v>
      </c>
      <c r="H2" s="8" t="s">
        <v>49</v>
      </c>
      <c r="I2" s="7">
        <v>1</v>
      </c>
      <c r="J2" s="7">
        <v>1.0688838330097501</v>
      </c>
    </row>
    <row r="3" spans="1:10" x14ac:dyDescent="0.15">
      <c r="A3" s="9" t="s">
        <v>53</v>
      </c>
      <c r="B3" s="10" t="s">
        <v>50</v>
      </c>
      <c r="C3" s="11" t="s">
        <v>48</v>
      </c>
      <c r="D3" s="11" t="s">
        <v>52</v>
      </c>
      <c r="E3" s="12">
        <v>2</v>
      </c>
      <c r="F3" s="12">
        <v>2</v>
      </c>
      <c r="G3" s="12">
        <v>0</v>
      </c>
      <c r="H3" s="11" t="s">
        <v>52</v>
      </c>
      <c r="I3" s="12">
        <v>1</v>
      </c>
      <c r="J3" s="12">
        <v>0.49323724900023103</v>
      </c>
    </row>
    <row r="4" spans="1:10" x14ac:dyDescent="0.15">
      <c r="A4" s="9" t="s">
        <v>46</v>
      </c>
      <c r="B4" s="10" t="s">
        <v>47</v>
      </c>
      <c r="C4" s="11" t="s">
        <v>48</v>
      </c>
      <c r="D4" s="11" t="s">
        <v>49</v>
      </c>
      <c r="E4" s="12">
        <v>4</v>
      </c>
      <c r="F4" s="12">
        <v>0</v>
      </c>
      <c r="G4" s="12">
        <v>1</v>
      </c>
      <c r="H4" s="11" t="s">
        <v>49</v>
      </c>
      <c r="I4" s="12">
        <v>1</v>
      </c>
      <c r="J4" s="12">
        <v>0.37638258299557498</v>
      </c>
    </row>
    <row r="5" spans="1:10" x14ac:dyDescent="0.15">
      <c r="A5" s="9" t="s">
        <v>53</v>
      </c>
      <c r="B5" s="10" t="s">
        <v>50</v>
      </c>
      <c r="C5" s="11" t="s">
        <v>48</v>
      </c>
      <c r="D5" s="11" t="s">
        <v>52</v>
      </c>
      <c r="E5" s="12">
        <v>7</v>
      </c>
      <c r="F5" s="12">
        <v>3</v>
      </c>
      <c r="G5" s="12">
        <v>1</v>
      </c>
      <c r="H5" s="11" t="s">
        <v>52</v>
      </c>
      <c r="I5" s="12">
        <v>1</v>
      </c>
      <c r="J5" s="12">
        <v>0.48950404100469302</v>
      </c>
    </row>
    <row r="6" spans="1:10" x14ac:dyDescent="0.15">
      <c r="A6" s="9" t="s">
        <v>46</v>
      </c>
      <c r="B6" s="10" t="s">
        <v>47</v>
      </c>
      <c r="C6" s="11" t="s">
        <v>48</v>
      </c>
      <c r="D6" s="11" t="s">
        <v>49</v>
      </c>
      <c r="E6" s="12">
        <v>9</v>
      </c>
      <c r="F6" s="12">
        <v>1</v>
      </c>
      <c r="G6" s="12">
        <v>2</v>
      </c>
      <c r="H6" s="11" t="s">
        <v>49</v>
      </c>
      <c r="I6" s="12">
        <v>1</v>
      </c>
      <c r="J6" s="12">
        <v>0.36239145800937</v>
      </c>
    </row>
    <row r="7" spans="1:10" x14ac:dyDescent="0.15">
      <c r="A7" s="9" t="s">
        <v>53</v>
      </c>
      <c r="B7" s="10" t="s">
        <v>50</v>
      </c>
      <c r="C7" s="11" t="s">
        <v>48</v>
      </c>
      <c r="D7" s="11" t="s">
        <v>52</v>
      </c>
      <c r="E7" s="12">
        <v>11</v>
      </c>
      <c r="F7" s="12">
        <v>3</v>
      </c>
      <c r="G7" s="12">
        <v>2</v>
      </c>
      <c r="H7" s="11" t="s">
        <v>49</v>
      </c>
      <c r="I7" s="12">
        <v>0</v>
      </c>
      <c r="J7" s="12">
        <v>0.88640970800770502</v>
      </c>
    </row>
    <row r="8" spans="1:10" x14ac:dyDescent="0.15">
      <c r="A8" s="9" t="s">
        <v>53</v>
      </c>
      <c r="B8" s="10" t="s">
        <v>50</v>
      </c>
      <c r="C8" s="11" t="s">
        <v>48</v>
      </c>
      <c r="D8" s="11" t="s">
        <v>52</v>
      </c>
      <c r="E8" s="12">
        <v>12</v>
      </c>
      <c r="F8" s="12">
        <v>0</v>
      </c>
      <c r="G8" s="12">
        <v>3</v>
      </c>
      <c r="H8" s="11" t="s">
        <v>52</v>
      </c>
      <c r="I8" s="12">
        <v>1</v>
      </c>
      <c r="J8" s="12">
        <v>0.50239595799939696</v>
      </c>
    </row>
    <row r="9" spans="1:10" x14ac:dyDescent="0.15">
      <c r="A9" s="9" t="s">
        <v>46</v>
      </c>
      <c r="B9" s="10" t="s">
        <v>47</v>
      </c>
      <c r="C9" s="11" t="s">
        <v>48</v>
      </c>
      <c r="D9" s="11" t="s">
        <v>49</v>
      </c>
      <c r="E9" s="12">
        <v>15</v>
      </c>
      <c r="F9" s="12">
        <v>3</v>
      </c>
      <c r="G9" s="12">
        <v>3</v>
      </c>
      <c r="H9" s="11" t="s">
        <v>49</v>
      </c>
      <c r="I9" s="12">
        <v>1</v>
      </c>
      <c r="J9" s="12">
        <v>0.32886212499579398</v>
      </c>
    </row>
    <row r="10" spans="1:10" x14ac:dyDescent="0.15">
      <c r="A10" s="9" t="s">
        <v>53</v>
      </c>
      <c r="B10" s="10" t="s">
        <v>50</v>
      </c>
      <c r="C10" s="11" t="s">
        <v>48</v>
      </c>
      <c r="D10" s="11" t="s">
        <v>52</v>
      </c>
      <c r="E10" s="12">
        <v>16</v>
      </c>
      <c r="F10" s="12">
        <v>0</v>
      </c>
      <c r="G10" s="12">
        <v>4</v>
      </c>
      <c r="H10" s="11" t="s">
        <v>52</v>
      </c>
      <c r="I10" s="12">
        <v>1</v>
      </c>
      <c r="J10" s="12">
        <v>0.65461349999532104</v>
      </c>
    </row>
    <row r="11" spans="1:10" x14ac:dyDescent="0.15">
      <c r="A11" s="9" t="s">
        <v>46</v>
      </c>
      <c r="B11" s="10" t="s">
        <v>47</v>
      </c>
      <c r="C11" s="11" t="s">
        <v>48</v>
      </c>
      <c r="D11" s="11" t="s">
        <v>49</v>
      </c>
      <c r="E11" s="12">
        <v>17</v>
      </c>
      <c r="F11" s="12">
        <v>1</v>
      </c>
      <c r="G11" s="12">
        <v>4</v>
      </c>
      <c r="H11" s="11" t="s">
        <v>52</v>
      </c>
      <c r="I11" s="12">
        <v>0</v>
      </c>
      <c r="J11" s="12">
        <v>0.50347045800299395</v>
      </c>
    </row>
    <row r="12" spans="1:10" x14ac:dyDescent="0.15">
      <c r="A12" s="9" t="s">
        <v>53</v>
      </c>
      <c r="B12" s="10" t="s">
        <v>50</v>
      </c>
      <c r="C12" s="11" t="s">
        <v>48</v>
      </c>
      <c r="D12" s="11" t="s">
        <v>52</v>
      </c>
      <c r="E12" s="12">
        <v>20</v>
      </c>
      <c r="F12" s="12">
        <v>0</v>
      </c>
      <c r="G12" s="12">
        <v>5</v>
      </c>
      <c r="H12" s="11" t="s">
        <v>52</v>
      </c>
      <c r="I12" s="12">
        <v>1</v>
      </c>
      <c r="J12" s="12">
        <v>0.71918491699034404</v>
      </c>
    </row>
    <row r="13" spans="1:10" x14ac:dyDescent="0.15">
      <c r="A13" s="9" t="s">
        <v>46</v>
      </c>
      <c r="B13" s="10" t="s">
        <v>47</v>
      </c>
      <c r="C13" s="11" t="s">
        <v>48</v>
      </c>
      <c r="D13" s="11" t="s">
        <v>49</v>
      </c>
      <c r="E13" s="12">
        <v>23</v>
      </c>
      <c r="F13" s="12">
        <v>3</v>
      </c>
      <c r="G13" s="12">
        <v>5</v>
      </c>
      <c r="H13" s="11" t="s">
        <v>49</v>
      </c>
      <c r="I13" s="12">
        <v>1</v>
      </c>
      <c r="J13" s="12">
        <v>0.78860070800874404</v>
      </c>
    </row>
    <row r="14" spans="1:10" x14ac:dyDescent="0.15">
      <c r="A14" s="9" t="s">
        <v>46</v>
      </c>
      <c r="B14" s="10" t="s">
        <v>47</v>
      </c>
      <c r="C14" s="11" t="s">
        <v>48</v>
      </c>
      <c r="D14" s="11" t="s">
        <v>49</v>
      </c>
      <c r="E14" s="12">
        <v>25</v>
      </c>
      <c r="F14" s="12">
        <v>1</v>
      </c>
      <c r="G14" s="12">
        <v>6</v>
      </c>
      <c r="H14" s="11" t="s">
        <v>49</v>
      </c>
      <c r="I14" s="12">
        <v>1</v>
      </c>
      <c r="J14" s="12">
        <v>0.63553904200671196</v>
      </c>
    </row>
    <row r="15" spans="1:10" x14ac:dyDescent="0.15">
      <c r="A15" s="9" t="s">
        <v>53</v>
      </c>
      <c r="B15" s="10" t="s">
        <v>50</v>
      </c>
      <c r="C15" s="11" t="s">
        <v>48</v>
      </c>
      <c r="D15" s="11" t="s">
        <v>52</v>
      </c>
      <c r="E15" s="12">
        <v>27</v>
      </c>
      <c r="F15" s="12">
        <v>3</v>
      </c>
      <c r="G15" s="12">
        <v>6</v>
      </c>
      <c r="H15" s="11" t="s">
        <v>52</v>
      </c>
      <c r="I15" s="12">
        <v>1</v>
      </c>
      <c r="J15" s="12">
        <v>0.56048637500498399</v>
      </c>
    </row>
    <row r="16" spans="1:10" x14ac:dyDescent="0.15">
      <c r="A16" s="9" t="s">
        <v>53</v>
      </c>
      <c r="B16" s="10" t="s">
        <v>50</v>
      </c>
      <c r="C16" s="11" t="s">
        <v>48</v>
      </c>
      <c r="D16" s="11" t="s">
        <v>52</v>
      </c>
      <c r="E16" s="12">
        <v>28</v>
      </c>
      <c r="F16" s="12">
        <v>0</v>
      </c>
      <c r="G16" s="12">
        <v>7</v>
      </c>
      <c r="H16" s="11" t="s">
        <v>52</v>
      </c>
      <c r="I16" s="12">
        <v>1</v>
      </c>
      <c r="J16" s="12">
        <v>0.31742670800304001</v>
      </c>
    </row>
    <row r="17" spans="1:10" x14ac:dyDescent="0.15">
      <c r="A17" s="9" t="s">
        <v>46</v>
      </c>
      <c r="B17" s="10" t="s">
        <v>47</v>
      </c>
      <c r="C17" s="11" t="s">
        <v>48</v>
      </c>
      <c r="D17" s="11" t="s">
        <v>49</v>
      </c>
      <c r="E17" s="12">
        <v>31</v>
      </c>
      <c r="F17" s="12">
        <v>3</v>
      </c>
      <c r="G17" s="12">
        <v>7</v>
      </c>
      <c r="H17" s="11" t="s">
        <v>49</v>
      </c>
      <c r="I17" s="12">
        <v>1</v>
      </c>
      <c r="J17" s="12">
        <v>0.32617995800683303</v>
      </c>
    </row>
    <row r="18" spans="1:10" x14ac:dyDescent="0.15">
      <c r="A18" s="9" t="s">
        <v>53</v>
      </c>
      <c r="B18" s="10" t="s">
        <v>50</v>
      </c>
      <c r="C18" s="11" t="s">
        <v>48</v>
      </c>
      <c r="D18" s="11" t="s">
        <v>52</v>
      </c>
      <c r="E18" s="12">
        <v>33</v>
      </c>
      <c r="F18" s="12">
        <v>1</v>
      </c>
      <c r="G18" s="12">
        <v>8</v>
      </c>
      <c r="H18" s="11" t="s">
        <v>52</v>
      </c>
      <c r="I18" s="12">
        <v>1</v>
      </c>
      <c r="J18" s="12">
        <v>0.66289399997913301</v>
      </c>
    </row>
    <row r="19" spans="1:10" x14ac:dyDescent="0.15">
      <c r="A19" s="9" t="s">
        <v>46</v>
      </c>
      <c r="B19" s="10" t="s">
        <v>47</v>
      </c>
      <c r="C19" s="11" t="s">
        <v>48</v>
      </c>
      <c r="D19" s="11" t="s">
        <v>49</v>
      </c>
      <c r="E19" s="12">
        <v>35</v>
      </c>
      <c r="F19" s="12">
        <v>3</v>
      </c>
      <c r="G19" s="12">
        <v>8</v>
      </c>
      <c r="H19" s="11" t="s">
        <v>49</v>
      </c>
      <c r="I19" s="12">
        <v>1</v>
      </c>
      <c r="J19" s="12">
        <v>0.59668345798854705</v>
      </c>
    </row>
    <row r="20" spans="1:10" x14ac:dyDescent="0.15">
      <c r="A20" s="9" t="s">
        <v>53</v>
      </c>
      <c r="B20" s="10" t="s">
        <v>50</v>
      </c>
      <c r="C20" s="11" t="s">
        <v>48</v>
      </c>
      <c r="D20" s="11" t="s">
        <v>52</v>
      </c>
      <c r="E20" s="12">
        <v>37</v>
      </c>
      <c r="F20" s="12">
        <v>1</v>
      </c>
      <c r="G20" s="12">
        <v>9</v>
      </c>
      <c r="H20" s="11" t="s">
        <v>52</v>
      </c>
      <c r="I20" s="12">
        <v>1</v>
      </c>
      <c r="J20" s="12">
        <v>0.42641874897526599</v>
      </c>
    </row>
    <row r="21" spans="1:10" x14ac:dyDescent="0.15">
      <c r="A21" s="9" t="s">
        <v>46</v>
      </c>
      <c r="B21" s="10" t="s">
        <v>47</v>
      </c>
      <c r="C21" s="11" t="s">
        <v>48</v>
      </c>
      <c r="D21" s="11" t="s">
        <v>49</v>
      </c>
      <c r="E21" s="12">
        <v>39</v>
      </c>
      <c r="F21" s="12">
        <v>3</v>
      </c>
      <c r="G21" s="12">
        <v>9</v>
      </c>
      <c r="H21" s="11" t="s">
        <v>49</v>
      </c>
      <c r="I21" s="12">
        <v>1</v>
      </c>
      <c r="J21" s="12">
        <v>0.41947900000377603</v>
      </c>
    </row>
    <row r="22" spans="1:10" x14ac:dyDescent="0.15">
      <c r="A22" s="9" t="s">
        <v>46</v>
      </c>
      <c r="B22" s="10" t="s">
        <v>50</v>
      </c>
      <c r="C22" s="11" t="s">
        <v>51</v>
      </c>
      <c r="D22" s="11" t="s">
        <v>52</v>
      </c>
      <c r="E22" s="12">
        <v>1</v>
      </c>
      <c r="F22" s="12">
        <v>1</v>
      </c>
      <c r="G22" s="12">
        <v>0</v>
      </c>
      <c r="H22" s="11" t="s">
        <v>52</v>
      </c>
      <c r="I22" s="12">
        <v>1</v>
      </c>
      <c r="J22" s="12">
        <v>1.69385833301931</v>
      </c>
    </row>
    <row r="23" spans="1:10" x14ac:dyDescent="0.15">
      <c r="A23" s="9" t="s">
        <v>53</v>
      </c>
      <c r="B23" s="10" t="s">
        <v>47</v>
      </c>
      <c r="C23" s="11" t="s">
        <v>51</v>
      </c>
      <c r="D23" s="11" t="s">
        <v>49</v>
      </c>
      <c r="E23" s="12">
        <v>3</v>
      </c>
      <c r="F23" s="12">
        <v>3</v>
      </c>
      <c r="G23" s="12">
        <v>0</v>
      </c>
      <c r="H23" s="11" t="s">
        <v>49</v>
      </c>
      <c r="I23" s="12">
        <v>1</v>
      </c>
      <c r="J23" s="12">
        <v>0.55107887499616504</v>
      </c>
    </row>
    <row r="24" spans="1:10" x14ac:dyDescent="0.15">
      <c r="A24" s="9" t="s">
        <v>46</v>
      </c>
      <c r="B24" s="10" t="s">
        <v>50</v>
      </c>
      <c r="C24" s="11" t="s">
        <v>51</v>
      </c>
      <c r="D24" s="11" t="s">
        <v>52</v>
      </c>
      <c r="E24" s="12">
        <v>5</v>
      </c>
      <c r="F24" s="12">
        <v>1</v>
      </c>
      <c r="G24" s="12">
        <v>1</v>
      </c>
      <c r="H24" s="11" t="s">
        <v>52</v>
      </c>
      <c r="I24" s="12">
        <v>1</v>
      </c>
      <c r="J24" s="12">
        <v>0.47401612499379597</v>
      </c>
    </row>
    <row r="25" spans="1:10" x14ac:dyDescent="0.15">
      <c r="A25" s="9" t="s">
        <v>53</v>
      </c>
      <c r="B25" s="10" t="s">
        <v>47</v>
      </c>
      <c r="C25" s="11" t="s">
        <v>51</v>
      </c>
      <c r="D25" s="11" t="s">
        <v>49</v>
      </c>
      <c r="E25" s="12">
        <v>6</v>
      </c>
      <c r="F25" s="12">
        <v>2</v>
      </c>
      <c r="G25" s="12">
        <v>1</v>
      </c>
      <c r="H25" s="11" t="s">
        <v>49</v>
      </c>
      <c r="I25" s="12">
        <v>1</v>
      </c>
      <c r="J25" s="12">
        <v>0.37804758298443603</v>
      </c>
    </row>
    <row r="26" spans="1:10" x14ac:dyDescent="0.15">
      <c r="A26" s="9" t="s">
        <v>53</v>
      </c>
      <c r="B26" s="10" t="s">
        <v>47</v>
      </c>
      <c r="C26" s="11" t="s">
        <v>51</v>
      </c>
      <c r="D26" s="11" t="s">
        <v>49</v>
      </c>
      <c r="E26" s="12">
        <v>8</v>
      </c>
      <c r="F26" s="12">
        <v>0</v>
      </c>
      <c r="G26" s="12">
        <v>2</v>
      </c>
      <c r="H26" s="11" t="s">
        <v>49</v>
      </c>
      <c r="I26" s="12">
        <v>1</v>
      </c>
      <c r="J26" s="12">
        <v>0.32649283300270299</v>
      </c>
    </row>
    <row r="27" spans="1:10" x14ac:dyDescent="0.15">
      <c r="A27" s="9" t="s">
        <v>46</v>
      </c>
      <c r="B27" s="10" t="s">
        <v>50</v>
      </c>
      <c r="C27" s="11" t="s">
        <v>51</v>
      </c>
      <c r="D27" s="11" t="s">
        <v>52</v>
      </c>
      <c r="E27" s="12">
        <v>10</v>
      </c>
      <c r="F27" s="12">
        <v>2</v>
      </c>
      <c r="G27" s="12">
        <v>2</v>
      </c>
      <c r="H27" s="11" t="s">
        <v>52</v>
      </c>
      <c r="I27" s="12">
        <v>1</v>
      </c>
      <c r="J27" s="12">
        <v>0.34147087400197101</v>
      </c>
    </row>
    <row r="28" spans="1:10" x14ac:dyDescent="0.15">
      <c r="A28" s="9" t="s">
        <v>46</v>
      </c>
      <c r="B28" s="10" t="s">
        <v>50</v>
      </c>
      <c r="C28" s="11" t="s">
        <v>51</v>
      </c>
      <c r="D28" s="11" t="s">
        <v>52</v>
      </c>
      <c r="E28" s="12">
        <v>13</v>
      </c>
      <c r="F28" s="12">
        <v>1</v>
      </c>
      <c r="G28" s="12">
        <v>3</v>
      </c>
      <c r="H28" s="11" t="s">
        <v>52</v>
      </c>
      <c r="I28" s="12">
        <v>1</v>
      </c>
      <c r="J28" s="12">
        <v>0.527453874994535</v>
      </c>
    </row>
    <row r="29" spans="1:10" x14ac:dyDescent="0.15">
      <c r="A29" s="9" t="s">
        <v>53</v>
      </c>
      <c r="B29" s="10" t="s">
        <v>47</v>
      </c>
      <c r="C29" s="11" t="s">
        <v>51</v>
      </c>
      <c r="D29" s="11" t="s">
        <v>49</v>
      </c>
      <c r="E29" s="12">
        <v>14</v>
      </c>
      <c r="F29" s="12">
        <v>2</v>
      </c>
      <c r="G29" s="12">
        <v>3</v>
      </c>
      <c r="H29" s="11" t="s">
        <v>49</v>
      </c>
      <c r="I29" s="12">
        <v>1</v>
      </c>
      <c r="J29" s="12">
        <v>0.48020045799785299</v>
      </c>
    </row>
    <row r="30" spans="1:10" x14ac:dyDescent="0.15">
      <c r="A30" s="9" t="s">
        <v>46</v>
      </c>
      <c r="B30" s="10" t="s">
        <v>50</v>
      </c>
      <c r="C30" s="11" t="s">
        <v>51</v>
      </c>
      <c r="D30" s="11" t="s">
        <v>52</v>
      </c>
      <c r="E30" s="12">
        <v>18</v>
      </c>
      <c r="F30" s="12">
        <v>2</v>
      </c>
      <c r="G30" s="12">
        <v>4</v>
      </c>
      <c r="H30" s="11" t="s">
        <v>49</v>
      </c>
      <c r="I30" s="12">
        <v>0</v>
      </c>
      <c r="J30" s="12">
        <v>0.74463008300517697</v>
      </c>
    </row>
    <row r="31" spans="1:10" x14ac:dyDescent="0.15">
      <c r="A31" s="9" t="s">
        <v>53</v>
      </c>
      <c r="B31" s="10" t="s">
        <v>47</v>
      </c>
      <c r="C31" s="11" t="s">
        <v>51</v>
      </c>
      <c r="D31" s="11" t="s">
        <v>49</v>
      </c>
      <c r="E31" s="12">
        <v>19</v>
      </c>
      <c r="F31" s="12">
        <v>3</v>
      </c>
      <c r="G31" s="12">
        <v>4</v>
      </c>
      <c r="H31" s="11" t="s">
        <v>49</v>
      </c>
      <c r="I31" s="12">
        <v>1</v>
      </c>
      <c r="J31" s="12">
        <v>1.3397442080022299</v>
      </c>
    </row>
    <row r="32" spans="1:10" x14ac:dyDescent="0.15">
      <c r="A32" s="9" t="s">
        <v>53</v>
      </c>
      <c r="B32" s="10" t="s">
        <v>47</v>
      </c>
      <c r="C32" s="11" t="s">
        <v>51</v>
      </c>
      <c r="D32" s="11" t="s">
        <v>49</v>
      </c>
      <c r="E32" s="12">
        <v>21</v>
      </c>
      <c r="F32" s="12">
        <v>1</v>
      </c>
      <c r="G32" s="12">
        <v>5</v>
      </c>
      <c r="H32" s="11" t="s">
        <v>49</v>
      </c>
      <c r="I32" s="12">
        <v>1</v>
      </c>
      <c r="J32" s="12">
        <v>1.04777020800975</v>
      </c>
    </row>
    <row r="33" spans="1:10" x14ac:dyDescent="0.15">
      <c r="A33" s="9" t="s">
        <v>46</v>
      </c>
      <c r="B33" s="10" t="s">
        <v>50</v>
      </c>
      <c r="C33" s="11" t="s">
        <v>51</v>
      </c>
      <c r="D33" s="11" t="s">
        <v>52</v>
      </c>
      <c r="E33" s="12">
        <v>22</v>
      </c>
      <c r="F33" s="12">
        <v>2</v>
      </c>
      <c r="G33" s="12">
        <v>5</v>
      </c>
      <c r="H33" s="11" t="s">
        <v>52</v>
      </c>
      <c r="I33" s="12">
        <v>1</v>
      </c>
      <c r="J33" s="12">
        <v>1.13510770798894</v>
      </c>
    </row>
    <row r="34" spans="1:10" x14ac:dyDescent="0.15">
      <c r="A34" s="9" t="s">
        <v>46</v>
      </c>
      <c r="B34" s="10" t="s">
        <v>50</v>
      </c>
      <c r="C34" s="11" t="s">
        <v>51</v>
      </c>
      <c r="D34" s="11" t="s">
        <v>52</v>
      </c>
      <c r="E34" s="12">
        <v>24</v>
      </c>
      <c r="F34" s="12">
        <v>0</v>
      </c>
      <c r="G34" s="12">
        <v>6</v>
      </c>
      <c r="H34" s="11" t="s">
        <v>52</v>
      </c>
      <c r="I34" s="12">
        <v>1</v>
      </c>
      <c r="J34" s="12">
        <v>0.57689491601195197</v>
      </c>
    </row>
    <row r="35" spans="1:10" x14ac:dyDescent="0.15">
      <c r="A35" s="9" t="s">
        <v>53</v>
      </c>
      <c r="B35" s="10" t="s">
        <v>47</v>
      </c>
      <c r="C35" s="11" t="s">
        <v>51</v>
      </c>
      <c r="D35" s="11" t="s">
        <v>49</v>
      </c>
      <c r="E35" s="12">
        <v>26</v>
      </c>
      <c r="F35" s="12">
        <v>2</v>
      </c>
      <c r="G35" s="12">
        <v>6</v>
      </c>
      <c r="H35" s="11" t="s">
        <v>49</v>
      </c>
      <c r="I35" s="12">
        <v>1</v>
      </c>
      <c r="J35" s="12">
        <v>0.54648854199331298</v>
      </c>
    </row>
    <row r="36" spans="1:10" x14ac:dyDescent="0.15">
      <c r="A36" s="9" t="s">
        <v>46</v>
      </c>
      <c r="B36" s="10" t="s">
        <v>50</v>
      </c>
      <c r="C36" s="11" t="s">
        <v>51</v>
      </c>
      <c r="D36" s="11" t="s">
        <v>52</v>
      </c>
      <c r="E36" s="12">
        <v>29</v>
      </c>
      <c r="F36" s="12">
        <v>1</v>
      </c>
      <c r="G36" s="12">
        <v>7</v>
      </c>
      <c r="H36" s="11" t="s">
        <v>49</v>
      </c>
      <c r="I36" s="12">
        <v>0</v>
      </c>
      <c r="J36" s="12">
        <v>0.512063666014001</v>
      </c>
    </row>
    <row r="37" spans="1:10" x14ac:dyDescent="0.15">
      <c r="A37" s="9" t="s">
        <v>53</v>
      </c>
      <c r="B37" s="10" t="s">
        <v>47</v>
      </c>
      <c r="C37" s="11" t="s">
        <v>51</v>
      </c>
      <c r="D37" s="11" t="s">
        <v>49</v>
      </c>
      <c r="E37" s="12">
        <v>30</v>
      </c>
      <c r="F37" s="12">
        <v>2</v>
      </c>
      <c r="G37" s="12">
        <v>7</v>
      </c>
      <c r="H37" s="11" t="s">
        <v>49</v>
      </c>
      <c r="I37" s="12">
        <v>1</v>
      </c>
      <c r="J37" s="12">
        <v>0.79341799899702903</v>
      </c>
    </row>
    <row r="38" spans="1:10" x14ac:dyDescent="0.15">
      <c r="A38" s="9" t="s">
        <v>53</v>
      </c>
      <c r="B38" s="10" t="s">
        <v>47</v>
      </c>
      <c r="C38" s="11" t="s">
        <v>51</v>
      </c>
      <c r="D38" s="11" t="s">
        <v>49</v>
      </c>
      <c r="E38" s="12">
        <v>32</v>
      </c>
      <c r="F38" s="12">
        <v>0</v>
      </c>
      <c r="G38" s="12">
        <v>8</v>
      </c>
      <c r="H38" s="11" t="s">
        <v>49</v>
      </c>
      <c r="I38" s="12">
        <v>1</v>
      </c>
      <c r="J38" s="12">
        <v>0.32368687400594398</v>
      </c>
    </row>
    <row r="39" spans="1:10" x14ac:dyDescent="0.15">
      <c r="A39" s="9" t="s">
        <v>46</v>
      </c>
      <c r="B39" s="10" t="s">
        <v>50</v>
      </c>
      <c r="C39" s="11" t="s">
        <v>51</v>
      </c>
      <c r="D39" s="11" t="s">
        <v>52</v>
      </c>
      <c r="E39" s="12">
        <v>34</v>
      </c>
      <c r="F39" s="12">
        <v>2</v>
      </c>
      <c r="G39" s="12">
        <v>8</v>
      </c>
      <c r="H39" s="11" t="s">
        <v>52</v>
      </c>
      <c r="I39" s="12">
        <v>1</v>
      </c>
      <c r="J39" s="12">
        <v>0.37381483300123403</v>
      </c>
    </row>
    <row r="40" spans="1:10" x14ac:dyDescent="0.15">
      <c r="A40" s="9" t="s">
        <v>53</v>
      </c>
      <c r="B40" s="10" t="s">
        <v>47</v>
      </c>
      <c r="C40" s="11" t="s">
        <v>51</v>
      </c>
      <c r="D40" s="11" t="s">
        <v>49</v>
      </c>
      <c r="E40" s="12">
        <v>36</v>
      </c>
      <c r="F40" s="12">
        <v>0</v>
      </c>
      <c r="G40" s="12">
        <v>9</v>
      </c>
      <c r="H40" s="11" t="s">
        <v>49</v>
      </c>
      <c r="I40" s="12">
        <v>1</v>
      </c>
      <c r="J40" s="12">
        <v>0.500948083004914</v>
      </c>
    </row>
    <row r="41" spans="1:10" x14ac:dyDescent="0.15">
      <c r="A41" s="9" t="s">
        <v>46</v>
      </c>
      <c r="B41" s="10" t="s">
        <v>50</v>
      </c>
      <c r="C41" s="11" t="s">
        <v>51</v>
      </c>
      <c r="D41" s="11" t="s">
        <v>52</v>
      </c>
      <c r="E41" s="12">
        <v>38</v>
      </c>
      <c r="F41" s="12">
        <v>2</v>
      </c>
      <c r="G41" s="12">
        <v>9</v>
      </c>
      <c r="H41" s="11" t="s">
        <v>52</v>
      </c>
      <c r="I41" s="12">
        <v>1</v>
      </c>
      <c r="J41" s="12">
        <v>0.57579670799896099</v>
      </c>
    </row>
    <row r="42" spans="1:10" x14ac:dyDescent="0.15">
      <c r="A42" s="14"/>
      <c r="B42" s="15"/>
      <c r="C42" s="13"/>
      <c r="D42" s="13"/>
      <c r="E42" s="13"/>
      <c r="F42" s="13"/>
      <c r="G42" s="13"/>
      <c r="H42" s="13"/>
      <c r="I42" s="13"/>
      <c r="J42" s="13"/>
    </row>
    <row r="43" spans="1:10" x14ac:dyDescent="0.15">
      <c r="A43" s="14"/>
      <c r="B43" s="15"/>
      <c r="C43" s="13"/>
      <c r="D43" s="13"/>
      <c r="E43" s="13"/>
      <c r="F43" s="13"/>
      <c r="G43" s="13"/>
      <c r="H43" s="13"/>
      <c r="I43" s="13"/>
      <c r="J43" s="13"/>
    </row>
    <row r="44" spans="1:10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28" x14ac:dyDescent="0.15">
      <c r="A45" s="18" t="s">
        <v>59</v>
      </c>
      <c r="B45" s="19">
        <f>AVERAGEIF(C2:C41, "C", J2:J41)</f>
        <v>0.55595219139941043</v>
      </c>
    </row>
    <row r="46" spans="1:10" ht="28" x14ac:dyDescent="0.15">
      <c r="A46" s="18" t="s">
        <v>67</v>
      </c>
      <c r="B46" s="19">
        <f>AVERAGEIF(C2:C41, "I", J2:J41)</f>
        <v>0.66214913920121066</v>
      </c>
    </row>
    <row r="47" spans="1:10" ht="14" x14ac:dyDescent="0.15">
      <c r="A47" s="18" t="s">
        <v>61</v>
      </c>
      <c r="B47" s="19">
        <f>B46-B45</f>
        <v>0.10619694780180022</v>
      </c>
    </row>
    <row r="49" spans="1:2" ht="28" x14ac:dyDescent="0.15">
      <c r="A49" s="18" t="s">
        <v>62</v>
      </c>
      <c r="B49" s="19">
        <f>_xlfn.STDEV.S(A56:A75)</f>
        <v>0.20034195943567429</v>
      </c>
    </row>
    <row r="50" spans="1:2" ht="28" x14ac:dyDescent="0.15">
      <c r="A50" s="18" t="s">
        <v>63</v>
      </c>
      <c r="B50" s="19">
        <f>_xlfn.STDEV.S(B56:B75)</f>
        <v>0.36917306959028962</v>
      </c>
    </row>
    <row r="54" spans="1:2" ht="14" x14ac:dyDescent="0.15">
      <c r="A54" s="18" t="s">
        <v>54</v>
      </c>
      <c r="B54" s="18" t="s">
        <v>55</v>
      </c>
    </row>
    <row r="55" spans="1:2" ht="14" x14ac:dyDescent="0.15">
      <c r="A55" s="18" t="s">
        <v>56</v>
      </c>
      <c r="B55" s="18" t="s">
        <v>56</v>
      </c>
    </row>
    <row r="56" spans="1:2" x14ac:dyDescent="0.15">
      <c r="A56" s="7">
        <v>1.0688838330097501</v>
      </c>
      <c r="B56" s="12">
        <v>1.69385833301931</v>
      </c>
    </row>
    <row r="57" spans="1:2" x14ac:dyDescent="0.15">
      <c r="A57" s="12">
        <v>0.49323724900023103</v>
      </c>
      <c r="B57" s="12">
        <v>0.55107887499616504</v>
      </c>
    </row>
    <row r="58" spans="1:2" x14ac:dyDescent="0.15">
      <c r="A58" s="12">
        <v>0.37638258299557498</v>
      </c>
      <c r="B58" s="12">
        <v>0.47401612499379597</v>
      </c>
    </row>
    <row r="59" spans="1:2" x14ac:dyDescent="0.15">
      <c r="A59" s="12">
        <v>0.48950404100469302</v>
      </c>
      <c r="B59" s="12">
        <v>0.37804758298443603</v>
      </c>
    </row>
    <row r="60" spans="1:2" x14ac:dyDescent="0.15">
      <c r="A60" s="12">
        <v>0.36239145800937</v>
      </c>
      <c r="B60" s="12">
        <v>0.32649283300270299</v>
      </c>
    </row>
    <row r="61" spans="1:2" x14ac:dyDescent="0.15">
      <c r="A61" s="12">
        <v>0.88640970800770502</v>
      </c>
      <c r="B61" s="12">
        <v>0.34147087400197101</v>
      </c>
    </row>
    <row r="62" spans="1:2" x14ac:dyDescent="0.15">
      <c r="A62" s="12">
        <v>0.50239595799939696</v>
      </c>
      <c r="B62" s="12">
        <v>0.527453874994535</v>
      </c>
    </row>
    <row r="63" spans="1:2" x14ac:dyDescent="0.15">
      <c r="A63" s="12">
        <v>0.32886212499579398</v>
      </c>
      <c r="B63" s="12">
        <v>0.48020045799785299</v>
      </c>
    </row>
    <row r="64" spans="1:2" x14ac:dyDescent="0.15">
      <c r="A64" s="12">
        <v>0.65461349999532104</v>
      </c>
      <c r="B64" s="12">
        <v>0.74463008300517697</v>
      </c>
    </row>
    <row r="65" spans="1:2" x14ac:dyDescent="0.15">
      <c r="A65" s="12">
        <v>0.50347045800299395</v>
      </c>
      <c r="B65" s="12">
        <v>1.3397442080022299</v>
      </c>
    </row>
    <row r="66" spans="1:2" x14ac:dyDescent="0.15">
      <c r="A66" s="12">
        <v>0.71918491699034404</v>
      </c>
      <c r="B66" s="12">
        <v>1.04777020800975</v>
      </c>
    </row>
    <row r="67" spans="1:2" x14ac:dyDescent="0.15">
      <c r="A67" s="12">
        <v>0.78860070800874404</v>
      </c>
      <c r="B67" s="12">
        <v>1.13510770798894</v>
      </c>
    </row>
    <row r="68" spans="1:2" x14ac:dyDescent="0.15">
      <c r="A68" s="12">
        <v>0.63553904200671196</v>
      </c>
      <c r="B68" s="12">
        <v>0.57689491601195197</v>
      </c>
    </row>
    <row r="69" spans="1:2" x14ac:dyDescent="0.15">
      <c r="A69" s="12">
        <v>0.56048637500498399</v>
      </c>
      <c r="B69" s="12">
        <v>0.54648854199331298</v>
      </c>
    </row>
    <row r="70" spans="1:2" x14ac:dyDescent="0.15">
      <c r="A70" s="12">
        <v>0.31742670800304001</v>
      </c>
      <c r="B70" s="12">
        <v>0.512063666014001</v>
      </c>
    </row>
    <row r="71" spans="1:2" x14ac:dyDescent="0.15">
      <c r="A71" s="12">
        <v>0.32617995800683303</v>
      </c>
      <c r="B71" s="12">
        <v>0.79341799899702903</v>
      </c>
    </row>
    <row r="72" spans="1:2" x14ac:dyDescent="0.15">
      <c r="A72" s="12">
        <v>0.66289399997913301</v>
      </c>
      <c r="B72" s="12">
        <v>0.32368687400594398</v>
      </c>
    </row>
    <row r="73" spans="1:2" x14ac:dyDescent="0.15">
      <c r="A73" s="12">
        <v>0.59668345798854705</v>
      </c>
      <c r="B73" s="12">
        <v>0.37381483300123403</v>
      </c>
    </row>
    <row r="74" spans="1:2" x14ac:dyDescent="0.15">
      <c r="A74" s="12">
        <v>0.42641874897526599</v>
      </c>
      <c r="B74" s="12">
        <v>0.500948083004914</v>
      </c>
    </row>
    <row r="75" spans="1:2" x14ac:dyDescent="0.15">
      <c r="A75" s="12">
        <v>0.41947900000377603</v>
      </c>
      <c r="B75" s="12">
        <v>0.57579670799896099</v>
      </c>
    </row>
    <row r="77" spans="1:2" ht="14" x14ac:dyDescent="0.15">
      <c r="A77" s="18" t="s">
        <v>57</v>
      </c>
    </row>
    <row r="78" spans="1:2" ht="14" x14ac:dyDescent="0.15">
      <c r="A78" s="19">
        <f>_xlfn.T.TEST(A56:A75, B56:B75, 2, 1)</f>
        <v>0.14979190203111875</v>
      </c>
      <c r="B78" s="18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5B51-163B-FB4F-A8E2-3A08B2BDE282}">
  <dimension ref="A1:F13"/>
  <sheetViews>
    <sheetView tabSelected="1" workbookViewId="0">
      <selection activeCell="M10" sqref="M10"/>
    </sheetView>
  </sheetViews>
  <sheetFormatPr baseColWidth="10" defaultRowHeight="13" x14ac:dyDescent="0.15"/>
  <cols>
    <col min="1" max="1" width="11.1640625" customWidth="1"/>
    <col min="2" max="2" width="15.33203125" customWidth="1"/>
    <col min="3" max="3" width="14.5" customWidth="1"/>
    <col min="4" max="4" width="14.33203125" customWidth="1"/>
    <col min="5" max="5" width="15.6640625" customWidth="1"/>
  </cols>
  <sheetData>
    <row r="1" spans="1:6" ht="14" x14ac:dyDescent="0.15">
      <c r="A1" s="22" t="s">
        <v>69</v>
      </c>
      <c r="B1" s="22" t="s">
        <v>64</v>
      </c>
      <c r="C1" s="22" t="s">
        <v>67</v>
      </c>
      <c r="D1" s="22" t="s">
        <v>70</v>
      </c>
      <c r="E1" s="22" t="s">
        <v>71</v>
      </c>
      <c r="F1" s="22" t="s">
        <v>61</v>
      </c>
    </row>
    <row r="2" spans="1:6" ht="14" x14ac:dyDescent="0.15">
      <c r="A2" s="18" t="s">
        <v>72</v>
      </c>
      <c r="B2">
        <v>0.44562585999999998</v>
      </c>
      <c r="C2">
        <v>0.57192646999999996</v>
      </c>
      <c r="D2">
        <v>0.10707853000000001</v>
      </c>
      <c r="E2">
        <v>0.19923930000000001</v>
      </c>
      <c r="F2">
        <v>0.12630060000000001</v>
      </c>
    </row>
    <row r="3" spans="1:6" ht="14" x14ac:dyDescent="0.15">
      <c r="A3" s="18" t="s">
        <v>73</v>
      </c>
      <c r="B3">
        <v>0.46256676000000002</v>
      </c>
      <c r="C3">
        <v>0.50555916400000001</v>
      </c>
      <c r="D3">
        <v>0.10090351</v>
      </c>
      <c r="E3">
        <v>0.20136747999999999</v>
      </c>
      <c r="F3">
        <v>4.3024890000000003E-2</v>
      </c>
    </row>
    <row r="4" spans="1:6" ht="14" x14ac:dyDescent="0.15">
      <c r="A4" s="18" t="s">
        <v>74</v>
      </c>
      <c r="B4">
        <v>0.55595218999999996</v>
      </c>
      <c r="C4">
        <v>0.66214914000000002</v>
      </c>
      <c r="D4">
        <v>0.20034196000000001</v>
      </c>
      <c r="E4">
        <v>0.36917306999999999</v>
      </c>
      <c r="F4">
        <v>0.10619695</v>
      </c>
    </row>
    <row r="7" spans="1:6" ht="14" x14ac:dyDescent="0.15">
      <c r="B7" s="18" t="s">
        <v>75</v>
      </c>
      <c r="C7" s="19">
        <f>AVERAGE(F2:F4)</f>
        <v>9.184081333333334E-2</v>
      </c>
    </row>
    <row r="8" spans="1:6" ht="14" x14ac:dyDescent="0.15">
      <c r="B8" s="18" t="s">
        <v>76</v>
      </c>
      <c r="C8" s="19">
        <f>_xlfn.STDEV.S(F2:F4)</f>
        <v>4.34544009738373E-2</v>
      </c>
    </row>
    <row r="11" spans="1:6" ht="14" x14ac:dyDescent="0.15">
      <c r="B11" s="18" t="s">
        <v>77</v>
      </c>
      <c r="C11" s="19">
        <f>C7/(C8/SQRT(3))</f>
        <v>3.6606868656998857</v>
      </c>
    </row>
    <row r="12" spans="1:6" ht="14" x14ac:dyDescent="0.15">
      <c r="B12" s="18" t="s">
        <v>78</v>
      </c>
      <c r="C12" s="19">
        <f>3-1</f>
        <v>2</v>
      </c>
    </row>
    <row r="13" spans="1:6" ht="14" x14ac:dyDescent="0.15">
      <c r="B13" s="18" t="s">
        <v>79</v>
      </c>
      <c r="C13" s="19">
        <f>_xlfn.T.DIST.2T(ABS(C11),2)</f>
        <v>6.7189639482698849E-2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P1</vt:lpstr>
      <vt:lpstr>P2</vt:lpstr>
      <vt:lpstr>P3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Prisha Jain</cp:lastModifiedBy>
  <dcterms:created xsi:type="dcterms:W3CDTF">2025-08-26T13:05:04Z</dcterms:created>
  <dcterms:modified xsi:type="dcterms:W3CDTF">2025-08-26T14:08:18Z</dcterms:modified>
</cp:coreProperties>
</file>