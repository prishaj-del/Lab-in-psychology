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prishajain/Documents/Solo Project/"/>
    </mc:Choice>
  </mc:AlternateContent>
  <xr:revisionPtr revIDLastSave="0" documentId="8_{C8DFAED3-FB8A-C74F-B77C-932243C4DBCC}" xr6:coauthVersionLast="47" xr6:coauthVersionMax="47" xr10:uidLastSave="{00000000-0000-0000-0000-000000000000}"/>
  <bookViews>
    <workbookView xWindow="6700" yWindow="980" windowWidth="20680" windowHeight="15800" activeTab="5" xr2:uid="{00000000-000D-0000-FFFF-FFFF00000000}"/>
  </bookViews>
  <sheets>
    <sheet name="Participant 1" sheetId="4" r:id="rId1"/>
    <sheet name="Participant 2" sheetId="2" r:id="rId2"/>
    <sheet name="Participant 3" sheetId="5" r:id="rId3"/>
    <sheet name="Participant 4" sheetId="7" r:id="rId4"/>
    <sheet name="Participant 5" sheetId="6" r:id="rId5"/>
    <sheet name="Combined analysis" sheetId="8" r:id="rId6"/>
  </sheets>
  <definedNames>
    <definedName name="_xlnm._FilterDatabase" localSheetId="0" hidden="1">'Participant 1'!$I$1:$I$245</definedName>
    <definedName name="_xlnm._FilterDatabase" localSheetId="1" hidden="1">'Participant 2'!$I$1:$I$258</definedName>
    <definedName name="_xlnm._FilterDatabase" localSheetId="2" hidden="1">'Participant 3'!$I$1:$I$245</definedName>
    <definedName name="_xlnm._FilterDatabase" localSheetId="3" hidden="1">'Participant 4'!$I$1:$I$245</definedName>
    <definedName name="_xlnm._FilterDatabase" localSheetId="4" hidden="1">'Participant 5'!$I$1:$I$245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9" i="4" l="1"/>
  <c r="B28" i="8"/>
  <c r="F258" i="7"/>
  <c r="D28" i="8"/>
  <c r="F258" i="6"/>
  <c r="C28" i="8"/>
  <c r="D7" i="8"/>
  <c r="C7" i="8"/>
  <c r="B7" i="8"/>
  <c r="F257" i="6"/>
  <c r="F256" i="6"/>
  <c r="F257" i="7"/>
  <c r="F256" i="7"/>
  <c r="F258" i="5"/>
  <c r="F257" i="5"/>
  <c r="F256" i="5"/>
  <c r="F258" i="2"/>
  <c r="F257" i="2"/>
  <c r="F256" i="2"/>
  <c r="F258" i="4"/>
  <c r="F257" i="4"/>
  <c r="F256" i="4"/>
  <c r="C17" i="8"/>
  <c r="B17" i="8"/>
  <c r="I249" i="6"/>
  <c r="F251" i="6"/>
  <c r="F250" i="6"/>
  <c r="F249" i="6"/>
  <c r="I250" i="6" s="1"/>
  <c r="F251" i="7"/>
  <c r="F250" i="7"/>
  <c r="F249" i="7"/>
  <c r="I250" i="7" s="1"/>
  <c r="F251" i="5"/>
  <c r="F250" i="5"/>
  <c r="F249" i="5"/>
  <c r="I250" i="5" s="1"/>
  <c r="F251" i="4"/>
  <c r="F250" i="4"/>
  <c r="F249" i="4"/>
  <c r="F251" i="2"/>
  <c r="F250" i="2"/>
  <c r="F249" i="2"/>
  <c r="I249" i="7" l="1"/>
  <c r="I251" i="5"/>
  <c r="I249" i="2"/>
  <c r="I250" i="2"/>
  <c r="I250" i="4"/>
</calcChain>
</file>

<file path=xl/sharedStrings.xml><?xml version="1.0" encoding="utf-8"?>
<sst xmlns="http://schemas.openxmlformats.org/spreadsheetml/2006/main" count="15782" uniqueCount="134">
  <si>
    <t>word</t>
  </si>
  <si>
    <t>category</t>
  </si>
  <si>
    <t>inkColour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</si>
  <si>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</si>
  <si>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</si>
  <si>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</si>
  <si>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</si>
  <si>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</si>
  <si>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</si>
  <si>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</si>
  <si>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</si>
  <si>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</si>
  <si>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</si>
  <si>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</si>
  <si>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</si>
  <si>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</si>
  <si>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</si>
  <si>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</si>
  <si>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instrText.started</t>
  </si>
  <si>
    <t>instr_key.started</t>
  </si>
  <si>
    <t>Instructions.stopped</t>
  </si>
  <si>
    <t>instr_key.keys</t>
  </si>
  <si>
    <t>instr_key.rt</t>
  </si>
  <si>
    <t>instr_key.duration</t>
  </si>
  <si>
    <t>Welcome.started</t>
  </si>
  <si>
    <t>text_2.started</t>
  </si>
  <si>
    <t>text_2.stopped</t>
  </si>
  <si>
    <t>Welcome.stopped</t>
  </si>
  <si>
    <t>ColourNaming.started</t>
  </si>
  <si>
    <t>fixation.started</t>
  </si>
  <si>
    <t>fixation.stopped</t>
  </si>
  <si>
    <t>text.started</t>
  </si>
  <si>
    <t>key_resp.started</t>
  </si>
  <si>
    <t>ColourNaming.stopped</t>
  </si>
  <si>
    <t>trials.key_resp.keys</t>
  </si>
  <si>
    <t>trials.key_resp.corr</t>
  </si>
  <si>
    <t>trials.key_resp.rt</t>
  </si>
  <si>
    <t>trials.key_resp.duration</t>
  </si>
  <si>
    <t>Thank_You.started</t>
  </si>
  <si>
    <t>text_3.started</t>
  </si>
  <si>
    <t>text_3.stopped</t>
  </si>
  <si>
    <t>Thank_You.stopped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</si>
  <si>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</si>
  <si>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</si>
  <si>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</si>
  <si>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</si>
  <si>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</si>
  <si>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</si>
  <si>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</si>
  <si>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</si>
  <si>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</si>
  <si>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</si>
  <si>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2025-11-13_21h31.01.565</t>
  </si>
  <si>
    <t>The Self-Relevance Effect on Selective Attention task</t>
  </si>
  <si>
    <t>2025.1.1</t>
  </si>
  <si>
    <t>2025-11-13 21h31.12.931159 +0530</t>
  </si>
  <si>
    <t>They</t>
  </si>
  <si>
    <t>other</t>
  </si>
  <si>
    <t>blue</t>
  </si>
  <si>
    <t>b</t>
  </si>
  <si>
    <t>I</t>
  </si>
  <si>
    <t xml:space="preserve">self </t>
  </si>
  <si>
    <t>yellow</t>
  </si>
  <si>
    <t>y</t>
  </si>
  <si>
    <t>Myself</t>
  </si>
  <si>
    <t>Her</t>
  </si>
  <si>
    <t>Door</t>
  </si>
  <si>
    <t>neutral</t>
  </si>
  <si>
    <t>Stranger</t>
  </si>
  <si>
    <t>Bottle</t>
  </si>
  <si>
    <t>Personal</t>
  </si>
  <si>
    <t>Friend</t>
  </si>
  <si>
    <t>Their</t>
  </si>
  <si>
    <t>Selfhood</t>
  </si>
  <si>
    <t>Name</t>
  </si>
  <si>
    <t>He</t>
  </si>
  <si>
    <t>Book</t>
  </si>
  <si>
    <t>Window</t>
  </si>
  <si>
    <t>She</t>
  </si>
  <si>
    <t>Mine</t>
  </si>
  <si>
    <t>Chair</t>
  </si>
  <si>
    <t>Wall</t>
  </si>
  <si>
    <t>Pencil</t>
  </si>
  <si>
    <t>Me</t>
  </si>
  <si>
    <t>Them</t>
  </si>
  <si>
    <t>My</t>
  </si>
  <si>
    <t>Table</t>
  </si>
  <si>
    <t>Mean RT of corr resp</t>
  </si>
  <si>
    <t>Mean Self RT</t>
  </si>
  <si>
    <t>Mean Other RT</t>
  </si>
  <si>
    <t>Mean Neutral RT</t>
  </si>
  <si>
    <t>Difference between RTs</t>
  </si>
  <si>
    <t>self-other</t>
  </si>
  <si>
    <t>self-neutral</t>
  </si>
  <si>
    <t>2025-11-14_08h01.46.390</t>
  </si>
  <si>
    <t>2025-11-14 08h01.58.740584 +0530</t>
  </si>
  <si>
    <t>2025-11-13_14h21.14.542</t>
  </si>
  <si>
    <t>2025-11-13 14h22.19.039965 +0530</t>
  </si>
  <si>
    <t>2025-11-14_10h36.46.396</t>
  </si>
  <si>
    <t>2025-11-14 10h37.35.454583 +0530</t>
  </si>
  <si>
    <t xml:space="preserve">self-other </t>
  </si>
  <si>
    <t>Differences between RTs</t>
  </si>
  <si>
    <t>Participant</t>
  </si>
  <si>
    <t>P1</t>
  </si>
  <si>
    <t>P2</t>
  </si>
  <si>
    <t>P3</t>
  </si>
  <si>
    <t>P4</t>
  </si>
  <si>
    <t>P5</t>
  </si>
  <si>
    <t>Self-other</t>
  </si>
  <si>
    <t>Self-neutral</t>
  </si>
  <si>
    <t>2025-11-15_17h51.57.697</t>
  </si>
  <si>
    <t>2025-11-15 17h52.05.118218 +0530</t>
  </si>
  <si>
    <t>Comparision of conditions (self vs other, and self vs neutral words)</t>
  </si>
  <si>
    <t>(the highlighted values here are the average of the differences)</t>
  </si>
  <si>
    <t xml:space="preserve">Accuracy </t>
  </si>
  <si>
    <t>Self Related words</t>
  </si>
  <si>
    <t>Other Related words</t>
  </si>
  <si>
    <t xml:space="preserve">Neutral Related words </t>
  </si>
  <si>
    <t>Accuracy</t>
  </si>
  <si>
    <t>Accuracy in (%)</t>
  </si>
  <si>
    <t>Participants</t>
  </si>
  <si>
    <t>Self Words</t>
  </si>
  <si>
    <t>Other Words</t>
  </si>
  <si>
    <t>Neutral Words</t>
  </si>
  <si>
    <t>(the highlighted values here are the average of the Mean RTs of combimed 5 participants)</t>
  </si>
  <si>
    <t>Descriptive Statistics</t>
  </si>
  <si>
    <t>\</t>
  </si>
  <si>
    <t>Repeated Measures Anova</t>
  </si>
  <si>
    <t>Post Hoc Comparisons Test</t>
  </si>
  <si>
    <t>ACCURACY ANALYSIS</t>
  </si>
  <si>
    <t xml:space="preserve">REACTION TIME ANALYSIS </t>
  </si>
  <si>
    <t>Accuracy Descriptive Plot</t>
  </si>
  <si>
    <t>RT Descriptive Plot</t>
  </si>
  <si>
    <t>Repeated Measures Anova (accuracy)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</si>
</sst>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b/>
      <sz val="9"/>
      <color rgb="FF000000"/>
      <name val="Arial"/>
      <family val="2"/>
    </font>
    <font>
      <sz val="6"/>
      <color rgb="FF000000"/>
      <name val="Arial"/>
      <family val="2"/>
    </font>
    <font>
      <i/>
      <sz val="6"/>
      <color rgb="FF000000"/>
      <name val="Arial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2"/>
      <color rgb="FF000000"/>
      <name val="Lucida Grande"/>
      <family val="2"/>
    </font>
    <font>
      <i/>
      <sz val="12"/>
      <color rgb="FF000000"/>
      <name val="Lucida Grande"/>
      <family val="2"/>
    </font>
    <font>
      <sz val="12"/>
      <color indexed="8"/>
      <name val="Helvetica Neue"/>
      <family val="2"/>
    </font>
    <font>
      <b/>
      <sz val="14"/>
      <color rgb="FF000000"/>
      <name val="Calibri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1">
    <xf numFmtId="0" fontId="0" fillId="0" borderId="0" xfId="0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2" fillId="0" borderId="0" xfId="0" applyFont="1">
      <alignment vertical="top" wrapText="1"/>
    </xf>
    <xf numFmtId="0" fontId="3" fillId="0" borderId="0" xfId="0" applyFont="1">
      <alignment vertical="top" wrapText="1"/>
    </xf>
    <xf numFmtId="0" fontId="1" fillId="0" borderId="0" xfId="0" applyFont="1">
      <alignment vertical="top" wrapText="1"/>
    </xf>
    <xf numFmtId="0" fontId="0" fillId="4" borderId="0" xfId="0" applyFill="1">
      <alignment vertical="top" wrapText="1"/>
    </xf>
    <xf numFmtId="164" fontId="2" fillId="0" borderId="0" xfId="0" applyNumberFormat="1" applyFont="1">
      <alignment vertical="top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10" fillId="0" borderId="0" xfId="0" applyFont="1">
      <alignment vertical="top" wrapText="1"/>
    </xf>
    <xf numFmtId="0" fontId="9" fillId="0" borderId="0" xfId="0" applyFont="1">
      <alignment vertical="top" wrapText="1"/>
    </xf>
    <xf numFmtId="0" fontId="11" fillId="0" borderId="0" xfId="0" applyFont="1">
      <alignment vertical="top" wrapText="1"/>
    </xf>
    <xf numFmtId="0" fontId="5" fillId="0" borderId="0" xfId="0" applyFont="1" applyBorder="1" applyAlignment="1">
      <alignment horizontal="right" vertical="center" wrapText="1"/>
    </xf>
    <xf numFmtId="0" fontId="12" fillId="0" borderId="0" xfId="0" applyFont="1">
      <alignment vertical="top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right" wrapText="1"/>
    </xf>
    <xf numFmtId="0" fontId="2" fillId="4" borderId="0" xfId="0" applyFont="1" applyFill="1">
      <alignment vertical="top" wrapText="1"/>
    </xf>
    <xf numFmtId="2" fontId="0" fillId="4" borderId="0" xfId="0" applyNumberFormat="1" applyFill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2821</xdr:colOff>
      <xdr:row>101</xdr:row>
      <xdr:rowOff>26421</xdr:rowOff>
    </xdr:from>
    <xdr:to>
      <xdr:col>3</xdr:col>
      <xdr:colOff>8466</xdr:colOff>
      <xdr:row>111</xdr:row>
      <xdr:rowOff>135466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E75411-CA8A-595E-B139-C5C75A811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5821" y="20905221"/>
          <a:ext cx="2918178" cy="1844712"/>
        </a:xfrm>
        <a:prstGeom prst="rect">
          <a:avLst/>
        </a:prstGeom>
      </xdr:spPr>
    </xdr:pic>
    <xdr:clientData/>
  </xdr:twoCellAnchor>
  <xdr:twoCellAnchor editAs="oneCell">
    <xdr:from>
      <xdr:col>0</xdr:col>
      <xdr:colOff>3682999</xdr:colOff>
      <xdr:row>78</xdr:row>
      <xdr:rowOff>135467</xdr:rowOff>
    </xdr:from>
    <xdr:to>
      <xdr:col>4</xdr:col>
      <xdr:colOff>652177</xdr:colOff>
      <xdr:row>86</xdr:row>
      <xdr:rowOff>69836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D966A8-13F8-45B5-506A-241815450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2999" y="16501534"/>
          <a:ext cx="5139511" cy="1526103"/>
        </a:xfrm>
        <a:prstGeom prst="rect">
          <a:avLst/>
        </a:prstGeom>
      </xdr:spPr>
    </xdr:pic>
    <xdr:clientData/>
  </xdr:twoCellAnchor>
  <xdr:twoCellAnchor editAs="oneCell">
    <xdr:from>
      <xdr:col>0</xdr:col>
      <xdr:colOff>3680178</xdr:colOff>
      <xdr:row>91</xdr:row>
      <xdr:rowOff>29235</xdr:rowOff>
    </xdr:from>
    <xdr:to>
      <xdr:col>4</xdr:col>
      <xdr:colOff>651934</xdr:colOff>
      <xdr:row>97</xdr:row>
      <xdr:rowOff>341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93C76FA-3116-F1F6-0724-C555071CA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0178" y="18994568"/>
          <a:ext cx="5142089" cy="1017809"/>
        </a:xfrm>
        <a:prstGeom prst="rect">
          <a:avLst/>
        </a:prstGeom>
      </xdr:spPr>
    </xdr:pic>
    <xdr:clientData/>
  </xdr:twoCellAnchor>
  <xdr:twoCellAnchor editAs="oneCell">
    <xdr:from>
      <xdr:col>0</xdr:col>
      <xdr:colOff>3845524</xdr:colOff>
      <xdr:row>32</xdr:row>
      <xdr:rowOff>86094</xdr:rowOff>
    </xdr:from>
    <xdr:to>
      <xdr:col>4</xdr:col>
      <xdr:colOff>959067</xdr:colOff>
      <xdr:row>39</xdr:row>
      <xdr:rowOff>3906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97CC20-A5B6-98CB-7570-9FCE7F4FA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5524" y="7297563"/>
          <a:ext cx="5444126" cy="1099001"/>
        </a:xfrm>
        <a:prstGeom prst="rect">
          <a:avLst/>
        </a:prstGeom>
      </xdr:spPr>
    </xdr:pic>
    <xdr:clientData/>
  </xdr:twoCellAnchor>
  <xdr:twoCellAnchor editAs="oneCell">
    <xdr:from>
      <xdr:col>1</xdr:col>
      <xdr:colOff>8466</xdr:colOff>
      <xdr:row>42</xdr:row>
      <xdr:rowOff>153416</xdr:rowOff>
    </xdr:from>
    <xdr:to>
      <xdr:col>5</xdr:col>
      <xdr:colOff>22630</xdr:colOff>
      <xdr:row>49</xdr:row>
      <xdr:rowOff>4234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8551F5-2447-C09E-7213-C7D72A73D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1466" y="9272016"/>
          <a:ext cx="6248400" cy="1273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53955</xdr:rowOff>
    </xdr:from>
    <xdr:to>
      <xdr:col>5</xdr:col>
      <xdr:colOff>40671</xdr:colOff>
      <xdr:row>59</xdr:row>
      <xdr:rowOff>51530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76B6EAC-B863-6D85-BFC8-BFF6CD71E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0" y="11534755"/>
          <a:ext cx="6273800" cy="1182909"/>
        </a:xfrm>
        <a:prstGeom prst="rect">
          <a:avLst/>
        </a:prstGeom>
      </xdr:spPr>
    </xdr:pic>
    <xdr:clientData/>
  </xdr:twoCellAnchor>
  <xdr:twoCellAnchor editAs="oneCell">
    <xdr:from>
      <xdr:col>1</xdr:col>
      <xdr:colOff>50799</xdr:colOff>
      <xdr:row>62</xdr:row>
      <xdr:rowOff>165101</xdr:rowOff>
    </xdr:from>
    <xdr:to>
      <xdr:col>2</xdr:col>
      <xdr:colOff>914399</xdr:colOff>
      <xdr:row>74</xdr:row>
      <xdr:rowOff>55034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F5A542C-D2E6-FCB9-A38A-C15A149DA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799" y="13567834"/>
          <a:ext cx="2057400" cy="205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0ADC-3910-DB4B-98D7-7FE611071745}">
  <dimension ref="A1:AW258"/>
  <sheetViews>
    <sheetView topLeftCell="A230" workbookViewId="0">
      <selection activeCell="H257" sqref="H257"/>
    </sheetView>
  </sheetViews>
  <sheetFormatPr baseColWidth="10" defaultColWidth="10.83203125" defaultRowHeight="13" x14ac:dyDescent="0.15"/>
  <cols>
    <col min="5" max="5" width="22.33203125" customWidth="1"/>
    <col min="6" max="6" width="15.33203125" customWidth="1"/>
    <col min="8" max="8" width="22.6640625" customWidth="1"/>
    <col min="9" max="9" width="11.6640625" bestFit="1" customWidth="1"/>
  </cols>
  <sheetData>
    <row r="1" spans="1:4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2"/>
    </row>
    <row r="2" spans="1:49" x14ac:dyDescent="0.15">
      <c r="A2" s="13" t="s">
        <v>83</v>
      </c>
      <c r="B2" s="14" t="s">
        <v>61</v>
      </c>
      <c r="C2" s="5" t="s">
        <v>58</v>
      </c>
      <c r="D2" s="5" t="s">
        <v>59</v>
      </c>
      <c r="E2" s="4">
        <v>2</v>
      </c>
      <c r="F2" s="4">
        <v>2</v>
      </c>
      <c r="G2" s="4">
        <v>0</v>
      </c>
      <c r="H2" s="5" t="s">
        <v>59</v>
      </c>
      <c r="I2" s="4">
        <v>1</v>
      </c>
      <c r="J2" s="4">
        <v>0.48235500000009801</v>
      </c>
      <c r="K2" s="5" t="s">
        <v>51</v>
      </c>
      <c r="L2" s="4">
        <v>0</v>
      </c>
      <c r="M2" s="4">
        <v>2</v>
      </c>
      <c r="N2" s="4">
        <v>2</v>
      </c>
      <c r="O2" s="4">
        <v>2</v>
      </c>
      <c r="P2" s="4">
        <v>25.7113921250129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4">
        <v>25.702616708003902</v>
      </c>
      <c r="AC2" s="4">
        <v>25.7113921250129</v>
      </c>
      <c r="AD2" s="4">
        <v>26.205065750007599</v>
      </c>
      <c r="AE2" s="4">
        <v>26.205065750007599</v>
      </c>
      <c r="AF2" s="4">
        <v>26.205065750007599</v>
      </c>
      <c r="AG2" s="4">
        <v>26.690030916011899</v>
      </c>
      <c r="AH2" s="5" t="s">
        <v>59</v>
      </c>
      <c r="AI2" s="4">
        <v>1</v>
      </c>
      <c r="AJ2" s="4">
        <v>0.48235500000009801</v>
      </c>
      <c r="AK2" s="5" t="s">
        <v>51</v>
      </c>
      <c r="AL2" s="3"/>
      <c r="AM2" s="3"/>
      <c r="AN2" s="3"/>
      <c r="AO2" s="4">
        <v>1</v>
      </c>
      <c r="AP2" s="4">
        <v>1</v>
      </c>
      <c r="AQ2" s="5" t="s">
        <v>96</v>
      </c>
      <c r="AR2" s="5" t="s">
        <v>53</v>
      </c>
      <c r="AS2" s="3"/>
      <c r="AT2" s="5" t="s">
        <v>54</v>
      </c>
      <c r="AU2" s="5" t="s">
        <v>51</v>
      </c>
      <c r="AV2" s="5" t="s">
        <v>97</v>
      </c>
      <c r="AW2" s="3"/>
    </row>
    <row r="3" spans="1:49" x14ac:dyDescent="0.15">
      <c r="A3" s="11" t="s">
        <v>85</v>
      </c>
      <c r="B3" s="12" t="s">
        <v>61</v>
      </c>
      <c r="C3" s="10" t="s">
        <v>58</v>
      </c>
      <c r="D3" s="10" t="s">
        <v>59</v>
      </c>
      <c r="E3" s="9">
        <v>3</v>
      </c>
      <c r="F3" s="9">
        <v>3</v>
      </c>
      <c r="G3" s="9">
        <v>0</v>
      </c>
      <c r="H3" s="10" t="s">
        <v>59</v>
      </c>
      <c r="I3" s="9">
        <v>1</v>
      </c>
      <c r="J3" s="9">
        <v>0.36766545800492201</v>
      </c>
      <c r="K3" s="10" t="s">
        <v>51</v>
      </c>
      <c r="L3" s="9">
        <v>0</v>
      </c>
      <c r="M3" s="9">
        <v>3</v>
      </c>
      <c r="N3" s="9">
        <v>3</v>
      </c>
      <c r="O3" s="9">
        <v>10</v>
      </c>
      <c r="P3" s="9">
        <v>26.702849625013201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>
        <v>26.694285541001602</v>
      </c>
      <c r="AC3" s="9">
        <v>26.702849625013201</v>
      </c>
      <c r="AD3" s="9">
        <v>27.187710125013801</v>
      </c>
      <c r="AE3" s="9">
        <v>27.187710125013801</v>
      </c>
      <c r="AF3" s="9">
        <v>27.187710125013801</v>
      </c>
      <c r="AG3" s="9">
        <v>27.562514500008501</v>
      </c>
      <c r="AH3" s="10" t="s">
        <v>59</v>
      </c>
      <c r="AI3" s="9">
        <v>1</v>
      </c>
      <c r="AJ3" s="9">
        <v>0.36766545800492201</v>
      </c>
      <c r="AK3" s="10" t="s">
        <v>51</v>
      </c>
      <c r="AL3" s="8"/>
      <c r="AM3" s="8"/>
      <c r="AN3" s="8"/>
      <c r="AO3" s="9">
        <v>1</v>
      </c>
      <c r="AP3" s="9">
        <v>1</v>
      </c>
      <c r="AQ3" s="10" t="s">
        <v>96</v>
      </c>
      <c r="AR3" s="10" t="s">
        <v>53</v>
      </c>
      <c r="AS3" s="8"/>
      <c r="AT3" s="10" t="s">
        <v>54</v>
      </c>
      <c r="AU3" s="10" t="s">
        <v>51</v>
      </c>
      <c r="AV3" s="10" t="s">
        <v>97</v>
      </c>
      <c r="AW3" s="8"/>
    </row>
    <row r="4" spans="1:49" x14ac:dyDescent="0.15">
      <c r="A4" s="11" t="s">
        <v>60</v>
      </c>
      <c r="B4" s="12" t="s">
        <v>61</v>
      </c>
      <c r="C4" s="10" t="s">
        <v>62</v>
      </c>
      <c r="D4" s="10" t="s">
        <v>63</v>
      </c>
      <c r="E4" s="9">
        <v>6</v>
      </c>
      <c r="F4" s="9">
        <v>6</v>
      </c>
      <c r="G4" s="9">
        <v>0</v>
      </c>
      <c r="H4" s="10" t="s">
        <v>63</v>
      </c>
      <c r="I4" s="9">
        <v>1</v>
      </c>
      <c r="J4" s="9">
        <v>0.38256679099868102</v>
      </c>
      <c r="K4" s="10" t="s">
        <v>51</v>
      </c>
      <c r="L4" s="9">
        <v>0</v>
      </c>
      <c r="M4" s="9">
        <v>6</v>
      </c>
      <c r="N4" s="9">
        <v>6</v>
      </c>
      <c r="O4" s="9">
        <v>9</v>
      </c>
      <c r="P4" s="9">
        <v>29.452525500004398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9">
        <v>29.443857916005101</v>
      </c>
      <c r="AC4" s="9">
        <v>29.452525500004398</v>
      </c>
      <c r="AD4" s="9">
        <v>29.937851624999901</v>
      </c>
      <c r="AE4" s="9">
        <v>29.937851624999901</v>
      </c>
      <c r="AF4" s="9">
        <v>29.937851624999901</v>
      </c>
      <c r="AG4" s="9">
        <v>30.3229477910063</v>
      </c>
      <c r="AH4" s="10" t="s">
        <v>63</v>
      </c>
      <c r="AI4" s="9">
        <v>1</v>
      </c>
      <c r="AJ4" s="9">
        <v>0.38256679099868102</v>
      </c>
      <c r="AK4" s="10" t="s">
        <v>51</v>
      </c>
      <c r="AL4" s="8"/>
      <c r="AM4" s="8"/>
      <c r="AN4" s="8"/>
      <c r="AO4" s="9">
        <v>1</v>
      </c>
      <c r="AP4" s="9">
        <v>1</v>
      </c>
      <c r="AQ4" s="10" t="s">
        <v>96</v>
      </c>
      <c r="AR4" s="10" t="s">
        <v>53</v>
      </c>
      <c r="AS4" s="8"/>
      <c r="AT4" s="10" t="s">
        <v>54</v>
      </c>
      <c r="AU4" s="10" t="s">
        <v>51</v>
      </c>
      <c r="AV4" s="10" t="s">
        <v>97</v>
      </c>
      <c r="AW4" s="8"/>
    </row>
    <row r="5" spans="1:49" x14ac:dyDescent="0.15">
      <c r="A5" s="11" t="s">
        <v>85</v>
      </c>
      <c r="B5" s="12" t="s">
        <v>61</v>
      </c>
      <c r="C5" s="10" t="s">
        <v>62</v>
      </c>
      <c r="D5" s="10" t="s">
        <v>63</v>
      </c>
      <c r="E5" s="9">
        <v>7</v>
      </c>
      <c r="F5" s="9">
        <v>7</v>
      </c>
      <c r="G5" s="9">
        <v>0</v>
      </c>
      <c r="H5" s="10" t="s">
        <v>63</v>
      </c>
      <c r="I5" s="9">
        <v>1</v>
      </c>
      <c r="J5" s="9">
        <v>0.34187437499349499</v>
      </c>
      <c r="K5" s="10" t="s">
        <v>51</v>
      </c>
      <c r="L5" s="9">
        <v>0</v>
      </c>
      <c r="M5" s="9">
        <v>7</v>
      </c>
      <c r="N5" s="9">
        <v>7</v>
      </c>
      <c r="O5" s="9">
        <v>11</v>
      </c>
      <c r="P5" s="9">
        <v>30.335985708006799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9">
        <v>30.327162125002399</v>
      </c>
      <c r="AC5" s="9">
        <v>30.335985708006799</v>
      </c>
      <c r="AD5" s="9">
        <v>30.821415916012501</v>
      </c>
      <c r="AE5" s="9">
        <v>30.821415916012501</v>
      </c>
      <c r="AF5" s="9">
        <v>30.821415916012501</v>
      </c>
      <c r="AG5" s="9">
        <v>31.1733963750012</v>
      </c>
      <c r="AH5" s="10" t="s">
        <v>63</v>
      </c>
      <c r="AI5" s="9">
        <v>1</v>
      </c>
      <c r="AJ5" s="9">
        <v>0.34187437499349499</v>
      </c>
      <c r="AK5" s="10" t="s">
        <v>51</v>
      </c>
      <c r="AL5" s="8"/>
      <c r="AM5" s="8"/>
      <c r="AN5" s="8"/>
      <c r="AO5" s="9">
        <v>1</v>
      </c>
      <c r="AP5" s="9">
        <v>1</v>
      </c>
      <c r="AQ5" s="10" t="s">
        <v>96</v>
      </c>
      <c r="AR5" s="10" t="s">
        <v>53</v>
      </c>
      <c r="AS5" s="8"/>
      <c r="AT5" s="10" t="s">
        <v>54</v>
      </c>
      <c r="AU5" s="10" t="s">
        <v>51</v>
      </c>
      <c r="AV5" s="10" t="s">
        <v>97</v>
      </c>
      <c r="AW5" s="8"/>
    </row>
    <row r="6" spans="1:49" x14ac:dyDescent="0.15">
      <c r="A6" s="11" t="s">
        <v>64</v>
      </c>
      <c r="B6" s="12" t="s">
        <v>61</v>
      </c>
      <c r="C6" s="10" t="s">
        <v>62</v>
      </c>
      <c r="D6" s="10" t="s">
        <v>63</v>
      </c>
      <c r="E6" s="9">
        <v>8</v>
      </c>
      <c r="F6" s="9">
        <v>8</v>
      </c>
      <c r="G6" s="9">
        <v>0</v>
      </c>
      <c r="H6" s="10" t="s">
        <v>63</v>
      </c>
      <c r="I6" s="9">
        <v>1</v>
      </c>
      <c r="J6" s="9">
        <v>0.313120125007117</v>
      </c>
      <c r="K6" s="10" t="s">
        <v>51</v>
      </c>
      <c r="L6" s="9">
        <v>0</v>
      </c>
      <c r="M6" s="9">
        <v>8</v>
      </c>
      <c r="N6" s="9">
        <v>8</v>
      </c>
      <c r="O6" s="9">
        <v>5</v>
      </c>
      <c r="P6" s="9">
        <v>31.186576208012401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9">
        <v>31.177633458006301</v>
      </c>
      <c r="AC6" s="9">
        <v>31.186576208012401</v>
      </c>
      <c r="AD6" s="9">
        <v>31.671261125011402</v>
      </c>
      <c r="AE6" s="9">
        <v>31.671261125011402</v>
      </c>
      <c r="AF6" s="9">
        <v>31.671261125011402</v>
      </c>
      <c r="AG6" s="9">
        <v>31.990355666013802</v>
      </c>
      <c r="AH6" s="10" t="s">
        <v>63</v>
      </c>
      <c r="AI6" s="9">
        <v>1</v>
      </c>
      <c r="AJ6" s="9">
        <v>0.313120125007117</v>
      </c>
      <c r="AK6" s="10" t="s">
        <v>51</v>
      </c>
      <c r="AL6" s="8"/>
      <c r="AM6" s="8"/>
      <c r="AN6" s="8"/>
      <c r="AO6" s="9">
        <v>1</v>
      </c>
      <c r="AP6" s="9">
        <v>1</v>
      </c>
      <c r="AQ6" s="10" t="s">
        <v>96</v>
      </c>
      <c r="AR6" s="10" t="s">
        <v>53</v>
      </c>
      <c r="AS6" s="8"/>
      <c r="AT6" s="10" t="s">
        <v>54</v>
      </c>
      <c r="AU6" s="10" t="s">
        <v>51</v>
      </c>
      <c r="AV6" s="10" t="s">
        <v>97</v>
      </c>
      <c r="AW6" s="8"/>
    </row>
    <row r="7" spans="1:49" x14ac:dyDescent="0.15">
      <c r="A7" s="11" t="s">
        <v>85</v>
      </c>
      <c r="B7" s="12" t="s">
        <v>61</v>
      </c>
      <c r="C7" s="10" t="s">
        <v>58</v>
      </c>
      <c r="D7" s="10" t="s">
        <v>59</v>
      </c>
      <c r="E7" s="9">
        <v>15</v>
      </c>
      <c r="F7" s="9">
        <v>15</v>
      </c>
      <c r="G7" s="9">
        <v>1</v>
      </c>
      <c r="H7" s="10" t="s">
        <v>59</v>
      </c>
      <c r="I7" s="9">
        <v>1</v>
      </c>
      <c r="J7" s="9">
        <v>0.408030708000297</v>
      </c>
      <c r="K7" s="10" t="s">
        <v>51</v>
      </c>
      <c r="L7" s="9">
        <v>1</v>
      </c>
      <c r="M7" s="9">
        <v>15</v>
      </c>
      <c r="N7" s="9">
        <v>15</v>
      </c>
      <c r="O7" s="9">
        <v>10</v>
      </c>
      <c r="P7" s="9">
        <v>37.387031666003203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9">
        <v>37.377920291008202</v>
      </c>
      <c r="AC7" s="9">
        <v>37.387031666003203</v>
      </c>
      <c r="AD7" s="9">
        <v>37.8714393750124</v>
      </c>
      <c r="AE7" s="9">
        <v>37.8714393750124</v>
      </c>
      <c r="AF7" s="9">
        <v>37.8714393750124</v>
      </c>
      <c r="AG7" s="9">
        <v>38.290097791003099</v>
      </c>
      <c r="AH7" s="10" t="s">
        <v>59</v>
      </c>
      <c r="AI7" s="9">
        <v>1</v>
      </c>
      <c r="AJ7" s="9">
        <v>0.408030708000297</v>
      </c>
      <c r="AK7" s="10" t="s">
        <v>51</v>
      </c>
      <c r="AL7" s="8"/>
      <c r="AM7" s="8"/>
      <c r="AN7" s="8"/>
      <c r="AO7" s="9">
        <v>1</v>
      </c>
      <c r="AP7" s="9">
        <v>1</v>
      </c>
      <c r="AQ7" s="10" t="s">
        <v>96</v>
      </c>
      <c r="AR7" s="10" t="s">
        <v>53</v>
      </c>
      <c r="AS7" s="8"/>
      <c r="AT7" s="10" t="s">
        <v>54</v>
      </c>
      <c r="AU7" s="10" t="s">
        <v>51</v>
      </c>
      <c r="AV7" s="10" t="s">
        <v>97</v>
      </c>
      <c r="AW7" s="8"/>
    </row>
    <row r="8" spans="1:49" x14ac:dyDescent="0.15">
      <c r="A8" s="11" t="s">
        <v>60</v>
      </c>
      <c r="B8" s="12" t="s">
        <v>61</v>
      </c>
      <c r="C8" s="10" t="s">
        <v>62</v>
      </c>
      <c r="D8" s="10" t="s">
        <v>63</v>
      </c>
      <c r="E8" s="9">
        <v>17</v>
      </c>
      <c r="F8" s="9">
        <v>17</v>
      </c>
      <c r="G8" s="9">
        <v>1</v>
      </c>
      <c r="H8" s="10" t="s">
        <v>63</v>
      </c>
      <c r="I8" s="9">
        <v>1</v>
      </c>
      <c r="J8" s="9">
        <v>0.47913762398820797</v>
      </c>
      <c r="K8" s="10" t="s">
        <v>51</v>
      </c>
      <c r="L8" s="9">
        <v>1</v>
      </c>
      <c r="M8" s="9">
        <v>17</v>
      </c>
      <c r="N8" s="9">
        <v>17</v>
      </c>
      <c r="O8" s="9">
        <v>9</v>
      </c>
      <c r="P8" s="9">
        <v>39.187367791004398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9">
        <v>39.178275083002497</v>
      </c>
      <c r="AC8" s="9">
        <v>39.187367791004398</v>
      </c>
      <c r="AD8" s="9">
        <v>39.671491375003797</v>
      </c>
      <c r="AE8" s="9">
        <v>39.671491375003797</v>
      </c>
      <c r="AF8" s="9">
        <v>39.671491375003797</v>
      </c>
      <c r="AG8" s="9">
        <v>40.156605875003201</v>
      </c>
      <c r="AH8" s="10" t="s">
        <v>63</v>
      </c>
      <c r="AI8" s="9">
        <v>1</v>
      </c>
      <c r="AJ8" s="9">
        <v>0.47913762398820797</v>
      </c>
      <c r="AK8" s="10" t="s">
        <v>51</v>
      </c>
      <c r="AL8" s="8"/>
      <c r="AM8" s="8"/>
      <c r="AN8" s="8"/>
      <c r="AO8" s="9">
        <v>1</v>
      </c>
      <c r="AP8" s="9">
        <v>1</v>
      </c>
      <c r="AQ8" s="10" t="s">
        <v>96</v>
      </c>
      <c r="AR8" s="10" t="s">
        <v>53</v>
      </c>
      <c r="AS8" s="8"/>
      <c r="AT8" s="10" t="s">
        <v>54</v>
      </c>
      <c r="AU8" s="10" t="s">
        <v>51</v>
      </c>
      <c r="AV8" s="10" t="s">
        <v>97</v>
      </c>
      <c r="AW8" s="8"/>
    </row>
    <row r="9" spans="1:49" x14ac:dyDescent="0.15">
      <c r="A9" s="11" t="s">
        <v>83</v>
      </c>
      <c r="B9" s="12" t="s">
        <v>61</v>
      </c>
      <c r="C9" s="10" t="s">
        <v>62</v>
      </c>
      <c r="D9" s="10" t="s">
        <v>63</v>
      </c>
      <c r="E9" s="9">
        <v>21</v>
      </c>
      <c r="F9" s="9">
        <v>21</v>
      </c>
      <c r="G9" s="9">
        <v>0</v>
      </c>
      <c r="H9" s="10" t="s">
        <v>63</v>
      </c>
      <c r="I9" s="9">
        <v>1</v>
      </c>
      <c r="J9" s="9">
        <v>0.36946066698874303</v>
      </c>
      <c r="K9" s="10" t="s">
        <v>51</v>
      </c>
      <c r="L9" s="9">
        <v>0</v>
      </c>
      <c r="M9" s="9">
        <v>21</v>
      </c>
      <c r="N9" s="9">
        <v>21</v>
      </c>
      <c r="O9" s="9">
        <v>3</v>
      </c>
      <c r="P9" s="9">
        <v>42.870896250009501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9">
        <v>42.861573041009301</v>
      </c>
      <c r="AC9" s="9">
        <v>42.870896250009501</v>
      </c>
      <c r="AD9" s="9">
        <v>43.355072041013003</v>
      </c>
      <c r="AE9" s="9">
        <v>43.355072041013003</v>
      </c>
      <c r="AF9" s="9">
        <v>43.355072041013003</v>
      </c>
      <c r="AG9" s="9">
        <v>43.7298776660027</v>
      </c>
      <c r="AH9" s="10" t="s">
        <v>63</v>
      </c>
      <c r="AI9" s="9">
        <v>1</v>
      </c>
      <c r="AJ9" s="9">
        <v>0.36946066698874303</v>
      </c>
      <c r="AK9" s="10" t="s">
        <v>51</v>
      </c>
      <c r="AL9" s="8"/>
      <c r="AM9" s="8"/>
      <c r="AN9" s="8"/>
      <c r="AO9" s="9">
        <v>1</v>
      </c>
      <c r="AP9" s="9">
        <v>1</v>
      </c>
      <c r="AQ9" s="10" t="s">
        <v>96</v>
      </c>
      <c r="AR9" s="10" t="s">
        <v>53</v>
      </c>
      <c r="AS9" s="8"/>
      <c r="AT9" s="10" t="s">
        <v>54</v>
      </c>
      <c r="AU9" s="10" t="s">
        <v>51</v>
      </c>
      <c r="AV9" s="10" t="s">
        <v>97</v>
      </c>
      <c r="AW9" s="8"/>
    </row>
    <row r="10" spans="1:49" x14ac:dyDescent="0.15">
      <c r="A10" s="11" t="s">
        <v>74</v>
      </c>
      <c r="B10" s="12" t="s">
        <v>61</v>
      </c>
      <c r="C10" s="10" t="s">
        <v>62</v>
      </c>
      <c r="D10" s="10" t="s">
        <v>63</v>
      </c>
      <c r="E10" s="9">
        <v>22</v>
      </c>
      <c r="F10" s="9">
        <v>22</v>
      </c>
      <c r="G10" s="9">
        <v>0</v>
      </c>
      <c r="H10" s="10" t="s">
        <v>63</v>
      </c>
      <c r="I10" s="9">
        <v>1</v>
      </c>
      <c r="J10" s="9">
        <v>0.35588258301140702</v>
      </c>
      <c r="K10" s="10" t="s">
        <v>51</v>
      </c>
      <c r="L10" s="9">
        <v>0</v>
      </c>
      <c r="M10" s="9">
        <v>22</v>
      </c>
      <c r="N10" s="9">
        <v>22</v>
      </c>
      <c r="O10" s="9">
        <v>1</v>
      </c>
      <c r="P10" s="9">
        <v>43.7455349580123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9">
        <v>43.737335458004999</v>
      </c>
      <c r="AC10" s="9">
        <v>43.7455349580123</v>
      </c>
      <c r="AD10" s="9">
        <v>44.230908875004403</v>
      </c>
      <c r="AE10" s="9">
        <v>44.230908875004403</v>
      </c>
      <c r="AF10" s="9">
        <v>44.230908875004403</v>
      </c>
      <c r="AG10" s="9">
        <v>44.590518333003303</v>
      </c>
      <c r="AH10" s="10" t="s">
        <v>63</v>
      </c>
      <c r="AI10" s="9">
        <v>1</v>
      </c>
      <c r="AJ10" s="9">
        <v>0.35588258301140702</v>
      </c>
      <c r="AK10" s="10" t="s">
        <v>51</v>
      </c>
      <c r="AL10" s="8"/>
      <c r="AM10" s="8"/>
      <c r="AN10" s="8"/>
      <c r="AO10" s="9">
        <v>1</v>
      </c>
      <c r="AP10" s="9">
        <v>1</v>
      </c>
      <c r="AQ10" s="10" t="s">
        <v>96</v>
      </c>
      <c r="AR10" s="10" t="s">
        <v>53</v>
      </c>
      <c r="AS10" s="8"/>
      <c r="AT10" s="10" t="s">
        <v>54</v>
      </c>
      <c r="AU10" s="10" t="s">
        <v>51</v>
      </c>
      <c r="AV10" s="10" t="s">
        <v>97</v>
      </c>
      <c r="AW10" s="8"/>
    </row>
    <row r="11" spans="1:49" x14ac:dyDescent="0.15">
      <c r="A11" s="11" t="s">
        <v>70</v>
      </c>
      <c r="B11" s="12" t="s">
        <v>61</v>
      </c>
      <c r="C11" s="10" t="s">
        <v>58</v>
      </c>
      <c r="D11" s="10" t="s">
        <v>59</v>
      </c>
      <c r="E11" s="9">
        <v>23</v>
      </c>
      <c r="F11" s="9">
        <v>23</v>
      </c>
      <c r="G11" s="9">
        <v>0</v>
      </c>
      <c r="H11" s="10" t="s">
        <v>59</v>
      </c>
      <c r="I11" s="9">
        <v>1</v>
      </c>
      <c r="J11" s="9">
        <v>0.43315958300081597</v>
      </c>
      <c r="K11" s="10" t="s">
        <v>51</v>
      </c>
      <c r="L11" s="9">
        <v>0</v>
      </c>
      <c r="M11" s="9">
        <v>23</v>
      </c>
      <c r="N11" s="9">
        <v>23</v>
      </c>
      <c r="O11" s="9">
        <v>12</v>
      </c>
      <c r="P11" s="9">
        <v>44.6045120000053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9">
        <v>44.595747541010503</v>
      </c>
      <c r="AC11" s="9">
        <v>44.6045120000053</v>
      </c>
      <c r="AD11" s="9">
        <v>45.088525083003297</v>
      </c>
      <c r="AE11" s="9">
        <v>45.088525083003297</v>
      </c>
      <c r="AF11" s="9">
        <v>45.088525083003297</v>
      </c>
      <c r="AG11" s="9">
        <v>45.5238683750067</v>
      </c>
      <c r="AH11" s="10" t="s">
        <v>59</v>
      </c>
      <c r="AI11" s="9">
        <v>1</v>
      </c>
      <c r="AJ11" s="9">
        <v>0.43315958300081597</v>
      </c>
      <c r="AK11" s="10" t="s">
        <v>51</v>
      </c>
      <c r="AL11" s="8"/>
      <c r="AM11" s="8"/>
      <c r="AN11" s="8"/>
      <c r="AO11" s="9">
        <v>1</v>
      </c>
      <c r="AP11" s="9">
        <v>1</v>
      </c>
      <c r="AQ11" s="10" t="s">
        <v>96</v>
      </c>
      <c r="AR11" s="10" t="s">
        <v>53</v>
      </c>
      <c r="AS11" s="8"/>
      <c r="AT11" s="10" t="s">
        <v>54</v>
      </c>
      <c r="AU11" s="10" t="s">
        <v>51</v>
      </c>
      <c r="AV11" s="10" t="s">
        <v>97</v>
      </c>
      <c r="AW11" s="8"/>
    </row>
    <row r="12" spans="1:49" x14ac:dyDescent="0.15">
      <c r="A12" s="11" t="s">
        <v>79</v>
      </c>
      <c r="B12" s="12" t="s">
        <v>61</v>
      </c>
      <c r="C12" s="10" t="s">
        <v>58</v>
      </c>
      <c r="D12" s="10" t="s">
        <v>59</v>
      </c>
      <c r="E12" s="9">
        <v>27</v>
      </c>
      <c r="F12" s="9">
        <v>27</v>
      </c>
      <c r="G12" s="9">
        <v>0</v>
      </c>
      <c r="H12" s="10" t="s">
        <v>59</v>
      </c>
      <c r="I12" s="9">
        <v>1</v>
      </c>
      <c r="J12" s="9">
        <v>0.38778479100437802</v>
      </c>
      <c r="K12" s="10" t="s">
        <v>51</v>
      </c>
      <c r="L12" s="9">
        <v>0</v>
      </c>
      <c r="M12" s="9">
        <v>27</v>
      </c>
      <c r="N12" s="9">
        <v>27</v>
      </c>
      <c r="O12" s="9">
        <v>6</v>
      </c>
      <c r="P12" s="9">
        <v>48.260721708007601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9">
        <v>48.251447291011601</v>
      </c>
      <c r="AC12" s="9">
        <v>48.260721708007601</v>
      </c>
      <c r="AD12" s="9">
        <v>48.748114791000297</v>
      </c>
      <c r="AE12" s="9">
        <v>48.748114791000297</v>
      </c>
      <c r="AF12" s="9">
        <v>48.748114791000297</v>
      </c>
      <c r="AG12" s="9">
        <v>49.140949916007202</v>
      </c>
      <c r="AH12" s="10" t="s">
        <v>59</v>
      </c>
      <c r="AI12" s="9">
        <v>1</v>
      </c>
      <c r="AJ12" s="9">
        <v>0.38778479100437802</v>
      </c>
      <c r="AK12" s="10" t="s">
        <v>51</v>
      </c>
      <c r="AL12" s="8"/>
      <c r="AM12" s="8"/>
      <c r="AN12" s="8"/>
      <c r="AO12" s="9">
        <v>1</v>
      </c>
      <c r="AP12" s="9">
        <v>1</v>
      </c>
      <c r="AQ12" s="10" t="s">
        <v>96</v>
      </c>
      <c r="AR12" s="10" t="s">
        <v>53</v>
      </c>
      <c r="AS12" s="8"/>
      <c r="AT12" s="10" t="s">
        <v>54</v>
      </c>
      <c r="AU12" s="10" t="s">
        <v>51</v>
      </c>
      <c r="AV12" s="10" t="s">
        <v>97</v>
      </c>
      <c r="AW12" s="8"/>
    </row>
    <row r="13" spans="1:49" x14ac:dyDescent="0.15">
      <c r="A13" s="11" t="s">
        <v>73</v>
      </c>
      <c r="B13" s="12" t="s">
        <v>61</v>
      </c>
      <c r="C13" s="10" t="s">
        <v>62</v>
      </c>
      <c r="D13" s="10" t="s">
        <v>63</v>
      </c>
      <c r="E13" s="9">
        <v>30</v>
      </c>
      <c r="F13" s="9">
        <v>30</v>
      </c>
      <c r="G13" s="9">
        <v>0</v>
      </c>
      <c r="H13" s="10" t="s">
        <v>63</v>
      </c>
      <c r="I13" s="9">
        <v>1</v>
      </c>
      <c r="J13" s="9">
        <v>0.39242729099350998</v>
      </c>
      <c r="K13" s="10" t="s">
        <v>51</v>
      </c>
      <c r="L13" s="9">
        <v>0</v>
      </c>
      <c r="M13" s="9">
        <v>30</v>
      </c>
      <c r="N13" s="9">
        <v>30</v>
      </c>
      <c r="O13" s="9">
        <v>15</v>
      </c>
      <c r="P13" s="9">
        <v>51.122344583010999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9">
        <v>51.113366333011101</v>
      </c>
      <c r="AC13" s="9">
        <v>51.122344583010999</v>
      </c>
      <c r="AD13" s="9">
        <v>51.605345416013698</v>
      </c>
      <c r="AE13" s="9">
        <v>51.605345416013698</v>
      </c>
      <c r="AF13" s="9">
        <v>51.605345416013698</v>
      </c>
      <c r="AG13" s="9">
        <v>52.007621208002099</v>
      </c>
      <c r="AH13" s="10" t="s">
        <v>63</v>
      </c>
      <c r="AI13" s="9">
        <v>1</v>
      </c>
      <c r="AJ13" s="9">
        <v>0.39242729099350998</v>
      </c>
      <c r="AK13" s="10" t="s">
        <v>51</v>
      </c>
      <c r="AL13" s="8"/>
      <c r="AM13" s="8"/>
      <c r="AN13" s="8"/>
      <c r="AO13" s="9">
        <v>1</v>
      </c>
      <c r="AP13" s="9">
        <v>1</v>
      </c>
      <c r="AQ13" s="10" t="s">
        <v>96</v>
      </c>
      <c r="AR13" s="10" t="s">
        <v>53</v>
      </c>
      <c r="AS13" s="8"/>
      <c r="AT13" s="10" t="s">
        <v>54</v>
      </c>
      <c r="AU13" s="10" t="s">
        <v>51</v>
      </c>
      <c r="AV13" s="10" t="s">
        <v>97</v>
      </c>
      <c r="AW13" s="8"/>
    </row>
    <row r="14" spans="1:49" x14ac:dyDescent="0.15">
      <c r="A14" s="11" t="s">
        <v>64</v>
      </c>
      <c r="B14" s="12" t="s">
        <v>61</v>
      </c>
      <c r="C14" s="10" t="s">
        <v>58</v>
      </c>
      <c r="D14" s="10" t="s">
        <v>59</v>
      </c>
      <c r="E14" s="9">
        <v>31</v>
      </c>
      <c r="F14" s="9">
        <v>31</v>
      </c>
      <c r="G14" s="9">
        <v>0</v>
      </c>
      <c r="H14" s="10" t="s">
        <v>59</v>
      </c>
      <c r="I14" s="9">
        <v>1</v>
      </c>
      <c r="J14" s="9">
        <v>0.51938095799414397</v>
      </c>
      <c r="K14" s="10" t="s">
        <v>51</v>
      </c>
      <c r="L14" s="9">
        <v>0</v>
      </c>
      <c r="M14" s="9">
        <v>31</v>
      </c>
      <c r="N14" s="9">
        <v>31</v>
      </c>
      <c r="O14" s="9">
        <v>4</v>
      </c>
      <c r="P14" s="9">
        <v>52.021571333010797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9">
        <v>52.012960375010202</v>
      </c>
      <c r="AC14" s="9">
        <v>52.021571333010797</v>
      </c>
      <c r="AD14" s="9">
        <v>52.505306500010199</v>
      </c>
      <c r="AE14" s="9">
        <v>52.505306500010199</v>
      </c>
      <c r="AF14" s="9">
        <v>52.505306500010199</v>
      </c>
      <c r="AG14" s="9">
        <v>53.029936708000598</v>
      </c>
      <c r="AH14" s="10" t="s">
        <v>59</v>
      </c>
      <c r="AI14" s="9">
        <v>1</v>
      </c>
      <c r="AJ14" s="9">
        <v>0.51938095799414397</v>
      </c>
      <c r="AK14" s="10" t="s">
        <v>51</v>
      </c>
      <c r="AL14" s="8"/>
      <c r="AM14" s="8"/>
      <c r="AN14" s="8"/>
      <c r="AO14" s="9">
        <v>1</v>
      </c>
      <c r="AP14" s="9">
        <v>1</v>
      </c>
      <c r="AQ14" s="10" t="s">
        <v>96</v>
      </c>
      <c r="AR14" s="10" t="s">
        <v>53</v>
      </c>
      <c r="AS14" s="8"/>
      <c r="AT14" s="10" t="s">
        <v>54</v>
      </c>
      <c r="AU14" s="10" t="s">
        <v>51</v>
      </c>
      <c r="AV14" s="10" t="s">
        <v>97</v>
      </c>
      <c r="AW14" s="8"/>
    </row>
    <row r="15" spans="1:49" x14ac:dyDescent="0.15">
      <c r="A15" s="11" t="s">
        <v>74</v>
      </c>
      <c r="B15" s="12" t="s">
        <v>61</v>
      </c>
      <c r="C15" s="10" t="s">
        <v>58</v>
      </c>
      <c r="D15" s="10" t="s">
        <v>59</v>
      </c>
      <c r="E15" s="9">
        <v>33</v>
      </c>
      <c r="F15" s="9">
        <v>33</v>
      </c>
      <c r="G15" s="9">
        <v>0</v>
      </c>
      <c r="H15" s="10" t="s">
        <v>59</v>
      </c>
      <c r="I15" s="9">
        <v>1</v>
      </c>
      <c r="J15" s="9">
        <v>0.295750333010801</v>
      </c>
      <c r="K15" s="10" t="s">
        <v>51</v>
      </c>
      <c r="L15" s="9">
        <v>0</v>
      </c>
      <c r="M15" s="9">
        <v>33</v>
      </c>
      <c r="N15" s="9">
        <v>33</v>
      </c>
      <c r="O15" s="9">
        <v>0</v>
      </c>
      <c r="P15" s="9">
        <v>53.9441447910067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9">
        <v>53.934452916000701</v>
      </c>
      <c r="AC15" s="9">
        <v>53.9441447910067</v>
      </c>
      <c r="AD15" s="9">
        <v>54.422190000012101</v>
      </c>
      <c r="AE15" s="9">
        <v>54.422190000012101</v>
      </c>
      <c r="AF15" s="9">
        <v>54.422190000012101</v>
      </c>
      <c r="AG15" s="9">
        <v>54.7242885000014</v>
      </c>
      <c r="AH15" s="10" t="s">
        <v>59</v>
      </c>
      <c r="AI15" s="9">
        <v>1</v>
      </c>
      <c r="AJ15" s="9">
        <v>0.295750333010801</v>
      </c>
      <c r="AK15" s="10" t="s">
        <v>51</v>
      </c>
      <c r="AL15" s="8"/>
      <c r="AM15" s="8"/>
      <c r="AN15" s="8"/>
      <c r="AO15" s="9">
        <v>1</v>
      </c>
      <c r="AP15" s="9">
        <v>1</v>
      </c>
      <c r="AQ15" s="10" t="s">
        <v>96</v>
      </c>
      <c r="AR15" s="10" t="s">
        <v>53</v>
      </c>
      <c r="AS15" s="8"/>
      <c r="AT15" s="10" t="s">
        <v>54</v>
      </c>
      <c r="AU15" s="10" t="s">
        <v>51</v>
      </c>
      <c r="AV15" s="10" t="s">
        <v>97</v>
      </c>
      <c r="AW15" s="8"/>
    </row>
    <row r="16" spans="1:49" x14ac:dyDescent="0.15">
      <c r="A16" s="11" t="s">
        <v>79</v>
      </c>
      <c r="B16" s="12" t="s">
        <v>61</v>
      </c>
      <c r="C16" s="10" t="s">
        <v>62</v>
      </c>
      <c r="D16" s="10" t="s">
        <v>63</v>
      </c>
      <c r="E16" s="9">
        <v>36</v>
      </c>
      <c r="F16" s="9">
        <v>36</v>
      </c>
      <c r="G16" s="9">
        <v>0</v>
      </c>
      <c r="H16" s="10" t="s">
        <v>63</v>
      </c>
      <c r="I16" s="9">
        <v>1</v>
      </c>
      <c r="J16" s="9">
        <v>0.47978941700421301</v>
      </c>
      <c r="K16" s="10" t="s">
        <v>51</v>
      </c>
      <c r="L16" s="9">
        <v>0</v>
      </c>
      <c r="M16" s="9">
        <v>36</v>
      </c>
      <c r="N16" s="9">
        <v>36</v>
      </c>
      <c r="O16" s="9">
        <v>7</v>
      </c>
      <c r="P16" s="9">
        <v>56.4117027500033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9">
        <v>56.4021074580087</v>
      </c>
      <c r="AC16" s="9">
        <v>56.4117027500033</v>
      </c>
      <c r="AD16" s="9">
        <v>56.8971127080004</v>
      </c>
      <c r="AE16" s="9">
        <v>56.8971127080004</v>
      </c>
      <c r="AF16" s="9">
        <v>56.8971127080004</v>
      </c>
      <c r="AG16" s="9">
        <v>57.380002833000603</v>
      </c>
      <c r="AH16" s="10" t="s">
        <v>63</v>
      </c>
      <c r="AI16" s="9">
        <v>1</v>
      </c>
      <c r="AJ16" s="9">
        <v>0.47978941700421301</v>
      </c>
      <c r="AK16" s="10" t="s">
        <v>51</v>
      </c>
      <c r="AL16" s="8"/>
      <c r="AM16" s="8"/>
      <c r="AN16" s="8"/>
      <c r="AO16" s="9">
        <v>1</v>
      </c>
      <c r="AP16" s="9">
        <v>1</v>
      </c>
      <c r="AQ16" s="10" t="s">
        <v>96</v>
      </c>
      <c r="AR16" s="10" t="s">
        <v>53</v>
      </c>
      <c r="AS16" s="8"/>
      <c r="AT16" s="10" t="s">
        <v>54</v>
      </c>
      <c r="AU16" s="10" t="s">
        <v>51</v>
      </c>
      <c r="AV16" s="10" t="s">
        <v>97</v>
      </c>
      <c r="AW16" s="8"/>
    </row>
    <row r="17" spans="1:49" x14ac:dyDescent="0.15">
      <c r="A17" s="11" t="s">
        <v>64</v>
      </c>
      <c r="B17" s="12" t="s">
        <v>61</v>
      </c>
      <c r="C17" s="10" t="s">
        <v>62</v>
      </c>
      <c r="D17" s="10" t="s">
        <v>63</v>
      </c>
      <c r="E17" s="9">
        <v>41</v>
      </c>
      <c r="F17" s="9">
        <v>41</v>
      </c>
      <c r="G17" s="9">
        <v>1</v>
      </c>
      <c r="H17" s="10" t="s">
        <v>63</v>
      </c>
      <c r="I17" s="9">
        <v>1</v>
      </c>
      <c r="J17" s="9">
        <v>0.38718362500367198</v>
      </c>
      <c r="K17" s="10" t="s">
        <v>51</v>
      </c>
      <c r="L17" s="9">
        <v>1</v>
      </c>
      <c r="M17" s="9">
        <v>41</v>
      </c>
      <c r="N17" s="9">
        <v>41</v>
      </c>
      <c r="O17" s="9">
        <v>5</v>
      </c>
      <c r="P17" s="9">
        <v>61.1720290000085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9">
        <v>61.1629717080068</v>
      </c>
      <c r="AC17" s="9">
        <v>61.1720290000085</v>
      </c>
      <c r="AD17" s="9">
        <v>61.655744750008999</v>
      </c>
      <c r="AE17" s="9">
        <v>61.655744750008999</v>
      </c>
      <c r="AF17" s="9">
        <v>61.655744750008999</v>
      </c>
      <c r="AG17" s="9">
        <v>62.046625708011597</v>
      </c>
      <c r="AH17" s="10" t="s">
        <v>63</v>
      </c>
      <c r="AI17" s="9">
        <v>1</v>
      </c>
      <c r="AJ17" s="9">
        <v>0.38718362500367198</v>
      </c>
      <c r="AK17" s="10" t="s">
        <v>51</v>
      </c>
      <c r="AL17" s="8"/>
      <c r="AM17" s="8"/>
      <c r="AN17" s="8"/>
      <c r="AO17" s="9">
        <v>1</v>
      </c>
      <c r="AP17" s="9">
        <v>1</v>
      </c>
      <c r="AQ17" s="10" t="s">
        <v>96</v>
      </c>
      <c r="AR17" s="10" t="s">
        <v>53</v>
      </c>
      <c r="AS17" s="8"/>
      <c r="AT17" s="10" t="s">
        <v>54</v>
      </c>
      <c r="AU17" s="10" t="s">
        <v>51</v>
      </c>
      <c r="AV17" s="10" t="s">
        <v>97</v>
      </c>
      <c r="AW17" s="8"/>
    </row>
    <row r="18" spans="1:49" x14ac:dyDescent="0.15">
      <c r="A18" s="11" t="s">
        <v>60</v>
      </c>
      <c r="B18" s="12" t="s">
        <v>61</v>
      </c>
      <c r="C18" s="10" t="s">
        <v>58</v>
      </c>
      <c r="D18" s="10" t="s">
        <v>59</v>
      </c>
      <c r="E18" s="9">
        <v>42</v>
      </c>
      <c r="F18" s="9">
        <v>42</v>
      </c>
      <c r="G18" s="9">
        <v>0</v>
      </c>
      <c r="H18" s="10" t="s">
        <v>59</v>
      </c>
      <c r="I18" s="9">
        <v>1</v>
      </c>
      <c r="J18" s="9">
        <v>0.48484270799963303</v>
      </c>
      <c r="K18" s="10" t="s">
        <v>51</v>
      </c>
      <c r="L18" s="9">
        <v>0</v>
      </c>
      <c r="M18" s="9">
        <v>42</v>
      </c>
      <c r="N18" s="9">
        <v>42</v>
      </c>
      <c r="O18" s="9">
        <v>8</v>
      </c>
      <c r="P18" s="9">
        <v>62.060451958008301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9">
        <v>62.051076666000903</v>
      </c>
      <c r="AC18" s="9">
        <v>62.060451958008301</v>
      </c>
      <c r="AD18" s="9">
        <v>62.548246416001398</v>
      </c>
      <c r="AE18" s="9">
        <v>62.548246416001398</v>
      </c>
      <c r="AF18" s="9">
        <v>62.548246416001398</v>
      </c>
      <c r="AG18" s="9">
        <v>63.041303208010497</v>
      </c>
      <c r="AH18" s="10" t="s">
        <v>59</v>
      </c>
      <c r="AI18" s="9">
        <v>1</v>
      </c>
      <c r="AJ18" s="9">
        <v>0.48484270799963303</v>
      </c>
      <c r="AK18" s="10" t="s">
        <v>51</v>
      </c>
      <c r="AL18" s="8"/>
      <c r="AM18" s="8"/>
      <c r="AN18" s="8"/>
      <c r="AO18" s="9">
        <v>1</v>
      </c>
      <c r="AP18" s="9">
        <v>1</v>
      </c>
      <c r="AQ18" s="10" t="s">
        <v>96</v>
      </c>
      <c r="AR18" s="10" t="s">
        <v>53</v>
      </c>
      <c r="AS18" s="8"/>
      <c r="AT18" s="10" t="s">
        <v>54</v>
      </c>
      <c r="AU18" s="10" t="s">
        <v>51</v>
      </c>
      <c r="AV18" s="10" t="s">
        <v>97</v>
      </c>
      <c r="AW18" s="8"/>
    </row>
    <row r="19" spans="1:49" x14ac:dyDescent="0.15">
      <c r="A19" s="11" t="s">
        <v>70</v>
      </c>
      <c r="B19" s="12" t="s">
        <v>61</v>
      </c>
      <c r="C19" s="10" t="s">
        <v>62</v>
      </c>
      <c r="D19" s="10" t="s">
        <v>63</v>
      </c>
      <c r="E19" s="9">
        <v>43</v>
      </c>
      <c r="F19" s="9">
        <v>43</v>
      </c>
      <c r="G19" s="9">
        <v>0</v>
      </c>
      <c r="H19" s="10" t="s">
        <v>63</v>
      </c>
      <c r="I19" s="9">
        <v>1</v>
      </c>
      <c r="J19" s="9">
        <v>0.627839875000063</v>
      </c>
      <c r="K19" s="10" t="s">
        <v>51</v>
      </c>
      <c r="L19" s="9">
        <v>0</v>
      </c>
      <c r="M19" s="9">
        <v>43</v>
      </c>
      <c r="N19" s="9">
        <v>43</v>
      </c>
      <c r="O19" s="9">
        <v>13</v>
      </c>
      <c r="P19" s="9">
        <v>63.055672541013301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9">
        <v>63.046917250001599</v>
      </c>
      <c r="AC19" s="9">
        <v>63.055672541013301</v>
      </c>
      <c r="AD19" s="9">
        <v>63.539245666004703</v>
      </c>
      <c r="AE19" s="9">
        <v>63.539245666004703</v>
      </c>
      <c r="AF19" s="9">
        <v>63.539245666004703</v>
      </c>
      <c r="AG19" s="9">
        <v>64.173773750007996</v>
      </c>
      <c r="AH19" s="10" t="s">
        <v>63</v>
      </c>
      <c r="AI19" s="9">
        <v>1</v>
      </c>
      <c r="AJ19" s="9">
        <v>0.627839875000063</v>
      </c>
      <c r="AK19" s="10" t="s">
        <v>51</v>
      </c>
      <c r="AL19" s="8"/>
      <c r="AM19" s="8"/>
      <c r="AN19" s="8"/>
      <c r="AO19" s="9">
        <v>1</v>
      </c>
      <c r="AP19" s="9">
        <v>1</v>
      </c>
      <c r="AQ19" s="10" t="s">
        <v>96</v>
      </c>
      <c r="AR19" s="10" t="s">
        <v>53</v>
      </c>
      <c r="AS19" s="8"/>
      <c r="AT19" s="10" t="s">
        <v>54</v>
      </c>
      <c r="AU19" s="10" t="s">
        <v>51</v>
      </c>
      <c r="AV19" s="10" t="s">
        <v>97</v>
      </c>
      <c r="AW19" s="8"/>
    </row>
    <row r="20" spans="1:49" x14ac:dyDescent="0.15">
      <c r="A20" s="11" t="s">
        <v>60</v>
      </c>
      <c r="B20" s="12" t="s">
        <v>61</v>
      </c>
      <c r="C20" s="10" t="s">
        <v>62</v>
      </c>
      <c r="D20" s="10" t="s">
        <v>63</v>
      </c>
      <c r="E20" s="9">
        <v>44</v>
      </c>
      <c r="F20" s="9">
        <v>44</v>
      </c>
      <c r="G20" s="9">
        <v>2</v>
      </c>
      <c r="H20" s="10" t="s">
        <v>63</v>
      </c>
      <c r="I20" s="9">
        <v>1</v>
      </c>
      <c r="J20" s="9">
        <v>0.41700658301124399</v>
      </c>
      <c r="K20" s="10" t="s">
        <v>51</v>
      </c>
      <c r="L20" s="9">
        <v>2</v>
      </c>
      <c r="M20" s="9">
        <v>44</v>
      </c>
      <c r="N20" s="9">
        <v>44</v>
      </c>
      <c r="O20" s="9">
        <v>9</v>
      </c>
      <c r="P20" s="9">
        <v>64.186207875012798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9">
        <v>64.1775746660132</v>
      </c>
      <c r="AC20" s="9">
        <v>64.186207875012798</v>
      </c>
      <c r="AD20" s="9">
        <v>64.665109708003001</v>
      </c>
      <c r="AE20" s="9">
        <v>64.665109708003001</v>
      </c>
      <c r="AF20" s="9">
        <v>64.665109708003001</v>
      </c>
      <c r="AG20" s="9">
        <v>65.091355291005996</v>
      </c>
      <c r="AH20" s="10" t="s">
        <v>63</v>
      </c>
      <c r="AI20" s="9">
        <v>1</v>
      </c>
      <c r="AJ20" s="9">
        <v>0.41700658301124399</v>
      </c>
      <c r="AK20" s="10" t="s">
        <v>51</v>
      </c>
      <c r="AL20" s="8"/>
      <c r="AM20" s="8"/>
      <c r="AN20" s="8"/>
      <c r="AO20" s="9">
        <v>1</v>
      </c>
      <c r="AP20" s="9">
        <v>1</v>
      </c>
      <c r="AQ20" s="10" t="s">
        <v>96</v>
      </c>
      <c r="AR20" s="10" t="s">
        <v>53</v>
      </c>
      <c r="AS20" s="8"/>
      <c r="AT20" s="10" t="s">
        <v>54</v>
      </c>
      <c r="AU20" s="10" t="s">
        <v>51</v>
      </c>
      <c r="AV20" s="10" t="s">
        <v>97</v>
      </c>
      <c r="AW20" s="8"/>
    </row>
    <row r="21" spans="1:49" x14ac:dyDescent="0.15">
      <c r="A21" s="11" t="s">
        <v>85</v>
      </c>
      <c r="B21" s="12" t="s">
        <v>61</v>
      </c>
      <c r="C21" s="10" t="s">
        <v>62</v>
      </c>
      <c r="D21" s="10" t="s">
        <v>63</v>
      </c>
      <c r="E21" s="9">
        <v>45</v>
      </c>
      <c r="F21" s="9">
        <v>45</v>
      </c>
      <c r="G21" s="9">
        <v>1</v>
      </c>
      <c r="H21" s="10" t="s">
        <v>63</v>
      </c>
      <c r="I21" s="9">
        <v>1</v>
      </c>
      <c r="J21" s="9">
        <v>0.34190270800900202</v>
      </c>
      <c r="K21" s="10" t="s">
        <v>51</v>
      </c>
      <c r="L21" s="9">
        <v>1</v>
      </c>
      <c r="M21" s="9">
        <v>45</v>
      </c>
      <c r="N21" s="9">
        <v>45</v>
      </c>
      <c r="O21" s="9">
        <v>11</v>
      </c>
      <c r="P21" s="9">
        <v>65.104149916005596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9">
        <v>65.0951644160086</v>
      </c>
      <c r="AC21" s="9">
        <v>65.104149916005596</v>
      </c>
      <c r="AD21" s="9">
        <v>65.5891135000129</v>
      </c>
      <c r="AE21" s="9">
        <v>65.5891135000129</v>
      </c>
      <c r="AF21" s="9">
        <v>65.5891135000129</v>
      </c>
      <c r="AG21" s="9">
        <v>65.941347250001897</v>
      </c>
      <c r="AH21" s="10" t="s">
        <v>63</v>
      </c>
      <c r="AI21" s="9">
        <v>1</v>
      </c>
      <c r="AJ21" s="9">
        <v>0.34190270800900202</v>
      </c>
      <c r="AK21" s="10" t="s">
        <v>51</v>
      </c>
      <c r="AL21" s="8"/>
      <c r="AM21" s="8"/>
      <c r="AN21" s="8"/>
      <c r="AO21" s="9">
        <v>1</v>
      </c>
      <c r="AP21" s="9">
        <v>1</v>
      </c>
      <c r="AQ21" s="10" t="s">
        <v>96</v>
      </c>
      <c r="AR21" s="10" t="s">
        <v>53</v>
      </c>
      <c r="AS21" s="8"/>
      <c r="AT21" s="10" t="s">
        <v>54</v>
      </c>
      <c r="AU21" s="10" t="s">
        <v>51</v>
      </c>
      <c r="AV21" s="10" t="s">
        <v>97</v>
      </c>
      <c r="AW21" s="8"/>
    </row>
    <row r="22" spans="1:49" x14ac:dyDescent="0.15">
      <c r="A22" s="11" t="s">
        <v>79</v>
      </c>
      <c r="B22" s="12" t="s">
        <v>61</v>
      </c>
      <c r="C22" s="10" t="s">
        <v>58</v>
      </c>
      <c r="D22" s="10" t="s">
        <v>59</v>
      </c>
      <c r="E22" s="9">
        <v>48</v>
      </c>
      <c r="F22" s="9">
        <v>48</v>
      </c>
      <c r="G22" s="9">
        <v>1</v>
      </c>
      <c r="H22" s="10" t="s">
        <v>59</v>
      </c>
      <c r="I22" s="9">
        <v>1</v>
      </c>
      <c r="J22" s="9">
        <v>0.39218058300321001</v>
      </c>
      <c r="K22" s="10" t="s">
        <v>51</v>
      </c>
      <c r="L22" s="9">
        <v>1</v>
      </c>
      <c r="M22" s="9">
        <v>48</v>
      </c>
      <c r="N22" s="9">
        <v>48</v>
      </c>
      <c r="O22" s="9">
        <v>6</v>
      </c>
      <c r="P22" s="9">
        <v>67.688492790999604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9">
        <v>67.679380625006203</v>
      </c>
      <c r="AC22" s="9">
        <v>67.688492790999604</v>
      </c>
      <c r="AD22" s="9">
        <v>68.172980208008099</v>
      </c>
      <c r="AE22" s="9">
        <v>68.172980208008099</v>
      </c>
      <c r="AF22" s="9">
        <v>68.172980208008099</v>
      </c>
      <c r="AG22" s="9">
        <v>68.574761041003498</v>
      </c>
      <c r="AH22" s="10" t="s">
        <v>59</v>
      </c>
      <c r="AI22" s="9">
        <v>1</v>
      </c>
      <c r="AJ22" s="9">
        <v>0.39218058300321001</v>
      </c>
      <c r="AK22" s="10" t="s">
        <v>51</v>
      </c>
      <c r="AL22" s="8"/>
      <c r="AM22" s="8"/>
      <c r="AN22" s="8"/>
      <c r="AO22" s="9">
        <v>1</v>
      </c>
      <c r="AP22" s="9">
        <v>1</v>
      </c>
      <c r="AQ22" s="10" t="s">
        <v>96</v>
      </c>
      <c r="AR22" s="10" t="s">
        <v>53</v>
      </c>
      <c r="AS22" s="8"/>
      <c r="AT22" s="10" t="s">
        <v>54</v>
      </c>
      <c r="AU22" s="10" t="s">
        <v>51</v>
      </c>
      <c r="AV22" s="10" t="s">
        <v>97</v>
      </c>
      <c r="AW22" s="8"/>
    </row>
    <row r="23" spans="1:49" x14ac:dyDescent="0.15">
      <c r="A23" s="11" t="s">
        <v>73</v>
      </c>
      <c r="B23" s="12" t="s">
        <v>61</v>
      </c>
      <c r="C23" s="10" t="s">
        <v>58</v>
      </c>
      <c r="D23" s="10" t="s">
        <v>59</v>
      </c>
      <c r="E23" s="9">
        <v>55</v>
      </c>
      <c r="F23" s="9">
        <v>55</v>
      </c>
      <c r="G23" s="9">
        <v>0</v>
      </c>
      <c r="H23" s="10" t="s">
        <v>59</v>
      </c>
      <c r="I23" s="9">
        <v>1</v>
      </c>
      <c r="J23" s="9">
        <v>0.392394624999724</v>
      </c>
      <c r="K23" s="10" t="s">
        <v>51</v>
      </c>
      <c r="L23" s="9">
        <v>0</v>
      </c>
      <c r="M23" s="9">
        <v>55</v>
      </c>
      <c r="N23" s="9">
        <v>55</v>
      </c>
      <c r="O23" s="9">
        <v>14</v>
      </c>
      <c r="P23" s="9">
        <v>74.1112469159998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9">
        <v>74.102419750008295</v>
      </c>
      <c r="AC23" s="9">
        <v>74.1112469159998</v>
      </c>
      <c r="AD23" s="9">
        <v>74.598802333013694</v>
      </c>
      <c r="AE23" s="9">
        <v>74.598802333013694</v>
      </c>
      <c r="AF23" s="9">
        <v>74.598802333013694</v>
      </c>
      <c r="AG23" s="9">
        <v>74.9977522910049</v>
      </c>
      <c r="AH23" s="10" t="s">
        <v>59</v>
      </c>
      <c r="AI23" s="9">
        <v>1</v>
      </c>
      <c r="AJ23" s="9">
        <v>0.392394624999724</v>
      </c>
      <c r="AK23" s="10" t="s">
        <v>51</v>
      </c>
      <c r="AL23" s="8"/>
      <c r="AM23" s="8"/>
      <c r="AN23" s="8"/>
      <c r="AO23" s="9">
        <v>1</v>
      </c>
      <c r="AP23" s="9">
        <v>1</v>
      </c>
      <c r="AQ23" s="10" t="s">
        <v>96</v>
      </c>
      <c r="AR23" s="10" t="s">
        <v>53</v>
      </c>
      <c r="AS23" s="8"/>
      <c r="AT23" s="10" t="s">
        <v>54</v>
      </c>
      <c r="AU23" s="10" t="s">
        <v>51</v>
      </c>
      <c r="AV23" s="10" t="s">
        <v>97</v>
      </c>
      <c r="AW23" s="8"/>
    </row>
    <row r="24" spans="1:49" x14ac:dyDescent="0.15">
      <c r="A24" s="11" t="s">
        <v>64</v>
      </c>
      <c r="B24" s="12" t="s">
        <v>61</v>
      </c>
      <c r="C24" s="10" t="s">
        <v>58</v>
      </c>
      <c r="D24" s="10" t="s">
        <v>59</v>
      </c>
      <c r="E24" s="9">
        <v>56</v>
      </c>
      <c r="F24" s="9">
        <v>56</v>
      </c>
      <c r="G24" s="9">
        <v>1</v>
      </c>
      <c r="H24" s="10" t="s">
        <v>59</v>
      </c>
      <c r="I24" s="9">
        <v>1</v>
      </c>
      <c r="J24" s="9">
        <v>0.451373250005418</v>
      </c>
      <c r="K24" s="10" t="s">
        <v>51</v>
      </c>
      <c r="L24" s="9">
        <v>1</v>
      </c>
      <c r="M24" s="9">
        <v>56</v>
      </c>
      <c r="N24" s="9">
        <v>56</v>
      </c>
      <c r="O24" s="9">
        <v>4</v>
      </c>
      <c r="P24" s="9">
        <v>75.011119375005407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9">
        <v>75.002208750011107</v>
      </c>
      <c r="AC24" s="9">
        <v>75.011119375005407</v>
      </c>
      <c r="AD24" s="9">
        <v>75.499921291004298</v>
      </c>
      <c r="AE24" s="9">
        <v>75.499921291004298</v>
      </c>
      <c r="AF24" s="9">
        <v>75.499921291004298</v>
      </c>
      <c r="AG24" s="9">
        <v>75.9581128749996</v>
      </c>
      <c r="AH24" s="10" t="s">
        <v>59</v>
      </c>
      <c r="AI24" s="9">
        <v>1</v>
      </c>
      <c r="AJ24" s="9">
        <v>0.451373250005418</v>
      </c>
      <c r="AK24" s="10" t="s">
        <v>51</v>
      </c>
      <c r="AL24" s="8"/>
      <c r="AM24" s="8"/>
      <c r="AN24" s="8"/>
      <c r="AO24" s="9">
        <v>1</v>
      </c>
      <c r="AP24" s="9">
        <v>1</v>
      </c>
      <c r="AQ24" s="10" t="s">
        <v>96</v>
      </c>
      <c r="AR24" s="10" t="s">
        <v>53</v>
      </c>
      <c r="AS24" s="8"/>
      <c r="AT24" s="10" t="s">
        <v>54</v>
      </c>
      <c r="AU24" s="10" t="s">
        <v>51</v>
      </c>
      <c r="AV24" s="10" t="s">
        <v>97</v>
      </c>
      <c r="AW24" s="8"/>
    </row>
    <row r="25" spans="1:49" x14ac:dyDescent="0.15">
      <c r="A25" s="11" t="s">
        <v>60</v>
      </c>
      <c r="B25" s="12" t="s">
        <v>61</v>
      </c>
      <c r="C25" s="10" t="s">
        <v>62</v>
      </c>
      <c r="D25" s="10" t="s">
        <v>63</v>
      </c>
      <c r="E25" s="9">
        <v>58</v>
      </c>
      <c r="F25" s="9">
        <v>58</v>
      </c>
      <c r="G25" s="9">
        <v>3</v>
      </c>
      <c r="H25" s="10" t="s">
        <v>63</v>
      </c>
      <c r="I25" s="9">
        <v>1</v>
      </c>
      <c r="J25" s="9">
        <v>0.61176058299315605</v>
      </c>
      <c r="K25" s="10" t="s">
        <v>51</v>
      </c>
      <c r="L25" s="9">
        <v>3</v>
      </c>
      <c r="M25" s="9">
        <v>58</v>
      </c>
      <c r="N25" s="9">
        <v>58</v>
      </c>
      <c r="O25" s="9">
        <v>9</v>
      </c>
      <c r="P25" s="9">
        <v>77.053763166011805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9">
        <v>77.0446802080114</v>
      </c>
      <c r="AC25" s="9">
        <v>77.053763166011805</v>
      </c>
      <c r="AD25" s="9">
        <v>77.539575791000999</v>
      </c>
      <c r="AE25" s="9">
        <v>77.539575791000999</v>
      </c>
      <c r="AF25" s="9">
        <v>77.539575791000999</v>
      </c>
      <c r="AG25" s="9">
        <v>78.158295333007104</v>
      </c>
      <c r="AH25" s="10" t="s">
        <v>63</v>
      </c>
      <c r="AI25" s="9">
        <v>1</v>
      </c>
      <c r="AJ25" s="9">
        <v>0.61176058299315605</v>
      </c>
      <c r="AK25" s="10" t="s">
        <v>51</v>
      </c>
      <c r="AL25" s="8"/>
      <c r="AM25" s="8"/>
      <c r="AN25" s="8"/>
      <c r="AO25" s="9">
        <v>1</v>
      </c>
      <c r="AP25" s="9">
        <v>1</v>
      </c>
      <c r="AQ25" s="10" t="s">
        <v>96</v>
      </c>
      <c r="AR25" s="10" t="s">
        <v>53</v>
      </c>
      <c r="AS25" s="8"/>
      <c r="AT25" s="10" t="s">
        <v>54</v>
      </c>
      <c r="AU25" s="10" t="s">
        <v>51</v>
      </c>
      <c r="AV25" s="10" t="s">
        <v>97</v>
      </c>
      <c r="AW25" s="8"/>
    </row>
    <row r="26" spans="1:49" x14ac:dyDescent="0.15">
      <c r="A26" s="11" t="s">
        <v>85</v>
      </c>
      <c r="B26" s="12" t="s">
        <v>61</v>
      </c>
      <c r="C26" s="10" t="s">
        <v>62</v>
      </c>
      <c r="D26" s="10" t="s">
        <v>63</v>
      </c>
      <c r="E26" s="9">
        <v>64</v>
      </c>
      <c r="F26" s="9">
        <v>64</v>
      </c>
      <c r="G26" s="9">
        <v>2</v>
      </c>
      <c r="H26" s="10" t="s">
        <v>63</v>
      </c>
      <c r="I26" s="9">
        <v>1</v>
      </c>
      <c r="J26" s="9">
        <v>0.40781779099779703</v>
      </c>
      <c r="K26" s="10" t="s">
        <v>51</v>
      </c>
      <c r="L26" s="9">
        <v>2</v>
      </c>
      <c r="M26" s="9">
        <v>64</v>
      </c>
      <c r="N26" s="9">
        <v>64</v>
      </c>
      <c r="O26" s="9">
        <v>11</v>
      </c>
      <c r="P26" s="9">
        <v>83.273227291007103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9">
        <v>83.263780708002699</v>
      </c>
      <c r="AC26" s="9">
        <v>83.273227291007103</v>
      </c>
      <c r="AD26" s="9">
        <v>83.756515583008905</v>
      </c>
      <c r="AE26" s="9">
        <v>83.756515583008905</v>
      </c>
      <c r="AF26" s="9">
        <v>83.756515583008905</v>
      </c>
      <c r="AG26" s="9">
        <v>84.175537083006901</v>
      </c>
      <c r="AH26" s="10" t="s">
        <v>63</v>
      </c>
      <c r="AI26" s="9">
        <v>1</v>
      </c>
      <c r="AJ26" s="9">
        <v>0.40781779099779703</v>
      </c>
      <c r="AK26" s="10" t="s">
        <v>51</v>
      </c>
      <c r="AL26" s="8"/>
      <c r="AM26" s="8"/>
      <c r="AN26" s="8"/>
      <c r="AO26" s="9">
        <v>1</v>
      </c>
      <c r="AP26" s="9">
        <v>1</v>
      </c>
      <c r="AQ26" s="10" t="s">
        <v>96</v>
      </c>
      <c r="AR26" s="10" t="s">
        <v>53</v>
      </c>
      <c r="AS26" s="8"/>
      <c r="AT26" s="10" t="s">
        <v>54</v>
      </c>
      <c r="AU26" s="10" t="s">
        <v>51</v>
      </c>
      <c r="AV26" s="10" t="s">
        <v>97</v>
      </c>
      <c r="AW26" s="8"/>
    </row>
    <row r="27" spans="1:49" x14ac:dyDescent="0.15">
      <c r="A27" s="11" t="s">
        <v>64</v>
      </c>
      <c r="B27" s="12" t="s">
        <v>61</v>
      </c>
      <c r="C27" s="10" t="s">
        <v>62</v>
      </c>
      <c r="D27" s="10" t="s">
        <v>63</v>
      </c>
      <c r="E27" s="9">
        <v>72</v>
      </c>
      <c r="F27" s="9">
        <v>72</v>
      </c>
      <c r="G27" s="9">
        <v>2</v>
      </c>
      <c r="H27" s="10" t="s">
        <v>63</v>
      </c>
      <c r="I27" s="9">
        <v>1</v>
      </c>
      <c r="J27" s="9">
        <v>0.49462687500636099</v>
      </c>
      <c r="K27" s="10" t="s">
        <v>51</v>
      </c>
      <c r="L27" s="9">
        <v>2</v>
      </c>
      <c r="M27" s="9">
        <v>72</v>
      </c>
      <c r="N27" s="9">
        <v>72</v>
      </c>
      <c r="O27" s="9">
        <v>5</v>
      </c>
      <c r="P27" s="9">
        <v>91.840060166010502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9">
        <v>91.8309696250071</v>
      </c>
      <c r="AC27" s="9">
        <v>91.840060166010502</v>
      </c>
      <c r="AD27" s="9">
        <v>92.323932458006297</v>
      </c>
      <c r="AE27" s="9">
        <v>92.323932458006297</v>
      </c>
      <c r="AF27" s="9">
        <v>92.323932458006297</v>
      </c>
      <c r="AG27" s="9">
        <v>92.8254410410009</v>
      </c>
      <c r="AH27" s="10" t="s">
        <v>63</v>
      </c>
      <c r="AI27" s="9">
        <v>1</v>
      </c>
      <c r="AJ27" s="9">
        <v>0.49462687500636099</v>
      </c>
      <c r="AK27" s="10" t="s">
        <v>51</v>
      </c>
      <c r="AL27" s="8"/>
      <c r="AM27" s="8"/>
      <c r="AN27" s="8"/>
      <c r="AO27" s="9">
        <v>1</v>
      </c>
      <c r="AP27" s="9">
        <v>1</v>
      </c>
      <c r="AQ27" s="10" t="s">
        <v>96</v>
      </c>
      <c r="AR27" s="10" t="s">
        <v>53</v>
      </c>
      <c r="AS27" s="8"/>
      <c r="AT27" s="10" t="s">
        <v>54</v>
      </c>
      <c r="AU27" s="10" t="s">
        <v>51</v>
      </c>
      <c r="AV27" s="10" t="s">
        <v>97</v>
      </c>
      <c r="AW27" s="8"/>
    </row>
    <row r="28" spans="1:49" x14ac:dyDescent="0.15">
      <c r="A28" s="11" t="s">
        <v>83</v>
      </c>
      <c r="B28" s="12" t="s">
        <v>61</v>
      </c>
      <c r="C28" s="10" t="s">
        <v>62</v>
      </c>
      <c r="D28" s="10" t="s">
        <v>63</v>
      </c>
      <c r="E28" s="9">
        <v>80</v>
      </c>
      <c r="F28" s="9">
        <v>80</v>
      </c>
      <c r="G28" s="9">
        <v>1</v>
      </c>
      <c r="H28" s="10" t="s">
        <v>63</v>
      </c>
      <c r="I28" s="9">
        <v>1</v>
      </c>
      <c r="J28" s="9">
        <v>0.36329341599775899</v>
      </c>
      <c r="K28" s="10" t="s">
        <v>51</v>
      </c>
      <c r="L28" s="9">
        <v>1</v>
      </c>
      <c r="M28" s="9">
        <v>80</v>
      </c>
      <c r="N28" s="9">
        <v>80</v>
      </c>
      <c r="O28" s="9">
        <v>3</v>
      </c>
      <c r="P28" s="9">
        <v>99.978447583009299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9">
        <v>99.969029750005603</v>
      </c>
      <c r="AC28" s="9">
        <v>99.978447583009299</v>
      </c>
      <c r="AD28" s="9">
        <v>100.46647637500401</v>
      </c>
      <c r="AE28" s="9">
        <v>100.46647637500401</v>
      </c>
      <c r="AF28" s="9">
        <v>100.46647637500401</v>
      </c>
      <c r="AG28" s="9">
        <v>100.831592458009</v>
      </c>
      <c r="AH28" s="10" t="s">
        <v>63</v>
      </c>
      <c r="AI28" s="9">
        <v>1</v>
      </c>
      <c r="AJ28" s="9">
        <v>0.36329341599775899</v>
      </c>
      <c r="AK28" s="10" t="s">
        <v>51</v>
      </c>
      <c r="AL28" s="8"/>
      <c r="AM28" s="8"/>
      <c r="AN28" s="8"/>
      <c r="AO28" s="9">
        <v>1</v>
      </c>
      <c r="AP28" s="9">
        <v>1</v>
      </c>
      <c r="AQ28" s="10" t="s">
        <v>96</v>
      </c>
      <c r="AR28" s="10" t="s">
        <v>53</v>
      </c>
      <c r="AS28" s="8"/>
      <c r="AT28" s="10" t="s">
        <v>54</v>
      </c>
      <c r="AU28" s="10" t="s">
        <v>51</v>
      </c>
      <c r="AV28" s="10" t="s">
        <v>97</v>
      </c>
      <c r="AW28" s="8"/>
    </row>
    <row r="29" spans="1:49" x14ac:dyDescent="0.15">
      <c r="A29" s="11" t="s">
        <v>85</v>
      </c>
      <c r="B29" s="12" t="s">
        <v>61</v>
      </c>
      <c r="C29" s="10" t="s">
        <v>62</v>
      </c>
      <c r="D29" s="10" t="s">
        <v>63</v>
      </c>
      <c r="E29" s="9">
        <v>82</v>
      </c>
      <c r="F29" s="9">
        <v>82</v>
      </c>
      <c r="G29" s="9">
        <v>3</v>
      </c>
      <c r="H29" s="10" t="s">
        <v>63</v>
      </c>
      <c r="I29" s="9">
        <v>1</v>
      </c>
      <c r="J29" s="9">
        <v>0.492699333000928</v>
      </c>
      <c r="K29" s="10" t="s">
        <v>51</v>
      </c>
      <c r="L29" s="9">
        <v>3</v>
      </c>
      <c r="M29" s="9">
        <v>82</v>
      </c>
      <c r="N29" s="9">
        <v>82</v>
      </c>
      <c r="O29" s="9">
        <v>11</v>
      </c>
      <c r="P29" s="9">
        <v>101.723634333001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9">
        <v>101.714433166009</v>
      </c>
      <c r="AC29" s="9">
        <v>101.723634333001</v>
      </c>
      <c r="AD29" s="9">
        <v>102.20706250000499</v>
      </c>
      <c r="AE29" s="9">
        <v>102.20706250000499</v>
      </c>
      <c r="AF29" s="9">
        <v>102.20706250000499</v>
      </c>
      <c r="AG29" s="9">
        <v>102.709328125013</v>
      </c>
      <c r="AH29" s="10" t="s">
        <v>63</v>
      </c>
      <c r="AI29" s="9">
        <v>1</v>
      </c>
      <c r="AJ29" s="9">
        <v>0.492699333000928</v>
      </c>
      <c r="AK29" s="10" t="s">
        <v>51</v>
      </c>
      <c r="AL29" s="8"/>
      <c r="AM29" s="8"/>
      <c r="AN29" s="8"/>
      <c r="AO29" s="9">
        <v>1</v>
      </c>
      <c r="AP29" s="9">
        <v>1</v>
      </c>
      <c r="AQ29" s="10" t="s">
        <v>96</v>
      </c>
      <c r="AR29" s="10" t="s">
        <v>53</v>
      </c>
      <c r="AS29" s="8"/>
      <c r="AT29" s="10" t="s">
        <v>54</v>
      </c>
      <c r="AU29" s="10" t="s">
        <v>51</v>
      </c>
      <c r="AV29" s="10" t="s">
        <v>97</v>
      </c>
      <c r="AW29" s="8"/>
    </row>
    <row r="30" spans="1:49" x14ac:dyDescent="0.15">
      <c r="A30" s="11" t="s">
        <v>74</v>
      </c>
      <c r="B30" s="12" t="s">
        <v>61</v>
      </c>
      <c r="C30" s="10" t="s">
        <v>62</v>
      </c>
      <c r="D30" s="10" t="s">
        <v>63</v>
      </c>
      <c r="E30" s="9">
        <v>92</v>
      </c>
      <c r="F30" s="9">
        <v>92</v>
      </c>
      <c r="G30" s="9">
        <v>1</v>
      </c>
      <c r="H30" s="10" t="s">
        <v>63</v>
      </c>
      <c r="I30" s="9">
        <v>1</v>
      </c>
      <c r="J30" s="9">
        <v>0.464713915993343</v>
      </c>
      <c r="K30" s="10" t="s">
        <v>51</v>
      </c>
      <c r="L30" s="9">
        <v>1</v>
      </c>
      <c r="M30" s="9">
        <v>92</v>
      </c>
      <c r="N30" s="9">
        <v>92</v>
      </c>
      <c r="O30" s="9">
        <v>1</v>
      </c>
      <c r="P30" s="9">
        <v>111.339971500012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9">
        <v>111.33104566601099</v>
      </c>
      <c r="AC30" s="9">
        <v>111.339971500012</v>
      </c>
      <c r="AD30" s="9">
        <v>111.82434716601</v>
      </c>
      <c r="AE30" s="9">
        <v>111.82434716601</v>
      </c>
      <c r="AF30" s="9">
        <v>111.82434716601</v>
      </c>
      <c r="AG30" s="9">
        <v>112.292829458005</v>
      </c>
      <c r="AH30" s="10" t="s">
        <v>63</v>
      </c>
      <c r="AI30" s="9">
        <v>1</v>
      </c>
      <c r="AJ30" s="9">
        <v>0.464713915993343</v>
      </c>
      <c r="AK30" s="10" t="s">
        <v>51</v>
      </c>
      <c r="AL30" s="8"/>
      <c r="AM30" s="8"/>
      <c r="AN30" s="8"/>
      <c r="AO30" s="9">
        <v>1</v>
      </c>
      <c r="AP30" s="9">
        <v>1</v>
      </c>
      <c r="AQ30" s="10" t="s">
        <v>96</v>
      </c>
      <c r="AR30" s="10" t="s">
        <v>53</v>
      </c>
      <c r="AS30" s="8"/>
      <c r="AT30" s="10" t="s">
        <v>54</v>
      </c>
      <c r="AU30" s="10" t="s">
        <v>51</v>
      </c>
      <c r="AV30" s="10" t="s">
        <v>97</v>
      </c>
      <c r="AW30" s="8"/>
    </row>
    <row r="31" spans="1:49" x14ac:dyDescent="0.15">
      <c r="A31" s="11" t="s">
        <v>70</v>
      </c>
      <c r="B31" s="12" t="s">
        <v>61</v>
      </c>
      <c r="C31" s="10" t="s">
        <v>62</v>
      </c>
      <c r="D31" s="10" t="s">
        <v>63</v>
      </c>
      <c r="E31" s="9">
        <v>94</v>
      </c>
      <c r="F31" s="9">
        <v>94</v>
      </c>
      <c r="G31" s="9">
        <v>1</v>
      </c>
      <c r="H31" s="10" t="s">
        <v>63</v>
      </c>
      <c r="I31" s="9">
        <v>1</v>
      </c>
      <c r="J31" s="9">
        <v>0.433225582994055</v>
      </c>
      <c r="K31" s="10" t="s">
        <v>51</v>
      </c>
      <c r="L31" s="9">
        <v>1</v>
      </c>
      <c r="M31" s="9">
        <v>94</v>
      </c>
      <c r="N31" s="9">
        <v>94</v>
      </c>
      <c r="O31" s="9">
        <v>13</v>
      </c>
      <c r="P31" s="9">
        <v>113.305887166003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9">
        <v>113.296977750011</v>
      </c>
      <c r="AC31" s="9">
        <v>113.305887166003</v>
      </c>
      <c r="AD31" s="9">
        <v>113.790814333013</v>
      </c>
      <c r="AE31" s="9">
        <v>113.790814333013</v>
      </c>
      <c r="AF31" s="9">
        <v>113.790814333013</v>
      </c>
      <c r="AG31" s="9">
        <v>114.22705691600299</v>
      </c>
      <c r="AH31" s="10" t="s">
        <v>63</v>
      </c>
      <c r="AI31" s="9">
        <v>1</v>
      </c>
      <c r="AJ31" s="9">
        <v>0.433225582994055</v>
      </c>
      <c r="AK31" s="10" t="s">
        <v>51</v>
      </c>
      <c r="AL31" s="8"/>
      <c r="AM31" s="8"/>
      <c r="AN31" s="8"/>
      <c r="AO31" s="9">
        <v>1</v>
      </c>
      <c r="AP31" s="9">
        <v>1</v>
      </c>
      <c r="AQ31" s="10" t="s">
        <v>96</v>
      </c>
      <c r="AR31" s="10" t="s">
        <v>53</v>
      </c>
      <c r="AS31" s="8"/>
      <c r="AT31" s="10" t="s">
        <v>54</v>
      </c>
      <c r="AU31" s="10" t="s">
        <v>51</v>
      </c>
      <c r="AV31" s="10" t="s">
        <v>97</v>
      </c>
      <c r="AW31" s="8"/>
    </row>
    <row r="32" spans="1:49" x14ac:dyDescent="0.15">
      <c r="A32" s="11" t="s">
        <v>60</v>
      </c>
      <c r="B32" s="12" t="s">
        <v>61</v>
      </c>
      <c r="C32" s="10" t="s">
        <v>58</v>
      </c>
      <c r="D32" s="10" t="s">
        <v>59</v>
      </c>
      <c r="E32" s="9">
        <v>95</v>
      </c>
      <c r="F32" s="9">
        <v>95</v>
      </c>
      <c r="G32" s="9">
        <v>1</v>
      </c>
      <c r="H32" s="10" t="s">
        <v>59</v>
      </c>
      <c r="I32" s="9">
        <v>1</v>
      </c>
      <c r="J32" s="9">
        <v>0.423726666995208</v>
      </c>
      <c r="K32" s="10" t="s">
        <v>51</v>
      </c>
      <c r="L32" s="9">
        <v>1</v>
      </c>
      <c r="M32" s="9">
        <v>95</v>
      </c>
      <c r="N32" s="9">
        <v>95</v>
      </c>
      <c r="O32" s="9">
        <v>8</v>
      </c>
      <c r="P32" s="9">
        <v>114.240410083003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9">
        <v>114.23149008301</v>
      </c>
      <c r="AC32" s="9">
        <v>114.240410083003</v>
      </c>
      <c r="AD32" s="9">
        <v>114.724255875</v>
      </c>
      <c r="AE32" s="9">
        <v>114.724255875</v>
      </c>
      <c r="AF32" s="9">
        <v>114.724255875</v>
      </c>
      <c r="AG32" s="9">
        <v>115.160024416007</v>
      </c>
      <c r="AH32" s="10" t="s">
        <v>59</v>
      </c>
      <c r="AI32" s="9">
        <v>1</v>
      </c>
      <c r="AJ32" s="9">
        <v>0.423726666995208</v>
      </c>
      <c r="AK32" s="10" t="s">
        <v>51</v>
      </c>
      <c r="AL32" s="8"/>
      <c r="AM32" s="8"/>
      <c r="AN32" s="8"/>
      <c r="AO32" s="9">
        <v>1</v>
      </c>
      <c r="AP32" s="9">
        <v>1</v>
      </c>
      <c r="AQ32" s="10" t="s">
        <v>96</v>
      </c>
      <c r="AR32" s="10" t="s">
        <v>53</v>
      </c>
      <c r="AS32" s="8"/>
      <c r="AT32" s="10" t="s">
        <v>54</v>
      </c>
      <c r="AU32" s="10" t="s">
        <v>51</v>
      </c>
      <c r="AV32" s="10" t="s">
        <v>97</v>
      </c>
      <c r="AW32" s="8"/>
    </row>
    <row r="33" spans="1:49" x14ac:dyDescent="0.15">
      <c r="A33" s="11" t="s">
        <v>79</v>
      </c>
      <c r="B33" s="12" t="s">
        <v>61</v>
      </c>
      <c r="C33" s="10" t="s">
        <v>62</v>
      </c>
      <c r="D33" s="10" t="s">
        <v>63</v>
      </c>
      <c r="E33" s="9">
        <v>102</v>
      </c>
      <c r="F33" s="9">
        <v>102</v>
      </c>
      <c r="G33" s="9">
        <v>1</v>
      </c>
      <c r="H33" s="10" t="s">
        <v>63</v>
      </c>
      <c r="I33" s="9">
        <v>1</v>
      </c>
      <c r="J33" s="9">
        <v>0.62215458300488502</v>
      </c>
      <c r="K33" s="10" t="s">
        <v>51</v>
      </c>
      <c r="L33" s="9">
        <v>1</v>
      </c>
      <c r="M33" s="9">
        <v>102</v>
      </c>
      <c r="N33" s="9">
        <v>102</v>
      </c>
      <c r="O33" s="9">
        <v>7</v>
      </c>
      <c r="P33" s="9">
        <v>120.74588862501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9">
        <v>120.736386416</v>
      </c>
      <c r="AC33" s="9">
        <v>120.74588862501</v>
      </c>
      <c r="AD33" s="9">
        <v>121.233980875011</v>
      </c>
      <c r="AE33" s="9">
        <v>121.233980875011</v>
      </c>
      <c r="AF33" s="9">
        <v>121.233980875011</v>
      </c>
      <c r="AG33" s="9">
        <v>121.859878208008</v>
      </c>
      <c r="AH33" s="10" t="s">
        <v>63</v>
      </c>
      <c r="AI33" s="9">
        <v>1</v>
      </c>
      <c r="AJ33" s="9">
        <v>0.62215458300488502</v>
      </c>
      <c r="AK33" s="10" t="s">
        <v>51</v>
      </c>
      <c r="AL33" s="8"/>
      <c r="AM33" s="8"/>
      <c r="AN33" s="8"/>
      <c r="AO33" s="9">
        <v>1</v>
      </c>
      <c r="AP33" s="9">
        <v>1</v>
      </c>
      <c r="AQ33" s="10" t="s">
        <v>96</v>
      </c>
      <c r="AR33" s="10" t="s">
        <v>53</v>
      </c>
      <c r="AS33" s="8"/>
      <c r="AT33" s="10" t="s">
        <v>54</v>
      </c>
      <c r="AU33" s="10" t="s">
        <v>51</v>
      </c>
      <c r="AV33" s="10" t="s">
        <v>97</v>
      </c>
      <c r="AW33" s="8"/>
    </row>
    <row r="34" spans="1:49" x14ac:dyDescent="0.15">
      <c r="A34" s="11" t="s">
        <v>74</v>
      </c>
      <c r="B34" s="12" t="s">
        <v>61</v>
      </c>
      <c r="C34" s="10" t="s">
        <v>58</v>
      </c>
      <c r="D34" s="10" t="s">
        <v>59</v>
      </c>
      <c r="E34" s="9">
        <v>103</v>
      </c>
      <c r="F34" s="9">
        <v>103</v>
      </c>
      <c r="G34" s="9">
        <v>1</v>
      </c>
      <c r="H34" s="10" t="s">
        <v>59</v>
      </c>
      <c r="I34" s="9">
        <v>1</v>
      </c>
      <c r="J34" s="9">
        <v>0.54832029099634405</v>
      </c>
      <c r="K34" s="10" t="s">
        <v>51</v>
      </c>
      <c r="L34" s="9">
        <v>1</v>
      </c>
      <c r="M34" s="9">
        <v>103</v>
      </c>
      <c r="N34" s="9">
        <v>103</v>
      </c>
      <c r="O34" s="9">
        <v>0</v>
      </c>
      <c r="P34" s="9">
        <v>121.87381754101099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9">
        <v>121.864845250006</v>
      </c>
      <c r="AC34" s="9">
        <v>121.87381754101099</v>
      </c>
      <c r="AD34" s="9">
        <v>122.357810458008</v>
      </c>
      <c r="AE34" s="9">
        <v>122.357810458008</v>
      </c>
      <c r="AF34" s="9">
        <v>122.357810458008</v>
      </c>
      <c r="AG34" s="9">
        <v>122.910040833012</v>
      </c>
      <c r="AH34" s="10" t="s">
        <v>59</v>
      </c>
      <c r="AI34" s="9">
        <v>1</v>
      </c>
      <c r="AJ34" s="9">
        <v>0.54832029099634405</v>
      </c>
      <c r="AK34" s="10" t="s">
        <v>51</v>
      </c>
      <c r="AL34" s="8"/>
      <c r="AM34" s="8"/>
      <c r="AN34" s="8"/>
      <c r="AO34" s="9">
        <v>1</v>
      </c>
      <c r="AP34" s="9">
        <v>1</v>
      </c>
      <c r="AQ34" s="10" t="s">
        <v>96</v>
      </c>
      <c r="AR34" s="10" t="s">
        <v>53</v>
      </c>
      <c r="AS34" s="8"/>
      <c r="AT34" s="10" t="s">
        <v>54</v>
      </c>
      <c r="AU34" s="10" t="s">
        <v>51</v>
      </c>
      <c r="AV34" s="10" t="s">
        <v>97</v>
      </c>
      <c r="AW34" s="8"/>
    </row>
    <row r="35" spans="1:49" x14ac:dyDescent="0.15">
      <c r="A35" s="11" t="s">
        <v>73</v>
      </c>
      <c r="B35" s="12" t="s">
        <v>61</v>
      </c>
      <c r="C35" s="10" t="s">
        <v>58</v>
      </c>
      <c r="D35" s="10" t="s">
        <v>59</v>
      </c>
      <c r="E35" s="9">
        <v>105</v>
      </c>
      <c r="F35" s="9">
        <v>105</v>
      </c>
      <c r="G35" s="9">
        <v>1</v>
      </c>
      <c r="H35" s="10" t="s">
        <v>59</v>
      </c>
      <c r="I35" s="9">
        <v>1</v>
      </c>
      <c r="J35" s="9">
        <v>0.392029208000167</v>
      </c>
      <c r="K35" s="10" t="s">
        <v>51</v>
      </c>
      <c r="L35" s="9">
        <v>1</v>
      </c>
      <c r="M35" s="9">
        <v>105</v>
      </c>
      <c r="N35" s="9">
        <v>105</v>
      </c>
      <c r="O35" s="9">
        <v>14</v>
      </c>
      <c r="P35" s="9">
        <v>123.874852875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9">
        <v>123.865997625006</v>
      </c>
      <c r="AC35" s="9">
        <v>123.874852875</v>
      </c>
      <c r="AD35" s="9">
        <v>124.35802945800199</v>
      </c>
      <c r="AE35" s="9">
        <v>124.35802945800199</v>
      </c>
      <c r="AF35" s="9">
        <v>124.35802945800199</v>
      </c>
      <c r="AG35" s="9">
        <v>124.759571916002</v>
      </c>
      <c r="AH35" s="10" t="s">
        <v>59</v>
      </c>
      <c r="AI35" s="9">
        <v>1</v>
      </c>
      <c r="AJ35" s="9">
        <v>0.392029208000167</v>
      </c>
      <c r="AK35" s="10" t="s">
        <v>51</v>
      </c>
      <c r="AL35" s="8"/>
      <c r="AM35" s="8"/>
      <c r="AN35" s="8"/>
      <c r="AO35" s="9">
        <v>1</v>
      </c>
      <c r="AP35" s="9">
        <v>1</v>
      </c>
      <c r="AQ35" s="10" t="s">
        <v>96</v>
      </c>
      <c r="AR35" s="10" t="s">
        <v>53</v>
      </c>
      <c r="AS35" s="8"/>
      <c r="AT35" s="10" t="s">
        <v>54</v>
      </c>
      <c r="AU35" s="10" t="s">
        <v>51</v>
      </c>
      <c r="AV35" s="10" t="s">
        <v>97</v>
      </c>
      <c r="AW35" s="8"/>
    </row>
    <row r="36" spans="1:49" x14ac:dyDescent="0.15">
      <c r="A36" s="11" t="s">
        <v>73</v>
      </c>
      <c r="B36" s="12" t="s">
        <v>61</v>
      </c>
      <c r="C36" s="10" t="s">
        <v>62</v>
      </c>
      <c r="D36" s="10" t="s">
        <v>63</v>
      </c>
      <c r="E36" s="9">
        <v>107</v>
      </c>
      <c r="F36" s="9">
        <v>107</v>
      </c>
      <c r="G36" s="9">
        <v>1</v>
      </c>
      <c r="H36" s="10" t="s">
        <v>63</v>
      </c>
      <c r="I36" s="9">
        <v>1</v>
      </c>
      <c r="J36" s="9">
        <v>0.38247629099350899</v>
      </c>
      <c r="K36" s="10" t="s">
        <v>51</v>
      </c>
      <c r="L36" s="9">
        <v>1</v>
      </c>
      <c r="M36" s="9">
        <v>107</v>
      </c>
      <c r="N36" s="9">
        <v>107</v>
      </c>
      <c r="O36" s="9">
        <v>15</v>
      </c>
      <c r="P36" s="9">
        <v>125.640862500004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9">
        <v>125.63214229101099</v>
      </c>
      <c r="AC36" s="9">
        <v>125.640862500004</v>
      </c>
      <c r="AD36" s="9">
        <v>126.12573570800301</v>
      </c>
      <c r="AE36" s="9">
        <v>126.12573570800301</v>
      </c>
      <c r="AF36" s="9">
        <v>126.12573570800301</v>
      </c>
      <c r="AG36" s="9">
        <v>126.51040212500099</v>
      </c>
      <c r="AH36" s="10" t="s">
        <v>63</v>
      </c>
      <c r="AI36" s="9">
        <v>1</v>
      </c>
      <c r="AJ36" s="9">
        <v>0.38247629099350899</v>
      </c>
      <c r="AK36" s="10" t="s">
        <v>51</v>
      </c>
      <c r="AL36" s="8"/>
      <c r="AM36" s="8"/>
      <c r="AN36" s="8"/>
      <c r="AO36" s="9">
        <v>1</v>
      </c>
      <c r="AP36" s="9">
        <v>1</v>
      </c>
      <c r="AQ36" s="10" t="s">
        <v>96</v>
      </c>
      <c r="AR36" s="10" t="s">
        <v>53</v>
      </c>
      <c r="AS36" s="8"/>
      <c r="AT36" s="10" t="s">
        <v>54</v>
      </c>
      <c r="AU36" s="10" t="s">
        <v>51</v>
      </c>
      <c r="AV36" s="10" t="s">
        <v>97</v>
      </c>
      <c r="AW36" s="8"/>
    </row>
    <row r="37" spans="1:49" x14ac:dyDescent="0.15">
      <c r="A37" s="11" t="s">
        <v>83</v>
      </c>
      <c r="B37" s="12" t="s">
        <v>61</v>
      </c>
      <c r="C37" s="10" t="s">
        <v>62</v>
      </c>
      <c r="D37" s="10" t="s">
        <v>63</v>
      </c>
      <c r="E37" s="9">
        <v>108</v>
      </c>
      <c r="F37" s="9">
        <v>108</v>
      </c>
      <c r="G37" s="9">
        <v>2</v>
      </c>
      <c r="H37" s="10" t="s">
        <v>63</v>
      </c>
      <c r="I37" s="9">
        <v>1</v>
      </c>
      <c r="J37" s="9">
        <v>0.58528129100159298</v>
      </c>
      <c r="K37" s="10" t="s">
        <v>51</v>
      </c>
      <c r="L37" s="9">
        <v>2</v>
      </c>
      <c r="M37" s="9">
        <v>108</v>
      </c>
      <c r="N37" s="9">
        <v>108</v>
      </c>
      <c r="O37" s="9">
        <v>3</v>
      </c>
      <c r="P37" s="9">
        <v>126.52452687500001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9">
        <v>126.51491495801</v>
      </c>
      <c r="AC37" s="9">
        <v>126.52452687500001</v>
      </c>
      <c r="AD37" s="9">
        <v>127.00788787500601</v>
      </c>
      <c r="AE37" s="9">
        <v>127.00788787500601</v>
      </c>
      <c r="AF37" s="9">
        <v>127.00788787500601</v>
      </c>
      <c r="AG37" s="9">
        <v>127.599589958001</v>
      </c>
      <c r="AH37" s="10" t="s">
        <v>63</v>
      </c>
      <c r="AI37" s="9">
        <v>1</v>
      </c>
      <c r="AJ37" s="9">
        <v>0.58528129100159298</v>
      </c>
      <c r="AK37" s="10" t="s">
        <v>51</v>
      </c>
      <c r="AL37" s="8"/>
      <c r="AM37" s="8"/>
      <c r="AN37" s="8"/>
      <c r="AO37" s="9">
        <v>1</v>
      </c>
      <c r="AP37" s="9">
        <v>1</v>
      </c>
      <c r="AQ37" s="10" t="s">
        <v>96</v>
      </c>
      <c r="AR37" s="10" t="s">
        <v>53</v>
      </c>
      <c r="AS37" s="8"/>
      <c r="AT37" s="10" t="s">
        <v>54</v>
      </c>
      <c r="AU37" s="10" t="s">
        <v>51</v>
      </c>
      <c r="AV37" s="10" t="s">
        <v>97</v>
      </c>
      <c r="AW37" s="8"/>
    </row>
    <row r="38" spans="1:49" x14ac:dyDescent="0.15">
      <c r="A38" s="11" t="s">
        <v>74</v>
      </c>
      <c r="B38" s="12" t="s">
        <v>61</v>
      </c>
      <c r="C38" s="10" t="s">
        <v>62</v>
      </c>
      <c r="D38" s="10" t="s">
        <v>63</v>
      </c>
      <c r="E38" s="9">
        <v>109</v>
      </c>
      <c r="F38" s="9">
        <v>109</v>
      </c>
      <c r="G38" s="9">
        <v>2</v>
      </c>
      <c r="H38" s="10" t="s">
        <v>63</v>
      </c>
      <c r="I38" s="9">
        <v>1</v>
      </c>
      <c r="J38" s="9">
        <v>0.37968600000022001</v>
      </c>
      <c r="K38" s="10" t="s">
        <v>51</v>
      </c>
      <c r="L38" s="9">
        <v>2</v>
      </c>
      <c r="M38" s="9">
        <v>109</v>
      </c>
      <c r="N38" s="9">
        <v>109</v>
      </c>
      <c r="O38" s="9">
        <v>1</v>
      </c>
      <c r="P38" s="9">
        <v>127.613597916003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9">
        <v>127.603819000011</v>
      </c>
      <c r="AC38" s="9">
        <v>127.613597916003</v>
      </c>
      <c r="AD38" s="9">
        <v>128.10059395800599</v>
      </c>
      <c r="AE38" s="9">
        <v>128.10059395800599</v>
      </c>
      <c r="AF38" s="9">
        <v>128.10059395800599</v>
      </c>
      <c r="AG38" s="9">
        <v>128.48257695800601</v>
      </c>
      <c r="AH38" s="10" t="s">
        <v>63</v>
      </c>
      <c r="AI38" s="9">
        <v>1</v>
      </c>
      <c r="AJ38" s="9">
        <v>0.37968600000022001</v>
      </c>
      <c r="AK38" s="10" t="s">
        <v>51</v>
      </c>
      <c r="AL38" s="8"/>
      <c r="AM38" s="8"/>
      <c r="AN38" s="8"/>
      <c r="AO38" s="9">
        <v>1</v>
      </c>
      <c r="AP38" s="9">
        <v>1</v>
      </c>
      <c r="AQ38" s="10" t="s">
        <v>96</v>
      </c>
      <c r="AR38" s="10" t="s">
        <v>53</v>
      </c>
      <c r="AS38" s="8"/>
      <c r="AT38" s="10" t="s">
        <v>54</v>
      </c>
      <c r="AU38" s="10" t="s">
        <v>51</v>
      </c>
      <c r="AV38" s="10" t="s">
        <v>97</v>
      </c>
      <c r="AW38" s="8"/>
    </row>
    <row r="39" spans="1:49" x14ac:dyDescent="0.15">
      <c r="A39" s="11" t="s">
        <v>64</v>
      </c>
      <c r="B39" s="12" t="s">
        <v>61</v>
      </c>
      <c r="C39" s="10" t="s">
        <v>58</v>
      </c>
      <c r="D39" s="10" t="s">
        <v>59</v>
      </c>
      <c r="E39" s="9">
        <v>115</v>
      </c>
      <c r="F39" s="9">
        <v>115</v>
      </c>
      <c r="G39" s="9">
        <v>2</v>
      </c>
      <c r="H39" s="10" t="s">
        <v>59</v>
      </c>
      <c r="I39" s="9">
        <v>1</v>
      </c>
      <c r="J39" s="9">
        <v>0.40932524899835698</v>
      </c>
      <c r="K39" s="10" t="s">
        <v>51</v>
      </c>
      <c r="L39" s="9">
        <v>2</v>
      </c>
      <c r="M39" s="9">
        <v>115</v>
      </c>
      <c r="N39" s="9">
        <v>115</v>
      </c>
      <c r="O39" s="9">
        <v>4</v>
      </c>
      <c r="P39" s="9">
        <v>133.51423100000801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9">
        <v>133.50482558300399</v>
      </c>
      <c r="AC39" s="9">
        <v>133.51423100000801</v>
      </c>
      <c r="AD39" s="9">
        <v>134.000888666007</v>
      </c>
      <c r="AE39" s="9">
        <v>134.000888666007</v>
      </c>
      <c r="AF39" s="9">
        <v>134.000888666007</v>
      </c>
      <c r="AG39" s="9">
        <v>134.41620995801401</v>
      </c>
      <c r="AH39" s="10" t="s">
        <v>59</v>
      </c>
      <c r="AI39" s="9">
        <v>1</v>
      </c>
      <c r="AJ39" s="9">
        <v>0.40932524899835698</v>
      </c>
      <c r="AK39" s="10" t="s">
        <v>51</v>
      </c>
      <c r="AL39" s="8"/>
      <c r="AM39" s="8"/>
      <c r="AN39" s="8"/>
      <c r="AO39" s="9">
        <v>1</v>
      </c>
      <c r="AP39" s="9">
        <v>1</v>
      </c>
      <c r="AQ39" s="10" t="s">
        <v>96</v>
      </c>
      <c r="AR39" s="10" t="s">
        <v>53</v>
      </c>
      <c r="AS39" s="8"/>
      <c r="AT39" s="10" t="s">
        <v>54</v>
      </c>
      <c r="AU39" s="10" t="s">
        <v>51</v>
      </c>
      <c r="AV39" s="10" t="s">
        <v>97</v>
      </c>
      <c r="AW39" s="8"/>
    </row>
    <row r="40" spans="1:49" x14ac:dyDescent="0.15">
      <c r="A40" s="11" t="s">
        <v>74</v>
      </c>
      <c r="B40" s="12" t="s">
        <v>61</v>
      </c>
      <c r="C40" s="10" t="s">
        <v>58</v>
      </c>
      <c r="D40" s="10" t="s">
        <v>59</v>
      </c>
      <c r="E40" s="9">
        <v>116</v>
      </c>
      <c r="F40" s="9">
        <v>116</v>
      </c>
      <c r="G40" s="9">
        <v>2</v>
      </c>
      <c r="H40" s="10" t="s">
        <v>59</v>
      </c>
      <c r="I40" s="9">
        <v>1</v>
      </c>
      <c r="J40" s="9">
        <v>0.47918812499847302</v>
      </c>
      <c r="K40" s="10" t="s">
        <v>51</v>
      </c>
      <c r="L40" s="9">
        <v>2</v>
      </c>
      <c r="M40" s="9">
        <v>116</v>
      </c>
      <c r="N40" s="9">
        <v>116</v>
      </c>
      <c r="O40" s="9">
        <v>0</v>
      </c>
      <c r="P40" s="9">
        <v>134.430046583002</v>
      </c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9">
        <v>134.42077870800901</v>
      </c>
      <c r="AC40" s="9">
        <v>134.430046583002</v>
      </c>
      <c r="AD40" s="9">
        <v>134.91811595800399</v>
      </c>
      <c r="AE40" s="9">
        <v>134.91811595800399</v>
      </c>
      <c r="AF40" s="9">
        <v>134.91811595800399</v>
      </c>
      <c r="AG40" s="9">
        <v>135.399489375006</v>
      </c>
      <c r="AH40" s="10" t="s">
        <v>59</v>
      </c>
      <c r="AI40" s="9">
        <v>1</v>
      </c>
      <c r="AJ40" s="9">
        <v>0.47918812499847302</v>
      </c>
      <c r="AK40" s="10" t="s">
        <v>51</v>
      </c>
      <c r="AL40" s="8"/>
      <c r="AM40" s="8"/>
      <c r="AN40" s="8"/>
      <c r="AO40" s="9">
        <v>1</v>
      </c>
      <c r="AP40" s="9">
        <v>1</v>
      </c>
      <c r="AQ40" s="10" t="s">
        <v>96</v>
      </c>
      <c r="AR40" s="10" t="s">
        <v>53</v>
      </c>
      <c r="AS40" s="8"/>
      <c r="AT40" s="10" t="s">
        <v>54</v>
      </c>
      <c r="AU40" s="10" t="s">
        <v>51</v>
      </c>
      <c r="AV40" s="10" t="s">
        <v>97</v>
      </c>
      <c r="AW40" s="8"/>
    </row>
    <row r="41" spans="1:49" x14ac:dyDescent="0.15">
      <c r="A41" s="11" t="s">
        <v>85</v>
      </c>
      <c r="B41" s="12" t="s">
        <v>61</v>
      </c>
      <c r="C41" s="10" t="s">
        <v>58</v>
      </c>
      <c r="D41" s="10" t="s">
        <v>59</v>
      </c>
      <c r="E41" s="9">
        <v>117</v>
      </c>
      <c r="F41" s="9">
        <v>117</v>
      </c>
      <c r="G41" s="9">
        <v>2</v>
      </c>
      <c r="H41" s="10" t="s">
        <v>59</v>
      </c>
      <c r="I41" s="9">
        <v>1</v>
      </c>
      <c r="J41" s="9">
        <v>0.376565540995216</v>
      </c>
      <c r="K41" s="10" t="s">
        <v>51</v>
      </c>
      <c r="L41" s="9">
        <v>2</v>
      </c>
      <c r="M41" s="9">
        <v>117</v>
      </c>
      <c r="N41" s="9">
        <v>117</v>
      </c>
      <c r="O41" s="9">
        <v>10</v>
      </c>
      <c r="P41" s="9">
        <v>135.41326429101201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9">
        <v>135.40409208300099</v>
      </c>
      <c r="AC41" s="9">
        <v>135.41326429101201</v>
      </c>
      <c r="AD41" s="9">
        <v>135.90172970801399</v>
      </c>
      <c r="AE41" s="9">
        <v>135.90172970801399</v>
      </c>
      <c r="AF41" s="9">
        <v>135.90172970801399</v>
      </c>
      <c r="AG41" s="9">
        <v>136.282474791005</v>
      </c>
      <c r="AH41" s="10" t="s">
        <v>59</v>
      </c>
      <c r="AI41" s="9">
        <v>1</v>
      </c>
      <c r="AJ41" s="9">
        <v>0.376565540995216</v>
      </c>
      <c r="AK41" s="10" t="s">
        <v>51</v>
      </c>
      <c r="AL41" s="8"/>
      <c r="AM41" s="8"/>
      <c r="AN41" s="8"/>
      <c r="AO41" s="9">
        <v>1</v>
      </c>
      <c r="AP41" s="9">
        <v>1</v>
      </c>
      <c r="AQ41" s="10" t="s">
        <v>96</v>
      </c>
      <c r="AR41" s="10" t="s">
        <v>53</v>
      </c>
      <c r="AS41" s="8"/>
      <c r="AT41" s="10" t="s">
        <v>54</v>
      </c>
      <c r="AU41" s="10" t="s">
        <v>51</v>
      </c>
      <c r="AV41" s="10" t="s">
        <v>97</v>
      </c>
      <c r="AW41" s="8"/>
    </row>
    <row r="42" spans="1:49" x14ac:dyDescent="0.15">
      <c r="A42" s="11" t="s">
        <v>64</v>
      </c>
      <c r="B42" s="12" t="s">
        <v>61</v>
      </c>
      <c r="C42" s="10" t="s">
        <v>58</v>
      </c>
      <c r="D42" s="10" t="s">
        <v>59</v>
      </c>
      <c r="E42" s="9">
        <v>118</v>
      </c>
      <c r="F42" s="9">
        <v>118</v>
      </c>
      <c r="G42" s="9">
        <v>3</v>
      </c>
      <c r="H42" s="10" t="s">
        <v>59</v>
      </c>
      <c r="I42" s="9">
        <v>1</v>
      </c>
      <c r="J42" s="9">
        <v>0.60017766601231404</v>
      </c>
      <c r="K42" s="10" t="s">
        <v>51</v>
      </c>
      <c r="L42" s="9">
        <v>3</v>
      </c>
      <c r="M42" s="9">
        <v>118</v>
      </c>
      <c r="N42" s="9">
        <v>118</v>
      </c>
      <c r="O42" s="9">
        <v>4</v>
      </c>
      <c r="P42" s="9">
        <v>136.29656841600101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9">
        <v>136.28637108301299</v>
      </c>
      <c r="AC42" s="9">
        <v>136.29656841600101</v>
      </c>
      <c r="AD42" s="9">
        <v>136.78417354100401</v>
      </c>
      <c r="AE42" s="9">
        <v>136.78417354100401</v>
      </c>
      <c r="AF42" s="9">
        <v>136.78417354100401</v>
      </c>
      <c r="AG42" s="9">
        <v>137.39384879100501</v>
      </c>
      <c r="AH42" s="10" t="s">
        <v>59</v>
      </c>
      <c r="AI42" s="9">
        <v>1</v>
      </c>
      <c r="AJ42" s="9">
        <v>0.60017766601231404</v>
      </c>
      <c r="AK42" s="10" t="s">
        <v>51</v>
      </c>
      <c r="AL42" s="8"/>
      <c r="AM42" s="8"/>
      <c r="AN42" s="8"/>
      <c r="AO42" s="9">
        <v>1</v>
      </c>
      <c r="AP42" s="9">
        <v>1</v>
      </c>
      <c r="AQ42" s="10" t="s">
        <v>96</v>
      </c>
      <c r="AR42" s="10" t="s">
        <v>53</v>
      </c>
      <c r="AS42" s="8"/>
      <c r="AT42" s="10" t="s">
        <v>54</v>
      </c>
      <c r="AU42" s="10" t="s">
        <v>51</v>
      </c>
      <c r="AV42" s="10" t="s">
        <v>97</v>
      </c>
      <c r="AW42" s="8"/>
    </row>
    <row r="43" spans="1:49" x14ac:dyDescent="0.15">
      <c r="A43" s="11" t="s">
        <v>83</v>
      </c>
      <c r="B43" s="12" t="s">
        <v>61</v>
      </c>
      <c r="C43" s="10" t="s">
        <v>58</v>
      </c>
      <c r="D43" s="10" t="s">
        <v>59</v>
      </c>
      <c r="E43" s="9">
        <v>119</v>
      </c>
      <c r="F43" s="9">
        <v>119</v>
      </c>
      <c r="G43" s="9">
        <v>1</v>
      </c>
      <c r="H43" s="10" t="s">
        <v>59</v>
      </c>
      <c r="I43" s="9">
        <v>1</v>
      </c>
      <c r="J43" s="9">
        <v>0.38662708300398702</v>
      </c>
      <c r="K43" s="10" t="s">
        <v>51</v>
      </c>
      <c r="L43" s="9">
        <v>1</v>
      </c>
      <c r="M43" s="9">
        <v>119</v>
      </c>
      <c r="N43" s="9">
        <v>119</v>
      </c>
      <c r="O43" s="9">
        <v>2</v>
      </c>
      <c r="P43" s="9">
        <v>137.40698658301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9">
        <v>137.39786970800199</v>
      </c>
      <c r="AC43" s="9">
        <v>137.40698658301</v>
      </c>
      <c r="AD43" s="9">
        <v>137.89164108301301</v>
      </c>
      <c r="AE43" s="9">
        <v>137.89164108301301</v>
      </c>
      <c r="AF43" s="9">
        <v>137.89164108301301</v>
      </c>
      <c r="AG43" s="9">
        <v>138.282799000008</v>
      </c>
      <c r="AH43" s="10" t="s">
        <v>59</v>
      </c>
      <c r="AI43" s="9">
        <v>1</v>
      </c>
      <c r="AJ43" s="9">
        <v>0.38662708300398702</v>
      </c>
      <c r="AK43" s="10" t="s">
        <v>51</v>
      </c>
      <c r="AL43" s="8"/>
      <c r="AM43" s="8"/>
      <c r="AN43" s="8"/>
      <c r="AO43" s="9">
        <v>1</v>
      </c>
      <c r="AP43" s="9">
        <v>1</v>
      </c>
      <c r="AQ43" s="10" t="s">
        <v>96</v>
      </c>
      <c r="AR43" s="10" t="s">
        <v>53</v>
      </c>
      <c r="AS43" s="8"/>
      <c r="AT43" s="10" t="s">
        <v>54</v>
      </c>
      <c r="AU43" s="10" t="s">
        <v>51</v>
      </c>
      <c r="AV43" s="10" t="s">
        <v>97</v>
      </c>
      <c r="AW43" s="8"/>
    </row>
    <row r="44" spans="1:49" x14ac:dyDescent="0.15">
      <c r="A44" s="11" t="s">
        <v>74</v>
      </c>
      <c r="B44" s="12" t="s">
        <v>61</v>
      </c>
      <c r="C44" s="10" t="s">
        <v>58</v>
      </c>
      <c r="D44" s="10" t="s">
        <v>59</v>
      </c>
      <c r="E44" s="9">
        <v>125</v>
      </c>
      <c r="F44" s="9">
        <v>125</v>
      </c>
      <c r="G44" s="9">
        <v>3</v>
      </c>
      <c r="H44" s="10" t="s">
        <v>59</v>
      </c>
      <c r="I44" s="9">
        <v>1</v>
      </c>
      <c r="J44" s="9">
        <v>0.370088582989411</v>
      </c>
      <c r="K44" s="10" t="s">
        <v>51</v>
      </c>
      <c r="L44" s="9">
        <v>3</v>
      </c>
      <c r="M44" s="9">
        <v>125</v>
      </c>
      <c r="N44" s="9">
        <v>125</v>
      </c>
      <c r="O44" s="9">
        <v>0</v>
      </c>
      <c r="P44" s="9">
        <v>143.59667566600501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9">
        <v>143.58746829100701</v>
      </c>
      <c r="AC44" s="9">
        <v>143.59667566600501</v>
      </c>
      <c r="AD44" s="9">
        <v>144.08540120800899</v>
      </c>
      <c r="AE44" s="9">
        <v>144.08540120800899</v>
      </c>
      <c r="AF44" s="9">
        <v>144.08540120800899</v>
      </c>
      <c r="AG44" s="9">
        <v>144.46110854099999</v>
      </c>
      <c r="AH44" s="10" t="s">
        <v>59</v>
      </c>
      <c r="AI44" s="9">
        <v>1</v>
      </c>
      <c r="AJ44" s="9">
        <v>0.370088582989411</v>
      </c>
      <c r="AK44" s="10" t="s">
        <v>51</v>
      </c>
      <c r="AL44" s="8"/>
      <c r="AM44" s="8"/>
      <c r="AN44" s="8"/>
      <c r="AO44" s="9">
        <v>1</v>
      </c>
      <c r="AP44" s="9">
        <v>1</v>
      </c>
      <c r="AQ44" s="10" t="s">
        <v>96</v>
      </c>
      <c r="AR44" s="10" t="s">
        <v>53</v>
      </c>
      <c r="AS44" s="8"/>
      <c r="AT44" s="10" t="s">
        <v>54</v>
      </c>
      <c r="AU44" s="10" t="s">
        <v>51</v>
      </c>
      <c r="AV44" s="10" t="s">
        <v>97</v>
      </c>
      <c r="AW44" s="8"/>
    </row>
    <row r="45" spans="1:49" x14ac:dyDescent="0.15">
      <c r="A45" s="11" t="s">
        <v>83</v>
      </c>
      <c r="B45" s="12" t="s">
        <v>61</v>
      </c>
      <c r="C45" s="10" t="s">
        <v>62</v>
      </c>
      <c r="D45" s="10" t="s">
        <v>63</v>
      </c>
      <c r="E45" s="9">
        <v>128</v>
      </c>
      <c r="F45" s="9">
        <v>128</v>
      </c>
      <c r="G45" s="9">
        <v>3</v>
      </c>
      <c r="H45" s="10" t="s">
        <v>63</v>
      </c>
      <c r="I45" s="9">
        <v>1</v>
      </c>
      <c r="J45" s="9">
        <v>0.34969220800849099</v>
      </c>
      <c r="K45" s="10" t="s">
        <v>51</v>
      </c>
      <c r="L45" s="9">
        <v>3</v>
      </c>
      <c r="M45" s="9">
        <v>128</v>
      </c>
      <c r="N45" s="9">
        <v>128</v>
      </c>
      <c r="O45" s="9">
        <v>3</v>
      </c>
      <c r="P45" s="9">
        <v>146.330260000002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9">
        <v>146.32054695801301</v>
      </c>
      <c r="AC45" s="9">
        <v>146.330260000002</v>
      </c>
      <c r="AD45" s="9">
        <v>146.808935458001</v>
      </c>
      <c r="AE45" s="9">
        <v>146.808935458001</v>
      </c>
      <c r="AF45" s="9">
        <v>146.808935458001</v>
      </c>
      <c r="AG45" s="9">
        <v>147.161136666007</v>
      </c>
      <c r="AH45" s="10" t="s">
        <v>63</v>
      </c>
      <c r="AI45" s="9">
        <v>1</v>
      </c>
      <c r="AJ45" s="9">
        <v>0.34969220800849099</v>
      </c>
      <c r="AK45" s="10" t="s">
        <v>51</v>
      </c>
      <c r="AL45" s="8"/>
      <c r="AM45" s="8"/>
      <c r="AN45" s="8"/>
      <c r="AO45" s="9">
        <v>1</v>
      </c>
      <c r="AP45" s="9">
        <v>1</v>
      </c>
      <c r="AQ45" s="10" t="s">
        <v>96</v>
      </c>
      <c r="AR45" s="10" t="s">
        <v>53</v>
      </c>
      <c r="AS45" s="8"/>
      <c r="AT45" s="10" t="s">
        <v>54</v>
      </c>
      <c r="AU45" s="10" t="s">
        <v>51</v>
      </c>
      <c r="AV45" s="10" t="s">
        <v>97</v>
      </c>
      <c r="AW45" s="8"/>
    </row>
    <row r="46" spans="1:49" x14ac:dyDescent="0.15">
      <c r="A46" s="11" t="s">
        <v>79</v>
      </c>
      <c r="B46" s="12" t="s">
        <v>61</v>
      </c>
      <c r="C46" s="10" t="s">
        <v>58</v>
      </c>
      <c r="D46" s="10" t="s">
        <v>59</v>
      </c>
      <c r="E46" s="9">
        <v>130</v>
      </c>
      <c r="F46" s="9">
        <v>130</v>
      </c>
      <c r="G46" s="9">
        <v>2</v>
      </c>
      <c r="H46" s="10" t="s">
        <v>59</v>
      </c>
      <c r="I46" s="9">
        <v>1</v>
      </c>
      <c r="J46" s="9">
        <v>0.50203045801026802</v>
      </c>
      <c r="K46" s="10" t="s">
        <v>51</v>
      </c>
      <c r="L46" s="9">
        <v>2</v>
      </c>
      <c r="M46" s="9">
        <v>130</v>
      </c>
      <c r="N46" s="9">
        <v>130</v>
      </c>
      <c r="O46" s="9">
        <v>6</v>
      </c>
      <c r="P46" s="9">
        <v>147.940989333001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9">
        <v>147.931999208013</v>
      </c>
      <c r="AC46" s="9">
        <v>147.940989333001</v>
      </c>
      <c r="AD46" s="9">
        <v>148.425510375004</v>
      </c>
      <c r="AE46" s="9">
        <v>148.425510375004</v>
      </c>
      <c r="AF46" s="9">
        <v>148.425510375004</v>
      </c>
      <c r="AG46" s="9">
        <v>148.93398070801101</v>
      </c>
      <c r="AH46" s="10" t="s">
        <v>59</v>
      </c>
      <c r="AI46" s="9">
        <v>1</v>
      </c>
      <c r="AJ46" s="9">
        <v>0.50203045801026802</v>
      </c>
      <c r="AK46" s="10" t="s">
        <v>51</v>
      </c>
      <c r="AL46" s="8"/>
      <c r="AM46" s="8"/>
      <c r="AN46" s="8"/>
      <c r="AO46" s="9">
        <v>1</v>
      </c>
      <c r="AP46" s="9">
        <v>1</v>
      </c>
      <c r="AQ46" s="10" t="s">
        <v>96</v>
      </c>
      <c r="AR46" s="10" t="s">
        <v>53</v>
      </c>
      <c r="AS46" s="8"/>
      <c r="AT46" s="10" t="s">
        <v>54</v>
      </c>
      <c r="AU46" s="10" t="s">
        <v>51</v>
      </c>
      <c r="AV46" s="10" t="s">
        <v>97</v>
      </c>
      <c r="AW46" s="8"/>
    </row>
    <row r="47" spans="1:49" x14ac:dyDescent="0.15">
      <c r="A47" s="11" t="s">
        <v>70</v>
      </c>
      <c r="B47" s="12" t="s">
        <v>61</v>
      </c>
      <c r="C47" s="10" t="s">
        <v>62</v>
      </c>
      <c r="D47" s="10" t="s">
        <v>63</v>
      </c>
      <c r="E47" s="9">
        <v>132</v>
      </c>
      <c r="F47" s="9">
        <v>132</v>
      </c>
      <c r="G47" s="9">
        <v>2</v>
      </c>
      <c r="H47" s="10" t="s">
        <v>63</v>
      </c>
      <c r="I47" s="9">
        <v>1</v>
      </c>
      <c r="J47" s="9">
        <v>0.50737470800231699</v>
      </c>
      <c r="K47" s="10" t="s">
        <v>51</v>
      </c>
      <c r="L47" s="9">
        <v>2</v>
      </c>
      <c r="M47" s="9">
        <v>132</v>
      </c>
      <c r="N47" s="9">
        <v>132</v>
      </c>
      <c r="O47" s="9">
        <v>13</v>
      </c>
      <c r="P47" s="9">
        <v>149.797160665999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9">
        <v>149.78967504100001</v>
      </c>
      <c r="AC47" s="9">
        <v>149.797160665999</v>
      </c>
      <c r="AD47" s="9">
        <v>150.284450625011</v>
      </c>
      <c r="AE47" s="9">
        <v>150.284450625011</v>
      </c>
      <c r="AF47" s="9">
        <v>150.284450625011</v>
      </c>
      <c r="AG47" s="9">
        <v>150.794623708003</v>
      </c>
      <c r="AH47" s="10" t="s">
        <v>63</v>
      </c>
      <c r="AI47" s="9">
        <v>1</v>
      </c>
      <c r="AJ47" s="9">
        <v>0.50737470800231699</v>
      </c>
      <c r="AK47" s="10" t="s">
        <v>51</v>
      </c>
      <c r="AL47" s="8"/>
      <c r="AM47" s="8"/>
      <c r="AN47" s="8"/>
      <c r="AO47" s="9">
        <v>1</v>
      </c>
      <c r="AP47" s="9">
        <v>1</v>
      </c>
      <c r="AQ47" s="10" t="s">
        <v>96</v>
      </c>
      <c r="AR47" s="10" t="s">
        <v>53</v>
      </c>
      <c r="AS47" s="8"/>
      <c r="AT47" s="10" t="s">
        <v>54</v>
      </c>
      <c r="AU47" s="10" t="s">
        <v>51</v>
      </c>
      <c r="AV47" s="10" t="s">
        <v>97</v>
      </c>
      <c r="AW47" s="8"/>
    </row>
    <row r="48" spans="1:49" x14ac:dyDescent="0.15">
      <c r="A48" s="11" t="s">
        <v>73</v>
      </c>
      <c r="B48" s="12" t="s">
        <v>61</v>
      </c>
      <c r="C48" s="10" t="s">
        <v>58</v>
      </c>
      <c r="D48" s="10" t="s">
        <v>59</v>
      </c>
      <c r="E48" s="9">
        <v>135</v>
      </c>
      <c r="F48" s="9">
        <v>135</v>
      </c>
      <c r="G48" s="9">
        <v>2</v>
      </c>
      <c r="H48" s="10" t="s">
        <v>59</v>
      </c>
      <c r="I48" s="9">
        <v>1</v>
      </c>
      <c r="J48" s="9">
        <v>0.36148279199551298</v>
      </c>
      <c r="K48" s="10" t="s">
        <v>51</v>
      </c>
      <c r="L48" s="9">
        <v>2</v>
      </c>
      <c r="M48" s="9">
        <v>135</v>
      </c>
      <c r="N48" s="9">
        <v>135</v>
      </c>
      <c r="O48" s="9">
        <v>14</v>
      </c>
      <c r="P48" s="9">
        <v>152.77315995800001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9">
        <v>152.76451587500901</v>
      </c>
      <c r="AC48" s="9">
        <v>152.77315995800001</v>
      </c>
      <c r="AD48" s="9">
        <v>153.259106208003</v>
      </c>
      <c r="AE48" s="9">
        <v>153.259106208003</v>
      </c>
      <c r="AF48" s="9">
        <v>153.259106208003</v>
      </c>
      <c r="AG48" s="9">
        <v>153.62766783300299</v>
      </c>
      <c r="AH48" s="10" t="s">
        <v>59</v>
      </c>
      <c r="AI48" s="9">
        <v>1</v>
      </c>
      <c r="AJ48" s="9">
        <v>0.36148279199551298</v>
      </c>
      <c r="AK48" s="10" t="s">
        <v>51</v>
      </c>
      <c r="AL48" s="8"/>
      <c r="AM48" s="8"/>
      <c r="AN48" s="8"/>
      <c r="AO48" s="9">
        <v>1</v>
      </c>
      <c r="AP48" s="9">
        <v>1</v>
      </c>
      <c r="AQ48" s="10" t="s">
        <v>96</v>
      </c>
      <c r="AR48" s="10" t="s">
        <v>53</v>
      </c>
      <c r="AS48" s="8"/>
      <c r="AT48" s="10" t="s">
        <v>54</v>
      </c>
      <c r="AU48" s="10" t="s">
        <v>51</v>
      </c>
      <c r="AV48" s="10" t="s">
        <v>97</v>
      </c>
      <c r="AW48" s="8"/>
    </row>
    <row r="49" spans="1:49" x14ac:dyDescent="0.15">
      <c r="A49" s="11" t="s">
        <v>83</v>
      </c>
      <c r="B49" s="12" t="s">
        <v>61</v>
      </c>
      <c r="C49" s="10" t="s">
        <v>58</v>
      </c>
      <c r="D49" s="10" t="s">
        <v>59</v>
      </c>
      <c r="E49" s="9">
        <v>137</v>
      </c>
      <c r="F49" s="9">
        <v>137</v>
      </c>
      <c r="G49" s="9">
        <v>2</v>
      </c>
      <c r="H49" s="10" t="s">
        <v>59</v>
      </c>
      <c r="I49" s="9">
        <v>1</v>
      </c>
      <c r="J49" s="9">
        <v>0.50783604099706303</v>
      </c>
      <c r="K49" s="10" t="s">
        <v>51</v>
      </c>
      <c r="L49" s="9">
        <v>2</v>
      </c>
      <c r="M49" s="9">
        <v>137</v>
      </c>
      <c r="N49" s="9">
        <v>137</v>
      </c>
      <c r="O49" s="9">
        <v>2</v>
      </c>
      <c r="P49" s="9">
        <v>154.64066091600401</v>
      </c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9">
        <v>154.63190291600799</v>
      </c>
      <c r="AC49" s="9">
        <v>154.64066091600401</v>
      </c>
      <c r="AD49" s="9">
        <v>155.12568745799899</v>
      </c>
      <c r="AE49" s="9">
        <v>155.12568745799899</v>
      </c>
      <c r="AF49" s="9">
        <v>155.12568745799899</v>
      </c>
      <c r="AG49" s="9">
        <v>155.64429741600199</v>
      </c>
      <c r="AH49" s="10" t="s">
        <v>59</v>
      </c>
      <c r="AI49" s="9">
        <v>1</v>
      </c>
      <c r="AJ49" s="9">
        <v>0.50783604099706303</v>
      </c>
      <c r="AK49" s="10" t="s">
        <v>51</v>
      </c>
      <c r="AL49" s="8"/>
      <c r="AM49" s="8"/>
      <c r="AN49" s="8"/>
      <c r="AO49" s="9">
        <v>1</v>
      </c>
      <c r="AP49" s="9">
        <v>1</v>
      </c>
      <c r="AQ49" s="10" t="s">
        <v>96</v>
      </c>
      <c r="AR49" s="10" t="s">
        <v>53</v>
      </c>
      <c r="AS49" s="8"/>
      <c r="AT49" s="10" t="s">
        <v>54</v>
      </c>
      <c r="AU49" s="10" t="s">
        <v>51</v>
      </c>
      <c r="AV49" s="10" t="s">
        <v>97</v>
      </c>
      <c r="AW49" s="8"/>
    </row>
    <row r="50" spans="1:49" x14ac:dyDescent="0.15">
      <c r="A50" s="11" t="s">
        <v>79</v>
      </c>
      <c r="B50" s="12" t="s">
        <v>61</v>
      </c>
      <c r="C50" s="10" t="s">
        <v>62</v>
      </c>
      <c r="D50" s="10" t="s">
        <v>63</v>
      </c>
      <c r="E50" s="9">
        <v>142</v>
      </c>
      <c r="F50" s="9">
        <v>142</v>
      </c>
      <c r="G50" s="9">
        <v>2</v>
      </c>
      <c r="H50" s="10" t="s">
        <v>59</v>
      </c>
      <c r="I50" s="9">
        <v>0</v>
      </c>
      <c r="J50" s="9">
        <v>0.44626604099175898</v>
      </c>
      <c r="K50" s="10" t="s">
        <v>51</v>
      </c>
      <c r="L50" s="9">
        <v>2</v>
      </c>
      <c r="M50" s="9">
        <v>142</v>
      </c>
      <c r="N50" s="9">
        <v>142</v>
      </c>
      <c r="O50" s="9">
        <v>7</v>
      </c>
      <c r="P50" s="9">
        <v>159.258755916002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9">
        <v>159.24957775000101</v>
      </c>
      <c r="AC50" s="9">
        <v>159.258755916002</v>
      </c>
      <c r="AD50" s="9">
        <v>159.74254758301001</v>
      </c>
      <c r="AE50" s="9">
        <v>159.74254758301001</v>
      </c>
      <c r="AF50" s="9">
        <v>159.74254758301001</v>
      </c>
      <c r="AG50" s="9">
        <v>160.19478095800201</v>
      </c>
      <c r="AH50" s="10" t="s">
        <v>59</v>
      </c>
      <c r="AI50" s="9">
        <v>0</v>
      </c>
      <c r="AJ50" s="9">
        <v>0.44626604099175898</v>
      </c>
      <c r="AK50" s="10" t="s">
        <v>51</v>
      </c>
      <c r="AL50" s="8"/>
      <c r="AM50" s="8"/>
      <c r="AN50" s="8"/>
      <c r="AO50" s="9">
        <v>1</v>
      </c>
      <c r="AP50" s="9">
        <v>1</v>
      </c>
      <c r="AQ50" s="10" t="s">
        <v>96</v>
      </c>
      <c r="AR50" s="10" t="s">
        <v>53</v>
      </c>
      <c r="AS50" s="8"/>
      <c r="AT50" s="10" t="s">
        <v>54</v>
      </c>
      <c r="AU50" s="10" t="s">
        <v>51</v>
      </c>
      <c r="AV50" s="10" t="s">
        <v>97</v>
      </c>
      <c r="AW50" s="8"/>
    </row>
    <row r="51" spans="1:49" x14ac:dyDescent="0.15">
      <c r="A51" s="11" t="s">
        <v>64</v>
      </c>
      <c r="B51" s="12" t="s">
        <v>61</v>
      </c>
      <c r="C51" s="10" t="s">
        <v>58</v>
      </c>
      <c r="D51" s="10" t="s">
        <v>59</v>
      </c>
      <c r="E51" s="9">
        <v>148</v>
      </c>
      <c r="F51" s="9">
        <v>148</v>
      </c>
      <c r="G51" s="9">
        <v>4</v>
      </c>
      <c r="H51" s="10" t="s">
        <v>59</v>
      </c>
      <c r="I51" s="9">
        <v>1</v>
      </c>
      <c r="J51" s="9">
        <v>0.76003700000001095</v>
      </c>
      <c r="K51" s="10" t="s">
        <v>51</v>
      </c>
      <c r="L51" s="9">
        <v>4</v>
      </c>
      <c r="M51" s="9">
        <v>148</v>
      </c>
      <c r="N51" s="9">
        <v>148</v>
      </c>
      <c r="O51" s="9">
        <v>4</v>
      </c>
      <c r="P51" s="9">
        <v>165.22506016600499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9">
        <v>165.21615595801299</v>
      </c>
      <c r="AC51" s="9">
        <v>165.22506016600499</v>
      </c>
      <c r="AD51" s="9">
        <v>165.70983604100201</v>
      </c>
      <c r="AE51" s="9">
        <v>165.70983604100201</v>
      </c>
      <c r="AF51" s="9">
        <v>165.70983604100201</v>
      </c>
      <c r="AG51" s="9">
        <v>166.47823941601399</v>
      </c>
      <c r="AH51" s="10" t="s">
        <v>59</v>
      </c>
      <c r="AI51" s="9">
        <v>1</v>
      </c>
      <c r="AJ51" s="9">
        <v>0.76003700000001095</v>
      </c>
      <c r="AK51" s="10" t="s">
        <v>51</v>
      </c>
      <c r="AL51" s="8"/>
      <c r="AM51" s="8"/>
      <c r="AN51" s="8"/>
      <c r="AO51" s="9">
        <v>1</v>
      </c>
      <c r="AP51" s="9">
        <v>1</v>
      </c>
      <c r="AQ51" s="10" t="s">
        <v>96</v>
      </c>
      <c r="AR51" s="10" t="s">
        <v>53</v>
      </c>
      <c r="AS51" s="8"/>
      <c r="AT51" s="10" t="s">
        <v>54</v>
      </c>
      <c r="AU51" s="10" t="s">
        <v>51</v>
      </c>
      <c r="AV51" s="10" t="s">
        <v>97</v>
      </c>
      <c r="AW51" s="8"/>
    </row>
    <row r="52" spans="1:49" x14ac:dyDescent="0.15">
      <c r="A52" s="11" t="s">
        <v>64</v>
      </c>
      <c r="B52" s="12" t="s">
        <v>61</v>
      </c>
      <c r="C52" s="10" t="s">
        <v>62</v>
      </c>
      <c r="D52" s="10" t="s">
        <v>63</v>
      </c>
      <c r="E52" s="9">
        <v>150</v>
      </c>
      <c r="F52" s="9">
        <v>150</v>
      </c>
      <c r="G52" s="9">
        <v>3</v>
      </c>
      <c r="H52" s="10" t="s">
        <v>63</v>
      </c>
      <c r="I52" s="9">
        <v>1</v>
      </c>
      <c r="J52" s="9">
        <v>0.35299891700560698</v>
      </c>
      <c r="K52" s="10" t="s">
        <v>51</v>
      </c>
      <c r="L52" s="9">
        <v>3</v>
      </c>
      <c r="M52" s="9">
        <v>150</v>
      </c>
      <c r="N52" s="9">
        <v>150</v>
      </c>
      <c r="O52" s="9">
        <v>5</v>
      </c>
      <c r="P52" s="9">
        <v>167.465430541008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9">
        <v>167.456026583008</v>
      </c>
      <c r="AC52" s="9">
        <v>167.465430541008</v>
      </c>
      <c r="AD52" s="9">
        <v>167.95191095800001</v>
      </c>
      <c r="AE52" s="9">
        <v>167.95191095800001</v>
      </c>
      <c r="AF52" s="9">
        <v>167.95191095800001</v>
      </c>
      <c r="AG52" s="9">
        <v>168.31165645801201</v>
      </c>
      <c r="AH52" s="10" t="s">
        <v>63</v>
      </c>
      <c r="AI52" s="9">
        <v>1</v>
      </c>
      <c r="AJ52" s="9">
        <v>0.35299891700560698</v>
      </c>
      <c r="AK52" s="10" t="s">
        <v>51</v>
      </c>
      <c r="AL52" s="8"/>
      <c r="AM52" s="8"/>
      <c r="AN52" s="8"/>
      <c r="AO52" s="9">
        <v>1</v>
      </c>
      <c r="AP52" s="9">
        <v>1</v>
      </c>
      <c r="AQ52" s="10" t="s">
        <v>96</v>
      </c>
      <c r="AR52" s="10" t="s">
        <v>53</v>
      </c>
      <c r="AS52" s="8"/>
      <c r="AT52" s="10" t="s">
        <v>54</v>
      </c>
      <c r="AU52" s="10" t="s">
        <v>51</v>
      </c>
      <c r="AV52" s="10" t="s">
        <v>97</v>
      </c>
      <c r="AW52" s="8"/>
    </row>
    <row r="53" spans="1:49" x14ac:dyDescent="0.15">
      <c r="A53" s="11" t="s">
        <v>73</v>
      </c>
      <c r="B53" s="12" t="s">
        <v>61</v>
      </c>
      <c r="C53" s="10" t="s">
        <v>62</v>
      </c>
      <c r="D53" s="10" t="s">
        <v>63</v>
      </c>
      <c r="E53" s="9">
        <v>152</v>
      </c>
      <c r="F53" s="9">
        <v>152</v>
      </c>
      <c r="G53" s="9">
        <v>2</v>
      </c>
      <c r="H53" s="10" t="s">
        <v>63</v>
      </c>
      <c r="I53" s="9">
        <v>1</v>
      </c>
      <c r="J53" s="9">
        <v>0.52634216599108197</v>
      </c>
      <c r="K53" s="10" t="s">
        <v>51</v>
      </c>
      <c r="L53" s="9">
        <v>2</v>
      </c>
      <c r="M53" s="9">
        <v>152</v>
      </c>
      <c r="N53" s="9">
        <v>152</v>
      </c>
      <c r="O53" s="9">
        <v>15</v>
      </c>
      <c r="P53" s="9">
        <v>169.18158100001199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9">
        <v>169.17160345800201</v>
      </c>
      <c r="AC53" s="9">
        <v>169.18158100001199</v>
      </c>
      <c r="AD53" s="9">
        <v>169.669451583002</v>
      </c>
      <c r="AE53" s="9">
        <v>169.669451583002</v>
      </c>
      <c r="AF53" s="9">
        <v>169.669451583002</v>
      </c>
      <c r="AG53" s="9">
        <v>170.20147129100201</v>
      </c>
      <c r="AH53" s="10" t="s">
        <v>63</v>
      </c>
      <c r="AI53" s="9">
        <v>1</v>
      </c>
      <c r="AJ53" s="9">
        <v>0.52634216599108197</v>
      </c>
      <c r="AK53" s="10" t="s">
        <v>51</v>
      </c>
      <c r="AL53" s="8"/>
      <c r="AM53" s="8"/>
      <c r="AN53" s="8"/>
      <c r="AO53" s="9">
        <v>1</v>
      </c>
      <c r="AP53" s="9">
        <v>1</v>
      </c>
      <c r="AQ53" s="10" t="s">
        <v>96</v>
      </c>
      <c r="AR53" s="10" t="s">
        <v>53</v>
      </c>
      <c r="AS53" s="8"/>
      <c r="AT53" s="10" t="s">
        <v>54</v>
      </c>
      <c r="AU53" s="10" t="s">
        <v>51</v>
      </c>
      <c r="AV53" s="10" t="s">
        <v>97</v>
      </c>
      <c r="AW53" s="8"/>
    </row>
    <row r="54" spans="1:49" x14ac:dyDescent="0.15">
      <c r="A54" s="11" t="s">
        <v>60</v>
      </c>
      <c r="B54" s="12" t="s">
        <v>61</v>
      </c>
      <c r="C54" s="10" t="s">
        <v>62</v>
      </c>
      <c r="D54" s="10" t="s">
        <v>63</v>
      </c>
      <c r="E54" s="9">
        <v>165</v>
      </c>
      <c r="F54" s="9">
        <v>165</v>
      </c>
      <c r="G54" s="9">
        <v>4</v>
      </c>
      <c r="H54" s="10" t="s">
        <v>63</v>
      </c>
      <c r="I54" s="9">
        <v>1</v>
      </c>
      <c r="J54" s="9">
        <v>0.50846012499823701</v>
      </c>
      <c r="K54" s="10" t="s">
        <v>51</v>
      </c>
      <c r="L54" s="9">
        <v>4</v>
      </c>
      <c r="M54" s="9">
        <v>165</v>
      </c>
      <c r="N54" s="9">
        <v>165</v>
      </c>
      <c r="O54" s="9">
        <v>9</v>
      </c>
      <c r="P54" s="9">
        <v>181.06515495800701</v>
      </c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9">
        <v>181.055581375011</v>
      </c>
      <c r="AC54" s="9">
        <v>181.06515495800701</v>
      </c>
      <c r="AD54" s="9">
        <v>181.55355500000601</v>
      </c>
      <c r="AE54" s="9">
        <v>181.55355500000601</v>
      </c>
      <c r="AF54" s="9">
        <v>181.55355500000601</v>
      </c>
      <c r="AG54" s="9">
        <v>182.06810929100899</v>
      </c>
      <c r="AH54" s="10" t="s">
        <v>63</v>
      </c>
      <c r="AI54" s="9">
        <v>1</v>
      </c>
      <c r="AJ54" s="9">
        <v>0.50846012499823701</v>
      </c>
      <c r="AK54" s="10" t="s">
        <v>51</v>
      </c>
      <c r="AL54" s="8"/>
      <c r="AM54" s="8"/>
      <c r="AN54" s="8"/>
      <c r="AO54" s="9">
        <v>1</v>
      </c>
      <c r="AP54" s="9">
        <v>1</v>
      </c>
      <c r="AQ54" s="10" t="s">
        <v>96</v>
      </c>
      <c r="AR54" s="10" t="s">
        <v>53</v>
      </c>
      <c r="AS54" s="8"/>
      <c r="AT54" s="10" t="s">
        <v>54</v>
      </c>
      <c r="AU54" s="10" t="s">
        <v>51</v>
      </c>
      <c r="AV54" s="10" t="s">
        <v>97</v>
      </c>
      <c r="AW54" s="8"/>
    </row>
    <row r="55" spans="1:49" x14ac:dyDescent="0.15">
      <c r="A55" s="11" t="s">
        <v>74</v>
      </c>
      <c r="B55" s="12" t="s">
        <v>61</v>
      </c>
      <c r="C55" s="10" t="s">
        <v>62</v>
      </c>
      <c r="D55" s="10" t="s">
        <v>63</v>
      </c>
      <c r="E55" s="9">
        <v>171</v>
      </c>
      <c r="F55" s="9">
        <v>171</v>
      </c>
      <c r="G55" s="9">
        <v>3</v>
      </c>
      <c r="H55" s="10" t="s">
        <v>63</v>
      </c>
      <c r="I55" s="9">
        <v>1</v>
      </c>
      <c r="J55" s="9">
        <v>0.394852291006828</v>
      </c>
      <c r="K55" s="10" t="s">
        <v>51</v>
      </c>
      <c r="L55" s="9">
        <v>3</v>
      </c>
      <c r="M55" s="9">
        <v>171</v>
      </c>
      <c r="N55" s="9">
        <v>171</v>
      </c>
      <c r="O55" s="9">
        <v>1</v>
      </c>
      <c r="P55" s="9">
        <v>186.710535875012</v>
      </c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9">
        <v>186.70045616600001</v>
      </c>
      <c r="AC55" s="9">
        <v>186.710535875012</v>
      </c>
      <c r="AD55" s="9">
        <v>187.19345941601199</v>
      </c>
      <c r="AE55" s="9">
        <v>187.19345941601199</v>
      </c>
      <c r="AF55" s="9">
        <v>187.19345941601199</v>
      </c>
      <c r="AG55" s="9">
        <v>187.595632166005</v>
      </c>
      <c r="AH55" s="10" t="s">
        <v>63</v>
      </c>
      <c r="AI55" s="9">
        <v>1</v>
      </c>
      <c r="AJ55" s="9">
        <v>0.394852291006828</v>
      </c>
      <c r="AK55" s="10" t="s">
        <v>51</v>
      </c>
      <c r="AL55" s="8"/>
      <c r="AM55" s="8"/>
      <c r="AN55" s="8"/>
      <c r="AO55" s="9">
        <v>1</v>
      </c>
      <c r="AP55" s="9">
        <v>1</v>
      </c>
      <c r="AQ55" s="10" t="s">
        <v>96</v>
      </c>
      <c r="AR55" s="10" t="s">
        <v>53</v>
      </c>
      <c r="AS55" s="8"/>
      <c r="AT55" s="10" t="s">
        <v>54</v>
      </c>
      <c r="AU55" s="10" t="s">
        <v>51</v>
      </c>
      <c r="AV55" s="10" t="s">
        <v>97</v>
      </c>
      <c r="AW55" s="8"/>
    </row>
    <row r="56" spans="1:49" x14ac:dyDescent="0.15">
      <c r="A56" s="11" t="s">
        <v>73</v>
      </c>
      <c r="B56" s="12" t="s">
        <v>61</v>
      </c>
      <c r="C56" s="10" t="s">
        <v>62</v>
      </c>
      <c r="D56" s="10" t="s">
        <v>63</v>
      </c>
      <c r="E56" s="9">
        <v>173</v>
      </c>
      <c r="F56" s="9">
        <v>173</v>
      </c>
      <c r="G56" s="9">
        <v>3</v>
      </c>
      <c r="H56" s="10" t="s">
        <v>63</v>
      </c>
      <c r="I56" s="9">
        <v>1</v>
      </c>
      <c r="J56" s="9">
        <v>0.39172308301203901</v>
      </c>
      <c r="K56" s="10" t="s">
        <v>51</v>
      </c>
      <c r="L56" s="9">
        <v>3</v>
      </c>
      <c r="M56" s="9">
        <v>173</v>
      </c>
      <c r="N56" s="9">
        <v>173</v>
      </c>
      <c r="O56" s="9">
        <v>15</v>
      </c>
      <c r="P56" s="9">
        <v>188.60970491600199</v>
      </c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9">
        <v>188.60076962500199</v>
      </c>
      <c r="AC56" s="9">
        <v>188.60970491600199</v>
      </c>
      <c r="AD56" s="9">
        <v>189.093426541003</v>
      </c>
      <c r="AE56" s="9">
        <v>189.093426541003</v>
      </c>
      <c r="AF56" s="9">
        <v>189.093426541003</v>
      </c>
      <c r="AG56" s="9">
        <v>189.49581120800599</v>
      </c>
      <c r="AH56" s="10" t="s">
        <v>63</v>
      </c>
      <c r="AI56" s="9">
        <v>1</v>
      </c>
      <c r="AJ56" s="9">
        <v>0.39172308301203901</v>
      </c>
      <c r="AK56" s="10" t="s">
        <v>51</v>
      </c>
      <c r="AL56" s="8"/>
      <c r="AM56" s="8"/>
      <c r="AN56" s="8"/>
      <c r="AO56" s="9">
        <v>1</v>
      </c>
      <c r="AP56" s="9">
        <v>1</v>
      </c>
      <c r="AQ56" s="10" t="s">
        <v>96</v>
      </c>
      <c r="AR56" s="10" t="s">
        <v>53</v>
      </c>
      <c r="AS56" s="8"/>
      <c r="AT56" s="10" t="s">
        <v>54</v>
      </c>
      <c r="AU56" s="10" t="s">
        <v>51</v>
      </c>
      <c r="AV56" s="10" t="s">
        <v>97</v>
      </c>
      <c r="AW56" s="8"/>
    </row>
    <row r="57" spans="1:49" x14ac:dyDescent="0.15">
      <c r="A57" s="11" t="s">
        <v>70</v>
      </c>
      <c r="B57" s="12" t="s">
        <v>61</v>
      </c>
      <c r="C57" s="10" t="s">
        <v>58</v>
      </c>
      <c r="D57" s="10" t="s">
        <v>59</v>
      </c>
      <c r="E57" s="9">
        <v>175</v>
      </c>
      <c r="F57" s="9">
        <v>175</v>
      </c>
      <c r="G57" s="9">
        <v>1</v>
      </c>
      <c r="H57" s="10" t="s">
        <v>59</v>
      </c>
      <c r="I57" s="9">
        <v>1</v>
      </c>
      <c r="J57" s="9">
        <v>0.55607941700145602</v>
      </c>
      <c r="K57" s="10" t="s">
        <v>51</v>
      </c>
      <c r="L57" s="9">
        <v>1</v>
      </c>
      <c r="M57" s="9">
        <v>175</v>
      </c>
      <c r="N57" s="9">
        <v>175</v>
      </c>
      <c r="O57" s="9">
        <v>12</v>
      </c>
      <c r="P57" s="9">
        <v>190.53208554100999</v>
      </c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9">
        <v>190.522749291005</v>
      </c>
      <c r="AC57" s="9">
        <v>190.53208554100999</v>
      </c>
      <c r="AD57" s="9">
        <v>191.01828337500001</v>
      </c>
      <c r="AE57" s="9">
        <v>191.01828337500001</v>
      </c>
      <c r="AF57" s="9">
        <v>191.01828337500001</v>
      </c>
      <c r="AG57" s="9">
        <v>191.579130708007</v>
      </c>
      <c r="AH57" s="10" t="s">
        <v>59</v>
      </c>
      <c r="AI57" s="9">
        <v>1</v>
      </c>
      <c r="AJ57" s="9">
        <v>0.55607941700145602</v>
      </c>
      <c r="AK57" s="10" t="s">
        <v>51</v>
      </c>
      <c r="AL57" s="8"/>
      <c r="AM57" s="8"/>
      <c r="AN57" s="8"/>
      <c r="AO57" s="9">
        <v>1</v>
      </c>
      <c r="AP57" s="9">
        <v>1</v>
      </c>
      <c r="AQ57" s="10" t="s">
        <v>96</v>
      </c>
      <c r="AR57" s="10" t="s">
        <v>53</v>
      </c>
      <c r="AS57" s="8"/>
      <c r="AT57" s="10" t="s">
        <v>54</v>
      </c>
      <c r="AU57" s="10" t="s">
        <v>51</v>
      </c>
      <c r="AV57" s="10" t="s">
        <v>97</v>
      </c>
      <c r="AW57" s="8"/>
    </row>
    <row r="58" spans="1:49" x14ac:dyDescent="0.15">
      <c r="A58" s="11" t="s">
        <v>79</v>
      </c>
      <c r="B58" s="12" t="s">
        <v>61</v>
      </c>
      <c r="C58" s="10" t="s">
        <v>62</v>
      </c>
      <c r="D58" s="10" t="s">
        <v>63</v>
      </c>
      <c r="E58" s="9">
        <v>176</v>
      </c>
      <c r="F58" s="9">
        <v>176</v>
      </c>
      <c r="G58" s="9">
        <v>3</v>
      </c>
      <c r="H58" s="10" t="s">
        <v>63</v>
      </c>
      <c r="I58" s="9">
        <v>1</v>
      </c>
      <c r="J58" s="9">
        <v>1.1031736250006401</v>
      </c>
      <c r="K58" s="10" t="s">
        <v>51</v>
      </c>
      <c r="L58" s="9">
        <v>3</v>
      </c>
      <c r="M58" s="9">
        <v>176</v>
      </c>
      <c r="N58" s="9">
        <v>176</v>
      </c>
      <c r="O58" s="9">
        <v>7</v>
      </c>
      <c r="P58" s="9">
        <v>191.593056333004</v>
      </c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9">
        <v>191.583818625004</v>
      </c>
      <c r="AC58" s="9">
        <v>191.593056333004</v>
      </c>
      <c r="AD58" s="9">
        <v>192.07700383300801</v>
      </c>
      <c r="AE58" s="9">
        <v>192.07700383300801</v>
      </c>
      <c r="AF58" s="9">
        <v>192.07700383300801</v>
      </c>
      <c r="AG58" s="9">
        <v>193.185007208012</v>
      </c>
      <c r="AH58" s="10" t="s">
        <v>63</v>
      </c>
      <c r="AI58" s="9">
        <v>1</v>
      </c>
      <c r="AJ58" s="9">
        <v>1.1031736250006401</v>
      </c>
      <c r="AK58" s="10" t="s">
        <v>51</v>
      </c>
      <c r="AL58" s="8"/>
      <c r="AM58" s="8"/>
      <c r="AN58" s="8"/>
      <c r="AO58" s="9">
        <v>1</v>
      </c>
      <c r="AP58" s="9">
        <v>1</v>
      </c>
      <c r="AQ58" s="10" t="s">
        <v>96</v>
      </c>
      <c r="AR58" s="10" t="s">
        <v>53</v>
      </c>
      <c r="AS58" s="8"/>
      <c r="AT58" s="10" t="s">
        <v>54</v>
      </c>
      <c r="AU58" s="10" t="s">
        <v>51</v>
      </c>
      <c r="AV58" s="10" t="s">
        <v>97</v>
      </c>
      <c r="AW58" s="8"/>
    </row>
    <row r="59" spans="1:49" x14ac:dyDescent="0.15">
      <c r="A59" s="11" t="s">
        <v>70</v>
      </c>
      <c r="B59" s="12" t="s">
        <v>61</v>
      </c>
      <c r="C59" s="10" t="s">
        <v>62</v>
      </c>
      <c r="D59" s="10" t="s">
        <v>63</v>
      </c>
      <c r="E59" s="9">
        <v>177</v>
      </c>
      <c r="F59" s="9">
        <v>177</v>
      </c>
      <c r="G59" s="9">
        <v>3</v>
      </c>
      <c r="H59" s="10" t="s">
        <v>63</v>
      </c>
      <c r="I59" s="9">
        <v>1</v>
      </c>
      <c r="J59" s="9">
        <v>0.53407850000075996</v>
      </c>
      <c r="K59" s="10" t="s">
        <v>51</v>
      </c>
      <c r="L59" s="9">
        <v>3</v>
      </c>
      <c r="M59" s="9">
        <v>177</v>
      </c>
      <c r="N59" s="9">
        <v>177</v>
      </c>
      <c r="O59" s="9">
        <v>13</v>
      </c>
      <c r="P59" s="9">
        <v>193.198738458013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9">
        <v>193.189362041012</v>
      </c>
      <c r="AC59" s="9">
        <v>193.198738458013</v>
      </c>
      <c r="AD59" s="9">
        <v>193.686288708006</v>
      </c>
      <c r="AE59" s="9">
        <v>193.686288708006</v>
      </c>
      <c r="AF59" s="9">
        <v>193.686288708006</v>
      </c>
      <c r="AG59" s="9">
        <v>194.22915204100701</v>
      </c>
      <c r="AH59" s="10" t="s">
        <v>63</v>
      </c>
      <c r="AI59" s="9">
        <v>1</v>
      </c>
      <c r="AJ59" s="9">
        <v>0.53407850000075996</v>
      </c>
      <c r="AK59" s="10" t="s">
        <v>51</v>
      </c>
      <c r="AL59" s="8"/>
      <c r="AM59" s="8"/>
      <c r="AN59" s="8"/>
      <c r="AO59" s="9">
        <v>1</v>
      </c>
      <c r="AP59" s="9">
        <v>1</v>
      </c>
      <c r="AQ59" s="10" t="s">
        <v>96</v>
      </c>
      <c r="AR59" s="10" t="s">
        <v>53</v>
      </c>
      <c r="AS59" s="8"/>
      <c r="AT59" s="10" t="s">
        <v>54</v>
      </c>
      <c r="AU59" s="10" t="s">
        <v>51</v>
      </c>
      <c r="AV59" s="10" t="s">
        <v>97</v>
      </c>
      <c r="AW59" s="8"/>
    </row>
    <row r="60" spans="1:49" x14ac:dyDescent="0.15">
      <c r="A60" s="11" t="s">
        <v>60</v>
      </c>
      <c r="B60" s="12" t="s">
        <v>61</v>
      </c>
      <c r="C60" s="10" t="s">
        <v>58</v>
      </c>
      <c r="D60" s="10" t="s">
        <v>59</v>
      </c>
      <c r="E60" s="9">
        <v>179</v>
      </c>
      <c r="F60" s="9">
        <v>179</v>
      </c>
      <c r="G60" s="9">
        <v>2</v>
      </c>
      <c r="H60" s="10" t="s">
        <v>59</v>
      </c>
      <c r="I60" s="9">
        <v>1</v>
      </c>
      <c r="J60" s="9">
        <v>0.59492020799371004</v>
      </c>
      <c r="K60" s="10" t="s">
        <v>51</v>
      </c>
      <c r="L60" s="9">
        <v>2</v>
      </c>
      <c r="M60" s="9">
        <v>179</v>
      </c>
      <c r="N60" s="9">
        <v>179</v>
      </c>
      <c r="O60" s="9">
        <v>8</v>
      </c>
      <c r="P60" s="9">
        <v>195.42623575001201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9">
        <v>195.417019541012</v>
      </c>
      <c r="AC60" s="9">
        <v>195.42623575001201</v>
      </c>
      <c r="AD60" s="9">
        <v>195.91047700001201</v>
      </c>
      <c r="AE60" s="9">
        <v>195.91047700001201</v>
      </c>
      <c r="AF60" s="9">
        <v>195.91047700001201</v>
      </c>
      <c r="AG60" s="9">
        <v>196.512533083005</v>
      </c>
      <c r="AH60" s="10" t="s">
        <v>59</v>
      </c>
      <c r="AI60" s="9">
        <v>1</v>
      </c>
      <c r="AJ60" s="9">
        <v>0.59492020799371004</v>
      </c>
      <c r="AK60" s="10" t="s">
        <v>51</v>
      </c>
      <c r="AL60" s="8"/>
      <c r="AM60" s="8"/>
      <c r="AN60" s="8"/>
      <c r="AO60" s="9">
        <v>1</v>
      </c>
      <c r="AP60" s="9">
        <v>1</v>
      </c>
      <c r="AQ60" s="10" t="s">
        <v>96</v>
      </c>
      <c r="AR60" s="10" t="s">
        <v>53</v>
      </c>
      <c r="AS60" s="8"/>
      <c r="AT60" s="10" t="s">
        <v>54</v>
      </c>
      <c r="AU60" s="10" t="s">
        <v>51</v>
      </c>
      <c r="AV60" s="10" t="s">
        <v>97</v>
      </c>
      <c r="AW60" s="8"/>
    </row>
    <row r="61" spans="1:49" x14ac:dyDescent="0.15">
      <c r="A61" s="11" t="s">
        <v>70</v>
      </c>
      <c r="B61" s="12" t="s">
        <v>61</v>
      </c>
      <c r="C61" s="10" t="s">
        <v>58</v>
      </c>
      <c r="D61" s="10" t="s">
        <v>59</v>
      </c>
      <c r="E61" s="9">
        <v>185</v>
      </c>
      <c r="F61" s="9">
        <v>185</v>
      </c>
      <c r="G61" s="9">
        <v>2</v>
      </c>
      <c r="H61" s="10" t="s">
        <v>59</v>
      </c>
      <c r="I61" s="9">
        <v>1</v>
      </c>
      <c r="J61" s="9">
        <v>0.81204750000324599</v>
      </c>
      <c r="K61" s="10" t="s">
        <v>51</v>
      </c>
      <c r="L61" s="9">
        <v>2</v>
      </c>
      <c r="M61" s="9">
        <v>185</v>
      </c>
      <c r="N61" s="9">
        <v>185</v>
      </c>
      <c r="O61" s="9">
        <v>12</v>
      </c>
      <c r="P61" s="9">
        <v>202.31134100000801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9">
        <v>202.302220083002</v>
      </c>
      <c r="AC61" s="9">
        <v>202.31134100000801</v>
      </c>
      <c r="AD61" s="9">
        <v>202.79439920801099</v>
      </c>
      <c r="AE61" s="9">
        <v>202.79439920801099</v>
      </c>
      <c r="AF61" s="9">
        <v>202.79439920801099</v>
      </c>
      <c r="AG61" s="9">
        <v>203.61294604100101</v>
      </c>
      <c r="AH61" s="10" t="s">
        <v>59</v>
      </c>
      <c r="AI61" s="9">
        <v>1</v>
      </c>
      <c r="AJ61" s="9">
        <v>0.81204750000324599</v>
      </c>
      <c r="AK61" s="10" t="s">
        <v>51</v>
      </c>
      <c r="AL61" s="8"/>
      <c r="AM61" s="8"/>
      <c r="AN61" s="8"/>
      <c r="AO61" s="9">
        <v>1</v>
      </c>
      <c r="AP61" s="9">
        <v>1</v>
      </c>
      <c r="AQ61" s="10" t="s">
        <v>96</v>
      </c>
      <c r="AR61" s="10" t="s">
        <v>53</v>
      </c>
      <c r="AS61" s="8"/>
      <c r="AT61" s="10" t="s">
        <v>54</v>
      </c>
      <c r="AU61" s="10" t="s">
        <v>51</v>
      </c>
      <c r="AV61" s="10" t="s">
        <v>97</v>
      </c>
      <c r="AW61" s="8"/>
    </row>
    <row r="62" spans="1:49" x14ac:dyDescent="0.15">
      <c r="A62" s="11" t="s">
        <v>83</v>
      </c>
      <c r="B62" s="12" t="s">
        <v>61</v>
      </c>
      <c r="C62" s="10" t="s">
        <v>58</v>
      </c>
      <c r="D62" s="10" t="s">
        <v>59</v>
      </c>
      <c r="E62" s="9">
        <v>187</v>
      </c>
      <c r="F62" s="9">
        <v>187</v>
      </c>
      <c r="G62" s="9">
        <v>3</v>
      </c>
      <c r="H62" s="10" t="s">
        <v>59</v>
      </c>
      <c r="I62" s="9">
        <v>1</v>
      </c>
      <c r="J62" s="9">
        <v>0.37937641600729</v>
      </c>
      <c r="K62" s="10" t="s">
        <v>51</v>
      </c>
      <c r="L62" s="9">
        <v>3</v>
      </c>
      <c r="M62" s="9">
        <v>187</v>
      </c>
      <c r="N62" s="9">
        <v>187</v>
      </c>
      <c r="O62" s="9">
        <v>2</v>
      </c>
      <c r="P62" s="9">
        <v>204.650532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9">
        <v>204.64068091601101</v>
      </c>
      <c r="AC62" s="9">
        <v>204.650532</v>
      </c>
      <c r="AD62" s="9">
        <v>205.137165416003</v>
      </c>
      <c r="AE62" s="9">
        <v>205.137165416003</v>
      </c>
      <c r="AF62" s="9">
        <v>205.137165416003</v>
      </c>
      <c r="AG62" s="9">
        <v>205.51911979100299</v>
      </c>
      <c r="AH62" s="10" t="s">
        <v>59</v>
      </c>
      <c r="AI62" s="9">
        <v>1</v>
      </c>
      <c r="AJ62" s="9">
        <v>0.37937641600729</v>
      </c>
      <c r="AK62" s="10" t="s">
        <v>51</v>
      </c>
      <c r="AL62" s="8"/>
      <c r="AM62" s="8"/>
      <c r="AN62" s="8"/>
      <c r="AO62" s="9">
        <v>1</v>
      </c>
      <c r="AP62" s="9">
        <v>1</v>
      </c>
      <c r="AQ62" s="10" t="s">
        <v>96</v>
      </c>
      <c r="AR62" s="10" t="s">
        <v>53</v>
      </c>
      <c r="AS62" s="8"/>
      <c r="AT62" s="10" t="s">
        <v>54</v>
      </c>
      <c r="AU62" s="10" t="s">
        <v>51</v>
      </c>
      <c r="AV62" s="10" t="s">
        <v>97</v>
      </c>
      <c r="AW62" s="8"/>
    </row>
    <row r="63" spans="1:49" x14ac:dyDescent="0.15">
      <c r="A63" s="11" t="s">
        <v>73</v>
      </c>
      <c r="B63" s="12" t="s">
        <v>61</v>
      </c>
      <c r="C63" s="10" t="s">
        <v>62</v>
      </c>
      <c r="D63" s="10" t="s">
        <v>63</v>
      </c>
      <c r="E63" s="9">
        <v>191</v>
      </c>
      <c r="F63" s="9">
        <v>191</v>
      </c>
      <c r="G63" s="9">
        <v>4</v>
      </c>
      <c r="H63" s="10" t="s">
        <v>63</v>
      </c>
      <c r="I63" s="9">
        <v>1</v>
      </c>
      <c r="J63" s="9">
        <v>0.81046587500895795</v>
      </c>
      <c r="K63" s="10" t="s">
        <v>51</v>
      </c>
      <c r="L63" s="9">
        <v>4</v>
      </c>
      <c r="M63" s="9">
        <v>191</v>
      </c>
      <c r="N63" s="9">
        <v>191</v>
      </c>
      <c r="O63" s="9">
        <v>15</v>
      </c>
      <c r="P63" s="9">
        <v>208.45076400000801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9">
        <v>208.44143683300399</v>
      </c>
      <c r="AC63" s="9">
        <v>208.45076400000801</v>
      </c>
      <c r="AD63" s="9">
        <v>208.93702875000599</v>
      </c>
      <c r="AE63" s="9">
        <v>208.93702875000599</v>
      </c>
      <c r="AF63" s="9">
        <v>208.93702875000599</v>
      </c>
      <c r="AG63" s="9">
        <v>209.75127925000601</v>
      </c>
      <c r="AH63" s="10" t="s">
        <v>63</v>
      </c>
      <c r="AI63" s="9">
        <v>1</v>
      </c>
      <c r="AJ63" s="9">
        <v>0.81046587500895795</v>
      </c>
      <c r="AK63" s="10" t="s">
        <v>51</v>
      </c>
      <c r="AL63" s="8"/>
      <c r="AM63" s="8"/>
      <c r="AN63" s="8"/>
      <c r="AO63" s="9">
        <v>1</v>
      </c>
      <c r="AP63" s="9">
        <v>1</v>
      </c>
      <c r="AQ63" s="10" t="s">
        <v>96</v>
      </c>
      <c r="AR63" s="10" t="s">
        <v>53</v>
      </c>
      <c r="AS63" s="8"/>
      <c r="AT63" s="10" t="s">
        <v>54</v>
      </c>
      <c r="AU63" s="10" t="s">
        <v>51</v>
      </c>
      <c r="AV63" s="10" t="s">
        <v>97</v>
      </c>
      <c r="AW63" s="8"/>
    </row>
    <row r="64" spans="1:49" x14ac:dyDescent="0.15">
      <c r="A64" s="11" t="s">
        <v>73</v>
      </c>
      <c r="B64" s="12" t="s">
        <v>61</v>
      </c>
      <c r="C64" s="10" t="s">
        <v>58</v>
      </c>
      <c r="D64" s="10" t="s">
        <v>59</v>
      </c>
      <c r="E64" s="9">
        <v>193</v>
      </c>
      <c r="F64" s="9">
        <v>193</v>
      </c>
      <c r="G64" s="9">
        <v>3</v>
      </c>
      <c r="H64" s="10" t="s">
        <v>59</v>
      </c>
      <c r="I64" s="9">
        <v>1</v>
      </c>
      <c r="J64" s="9">
        <v>0.30411787499906501</v>
      </c>
      <c r="K64" s="10" t="s">
        <v>51</v>
      </c>
      <c r="L64" s="9">
        <v>3</v>
      </c>
      <c r="M64" s="9">
        <v>193</v>
      </c>
      <c r="N64" s="9">
        <v>193</v>
      </c>
      <c r="O64" s="9">
        <v>14</v>
      </c>
      <c r="P64" s="9">
        <v>210.751934208005</v>
      </c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9">
        <v>210.74220766600001</v>
      </c>
      <c r="AC64" s="9">
        <v>210.751934208005</v>
      </c>
      <c r="AD64" s="9">
        <v>211.23745625000399</v>
      </c>
      <c r="AE64" s="9">
        <v>211.23745625000399</v>
      </c>
      <c r="AF64" s="9">
        <v>211.23745625000399</v>
      </c>
      <c r="AG64" s="9">
        <v>211.546692833013</v>
      </c>
      <c r="AH64" s="10" t="s">
        <v>59</v>
      </c>
      <c r="AI64" s="9">
        <v>1</v>
      </c>
      <c r="AJ64" s="9">
        <v>0.30411787499906501</v>
      </c>
      <c r="AK64" s="10" t="s">
        <v>51</v>
      </c>
      <c r="AL64" s="8"/>
      <c r="AM64" s="8"/>
      <c r="AN64" s="8"/>
      <c r="AO64" s="9">
        <v>1</v>
      </c>
      <c r="AP64" s="9">
        <v>1</v>
      </c>
      <c r="AQ64" s="10" t="s">
        <v>96</v>
      </c>
      <c r="AR64" s="10" t="s">
        <v>53</v>
      </c>
      <c r="AS64" s="8"/>
      <c r="AT64" s="10" t="s">
        <v>54</v>
      </c>
      <c r="AU64" s="10" t="s">
        <v>51</v>
      </c>
      <c r="AV64" s="10" t="s">
        <v>97</v>
      </c>
      <c r="AW64" s="8"/>
    </row>
    <row r="65" spans="1:49" x14ac:dyDescent="0.15">
      <c r="A65" s="11" t="s">
        <v>85</v>
      </c>
      <c r="B65" s="12" t="s">
        <v>61</v>
      </c>
      <c r="C65" s="10" t="s">
        <v>58</v>
      </c>
      <c r="D65" s="10" t="s">
        <v>59</v>
      </c>
      <c r="E65" s="9">
        <v>195</v>
      </c>
      <c r="F65" s="9">
        <v>195</v>
      </c>
      <c r="G65" s="9">
        <v>3</v>
      </c>
      <c r="H65" s="10" t="s">
        <v>59</v>
      </c>
      <c r="I65" s="9">
        <v>1</v>
      </c>
      <c r="J65" s="9">
        <v>0.449060832994292</v>
      </c>
      <c r="K65" s="10" t="s">
        <v>51</v>
      </c>
      <c r="L65" s="9">
        <v>3</v>
      </c>
      <c r="M65" s="9">
        <v>195</v>
      </c>
      <c r="N65" s="9">
        <v>195</v>
      </c>
      <c r="O65" s="9">
        <v>10</v>
      </c>
      <c r="P65" s="9">
        <v>212.88315291600901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9">
        <v>212.87312612500699</v>
      </c>
      <c r="AC65" s="9">
        <v>212.88315291600901</v>
      </c>
      <c r="AD65" s="9">
        <v>213.370567958002</v>
      </c>
      <c r="AE65" s="9">
        <v>213.370567958002</v>
      </c>
      <c r="AF65" s="9">
        <v>213.370567958002</v>
      </c>
      <c r="AG65" s="9">
        <v>213.82990120801</v>
      </c>
      <c r="AH65" s="10" t="s">
        <v>59</v>
      </c>
      <c r="AI65" s="9">
        <v>1</v>
      </c>
      <c r="AJ65" s="9">
        <v>0.449060832994292</v>
      </c>
      <c r="AK65" s="10" t="s">
        <v>51</v>
      </c>
      <c r="AL65" s="8"/>
      <c r="AM65" s="8"/>
      <c r="AN65" s="8"/>
      <c r="AO65" s="9">
        <v>1</v>
      </c>
      <c r="AP65" s="9">
        <v>1</v>
      </c>
      <c r="AQ65" s="10" t="s">
        <v>96</v>
      </c>
      <c r="AR65" s="10" t="s">
        <v>53</v>
      </c>
      <c r="AS65" s="8"/>
      <c r="AT65" s="10" t="s">
        <v>54</v>
      </c>
      <c r="AU65" s="10" t="s">
        <v>51</v>
      </c>
      <c r="AV65" s="10" t="s">
        <v>97</v>
      </c>
      <c r="AW65" s="8"/>
    </row>
    <row r="66" spans="1:49" x14ac:dyDescent="0.15">
      <c r="A66" s="11" t="s">
        <v>85</v>
      </c>
      <c r="B66" s="12" t="s">
        <v>61</v>
      </c>
      <c r="C66" s="10" t="s">
        <v>62</v>
      </c>
      <c r="D66" s="10" t="s">
        <v>63</v>
      </c>
      <c r="E66" s="9">
        <v>196</v>
      </c>
      <c r="F66" s="9">
        <v>196</v>
      </c>
      <c r="G66" s="9">
        <v>4</v>
      </c>
      <c r="H66" s="10" t="s">
        <v>63</v>
      </c>
      <c r="I66" s="9">
        <v>1</v>
      </c>
      <c r="J66" s="9">
        <v>0.66195429099025205</v>
      </c>
      <c r="K66" s="10" t="s">
        <v>51</v>
      </c>
      <c r="L66" s="9">
        <v>4</v>
      </c>
      <c r="M66" s="9">
        <v>196</v>
      </c>
      <c r="N66" s="9">
        <v>196</v>
      </c>
      <c r="O66" s="9">
        <v>11</v>
      </c>
      <c r="P66" s="9">
        <v>213.840425916002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9">
        <v>213.83110520801</v>
      </c>
      <c r="AC66" s="9">
        <v>213.840425916002</v>
      </c>
      <c r="AD66" s="9">
        <v>214.32768179100799</v>
      </c>
      <c r="AE66" s="9">
        <v>214.32768179100799</v>
      </c>
      <c r="AF66" s="9">
        <v>214.32768179100799</v>
      </c>
      <c r="AG66" s="9">
        <v>214.99628675</v>
      </c>
      <c r="AH66" s="10" t="s">
        <v>63</v>
      </c>
      <c r="AI66" s="9">
        <v>1</v>
      </c>
      <c r="AJ66" s="9">
        <v>0.66195429099025205</v>
      </c>
      <c r="AK66" s="10" t="s">
        <v>51</v>
      </c>
      <c r="AL66" s="8"/>
      <c r="AM66" s="8"/>
      <c r="AN66" s="8"/>
      <c r="AO66" s="9">
        <v>1</v>
      </c>
      <c r="AP66" s="9">
        <v>1</v>
      </c>
      <c r="AQ66" s="10" t="s">
        <v>96</v>
      </c>
      <c r="AR66" s="10" t="s">
        <v>53</v>
      </c>
      <c r="AS66" s="8"/>
      <c r="AT66" s="10" t="s">
        <v>54</v>
      </c>
      <c r="AU66" s="10" t="s">
        <v>51</v>
      </c>
      <c r="AV66" s="10" t="s">
        <v>97</v>
      </c>
      <c r="AW66" s="8"/>
    </row>
    <row r="67" spans="1:49" x14ac:dyDescent="0.15">
      <c r="A67" s="11" t="s">
        <v>83</v>
      </c>
      <c r="B67" s="12" t="s">
        <v>61</v>
      </c>
      <c r="C67" s="10" t="s">
        <v>62</v>
      </c>
      <c r="D67" s="10" t="s">
        <v>63</v>
      </c>
      <c r="E67" s="9">
        <v>197</v>
      </c>
      <c r="F67" s="9">
        <v>197</v>
      </c>
      <c r="G67" s="9">
        <v>4</v>
      </c>
      <c r="H67" s="10" t="s">
        <v>63</v>
      </c>
      <c r="I67" s="9">
        <v>1</v>
      </c>
      <c r="J67" s="9">
        <v>0.39814712500083299</v>
      </c>
      <c r="K67" s="10" t="s">
        <v>51</v>
      </c>
      <c r="L67" s="9">
        <v>4</v>
      </c>
      <c r="M67" s="9">
        <v>197</v>
      </c>
      <c r="N67" s="9">
        <v>197</v>
      </c>
      <c r="O67" s="9">
        <v>3</v>
      </c>
      <c r="P67" s="9">
        <v>215.008640041007</v>
      </c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9">
        <v>215.000028041002</v>
      </c>
      <c r="AC67" s="9">
        <v>215.008640041007</v>
      </c>
      <c r="AD67" s="9">
        <v>215.494520250009</v>
      </c>
      <c r="AE67" s="9">
        <v>215.494520250009</v>
      </c>
      <c r="AF67" s="9">
        <v>215.494520250009</v>
      </c>
      <c r="AG67" s="9">
        <v>215.89648145800999</v>
      </c>
      <c r="AH67" s="10" t="s">
        <v>63</v>
      </c>
      <c r="AI67" s="9">
        <v>1</v>
      </c>
      <c r="AJ67" s="9">
        <v>0.39814712500083299</v>
      </c>
      <c r="AK67" s="10" t="s">
        <v>51</v>
      </c>
      <c r="AL67" s="8"/>
      <c r="AM67" s="8"/>
      <c r="AN67" s="8"/>
      <c r="AO67" s="9">
        <v>1</v>
      </c>
      <c r="AP67" s="9">
        <v>1</v>
      </c>
      <c r="AQ67" s="10" t="s">
        <v>96</v>
      </c>
      <c r="AR67" s="10" t="s">
        <v>53</v>
      </c>
      <c r="AS67" s="8"/>
      <c r="AT67" s="10" t="s">
        <v>54</v>
      </c>
      <c r="AU67" s="10" t="s">
        <v>51</v>
      </c>
      <c r="AV67" s="10" t="s">
        <v>97</v>
      </c>
      <c r="AW67" s="8"/>
    </row>
    <row r="68" spans="1:49" x14ac:dyDescent="0.15">
      <c r="A68" s="11" t="s">
        <v>85</v>
      </c>
      <c r="B68" s="12" t="s">
        <v>61</v>
      </c>
      <c r="C68" s="10" t="s">
        <v>58</v>
      </c>
      <c r="D68" s="10" t="s">
        <v>59</v>
      </c>
      <c r="E68" s="9">
        <v>198</v>
      </c>
      <c r="F68" s="9">
        <v>198</v>
      </c>
      <c r="G68" s="9">
        <v>4</v>
      </c>
      <c r="H68" s="10" t="s">
        <v>59</v>
      </c>
      <c r="I68" s="9">
        <v>1</v>
      </c>
      <c r="J68" s="9">
        <v>0.38620841600641098</v>
      </c>
      <c r="K68" s="10" t="s">
        <v>51</v>
      </c>
      <c r="L68" s="9">
        <v>4</v>
      </c>
      <c r="M68" s="9">
        <v>198</v>
      </c>
      <c r="N68" s="9">
        <v>198</v>
      </c>
      <c r="O68" s="9">
        <v>10</v>
      </c>
      <c r="P68" s="9">
        <v>215.909236625012</v>
      </c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9">
        <v>215.90026095800599</v>
      </c>
      <c r="AC68" s="9">
        <v>215.909236625012</v>
      </c>
      <c r="AD68" s="9">
        <v>216.39443370800299</v>
      </c>
      <c r="AE68" s="9">
        <v>216.39443370800299</v>
      </c>
      <c r="AF68" s="9">
        <v>216.39443370800299</v>
      </c>
      <c r="AG68" s="9">
        <v>216.78621545800701</v>
      </c>
      <c r="AH68" s="10" t="s">
        <v>59</v>
      </c>
      <c r="AI68" s="9">
        <v>1</v>
      </c>
      <c r="AJ68" s="9">
        <v>0.38620841600641098</v>
      </c>
      <c r="AK68" s="10" t="s">
        <v>51</v>
      </c>
      <c r="AL68" s="8"/>
      <c r="AM68" s="8"/>
      <c r="AN68" s="8"/>
      <c r="AO68" s="9">
        <v>1</v>
      </c>
      <c r="AP68" s="9">
        <v>1</v>
      </c>
      <c r="AQ68" s="10" t="s">
        <v>96</v>
      </c>
      <c r="AR68" s="10" t="s">
        <v>53</v>
      </c>
      <c r="AS68" s="8"/>
      <c r="AT68" s="10" t="s">
        <v>54</v>
      </c>
      <c r="AU68" s="10" t="s">
        <v>51</v>
      </c>
      <c r="AV68" s="10" t="s">
        <v>97</v>
      </c>
      <c r="AW68" s="8"/>
    </row>
    <row r="69" spans="1:49" x14ac:dyDescent="0.15">
      <c r="A69" s="11" t="s">
        <v>64</v>
      </c>
      <c r="B69" s="12" t="s">
        <v>61</v>
      </c>
      <c r="C69" s="10" t="s">
        <v>62</v>
      </c>
      <c r="D69" s="10" t="s">
        <v>63</v>
      </c>
      <c r="E69" s="9">
        <v>199</v>
      </c>
      <c r="F69" s="9">
        <v>199</v>
      </c>
      <c r="G69" s="9">
        <v>4</v>
      </c>
      <c r="H69" s="10" t="s">
        <v>63</v>
      </c>
      <c r="I69" s="9">
        <v>1</v>
      </c>
      <c r="J69" s="9">
        <v>0.37183816600008901</v>
      </c>
      <c r="K69" s="10" t="s">
        <v>51</v>
      </c>
      <c r="L69" s="9">
        <v>4</v>
      </c>
      <c r="M69" s="9">
        <v>199</v>
      </c>
      <c r="N69" s="9">
        <v>199</v>
      </c>
      <c r="O69" s="9">
        <v>5</v>
      </c>
      <c r="P69" s="9">
        <v>216.79959225001201</v>
      </c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9">
        <v>216.790591083001</v>
      </c>
      <c r="AC69" s="9">
        <v>216.79959225001201</v>
      </c>
      <c r="AD69" s="9">
        <v>217.28877220800501</v>
      </c>
      <c r="AE69" s="9">
        <v>217.28877220800501</v>
      </c>
      <c r="AF69" s="9">
        <v>217.28877220800501</v>
      </c>
      <c r="AG69" s="9">
        <v>217.663195833011</v>
      </c>
      <c r="AH69" s="10" t="s">
        <v>63</v>
      </c>
      <c r="AI69" s="9">
        <v>1</v>
      </c>
      <c r="AJ69" s="9">
        <v>0.37183816600008901</v>
      </c>
      <c r="AK69" s="10" t="s">
        <v>51</v>
      </c>
      <c r="AL69" s="8"/>
      <c r="AM69" s="8"/>
      <c r="AN69" s="8"/>
      <c r="AO69" s="9">
        <v>1</v>
      </c>
      <c r="AP69" s="9">
        <v>1</v>
      </c>
      <c r="AQ69" s="10" t="s">
        <v>96</v>
      </c>
      <c r="AR69" s="10" t="s">
        <v>53</v>
      </c>
      <c r="AS69" s="8"/>
      <c r="AT69" s="10" t="s">
        <v>54</v>
      </c>
      <c r="AU69" s="10" t="s">
        <v>51</v>
      </c>
      <c r="AV69" s="10" t="s">
        <v>97</v>
      </c>
      <c r="AW69" s="8"/>
    </row>
    <row r="70" spans="1:49" x14ac:dyDescent="0.15">
      <c r="A70" s="11" t="s">
        <v>83</v>
      </c>
      <c r="B70" s="12" t="s">
        <v>61</v>
      </c>
      <c r="C70" s="10" t="s">
        <v>58</v>
      </c>
      <c r="D70" s="10" t="s">
        <v>59</v>
      </c>
      <c r="E70" s="9">
        <v>201</v>
      </c>
      <c r="F70" s="9">
        <v>201</v>
      </c>
      <c r="G70" s="9">
        <v>4</v>
      </c>
      <c r="H70" s="10" t="s">
        <v>59</v>
      </c>
      <c r="I70" s="9">
        <v>1</v>
      </c>
      <c r="J70" s="9">
        <v>0.41759537500911398</v>
      </c>
      <c r="K70" s="10" t="s">
        <v>51</v>
      </c>
      <c r="L70" s="9">
        <v>4</v>
      </c>
      <c r="M70" s="9">
        <v>201</v>
      </c>
      <c r="N70" s="9">
        <v>201</v>
      </c>
      <c r="O70" s="9">
        <v>2</v>
      </c>
      <c r="P70" s="9">
        <v>218.577290375004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9">
        <v>218.56829766600299</v>
      </c>
      <c r="AC70" s="9">
        <v>218.577290375004</v>
      </c>
      <c r="AD70" s="9">
        <v>219.06113550000001</v>
      </c>
      <c r="AE70" s="9">
        <v>219.06113550000001</v>
      </c>
      <c r="AF70" s="9">
        <v>219.06113550000001</v>
      </c>
      <c r="AG70" s="9">
        <v>219.48635037500901</v>
      </c>
      <c r="AH70" s="10" t="s">
        <v>59</v>
      </c>
      <c r="AI70" s="9">
        <v>1</v>
      </c>
      <c r="AJ70" s="9">
        <v>0.41759537500911398</v>
      </c>
      <c r="AK70" s="10" t="s">
        <v>51</v>
      </c>
      <c r="AL70" s="8"/>
      <c r="AM70" s="8"/>
      <c r="AN70" s="8"/>
      <c r="AO70" s="9">
        <v>1</v>
      </c>
      <c r="AP70" s="9">
        <v>1</v>
      </c>
      <c r="AQ70" s="10" t="s">
        <v>96</v>
      </c>
      <c r="AR70" s="10" t="s">
        <v>53</v>
      </c>
      <c r="AS70" s="8"/>
      <c r="AT70" s="10" t="s">
        <v>54</v>
      </c>
      <c r="AU70" s="10" t="s">
        <v>51</v>
      </c>
      <c r="AV70" s="10" t="s">
        <v>97</v>
      </c>
      <c r="AW70" s="8"/>
    </row>
    <row r="71" spans="1:49" x14ac:dyDescent="0.15">
      <c r="A71" s="11" t="s">
        <v>70</v>
      </c>
      <c r="B71" s="12" t="s">
        <v>61</v>
      </c>
      <c r="C71" s="10" t="s">
        <v>58</v>
      </c>
      <c r="D71" s="10" t="s">
        <v>59</v>
      </c>
      <c r="E71" s="9">
        <v>202</v>
      </c>
      <c r="F71" s="9">
        <v>202</v>
      </c>
      <c r="G71" s="9">
        <v>3</v>
      </c>
      <c r="H71" s="10" t="s">
        <v>59</v>
      </c>
      <c r="I71" s="9">
        <v>1</v>
      </c>
      <c r="J71" s="9">
        <v>0.41414054100459902</v>
      </c>
      <c r="K71" s="10" t="s">
        <v>51</v>
      </c>
      <c r="L71" s="9">
        <v>3</v>
      </c>
      <c r="M71" s="9">
        <v>202</v>
      </c>
      <c r="N71" s="9">
        <v>202</v>
      </c>
      <c r="O71" s="9">
        <v>12</v>
      </c>
      <c r="P71" s="9">
        <v>219.50137541600299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9">
        <v>219.49181679100701</v>
      </c>
      <c r="AC71" s="9">
        <v>219.50137541600299</v>
      </c>
      <c r="AD71" s="9">
        <v>219.98750704100499</v>
      </c>
      <c r="AE71" s="9">
        <v>219.98750704100499</v>
      </c>
      <c r="AF71" s="9">
        <v>219.98750704100499</v>
      </c>
      <c r="AG71" s="9">
        <v>220.41326858301201</v>
      </c>
      <c r="AH71" s="10" t="s">
        <v>59</v>
      </c>
      <c r="AI71" s="9">
        <v>1</v>
      </c>
      <c r="AJ71" s="9">
        <v>0.41414054100459902</v>
      </c>
      <c r="AK71" s="10" t="s">
        <v>51</v>
      </c>
      <c r="AL71" s="8"/>
      <c r="AM71" s="8"/>
      <c r="AN71" s="8"/>
      <c r="AO71" s="9">
        <v>1</v>
      </c>
      <c r="AP71" s="9">
        <v>1</v>
      </c>
      <c r="AQ71" s="10" t="s">
        <v>96</v>
      </c>
      <c r="AR71" s="10" t="s">
        <v>53</v>
      </c>
      <c r="AS71" s="8"/>
      <c r="AT71" s="10" t="s">
        <v>54</v>
      </c>
      <c r="AU71" s="10" t="s">
        <v>51</v>
      </c>
      <c r="AV71" s="10" t="s">
        <v>97</v>
      </c>
      <c r="AW71" s="8"/>
    </row>
    <row r="72" spans="1:49" x14ac:dyDescent="0.15">
      <c r="A72" s="11" t="s">
        <v>79</v>
      </c>
      <c r="B72" s="12" t="s">
        <v>61</v>
      </c>
      <c r="C72" s="10" t="s">
        <v>58</v>
      </c>
      <c r="D72" s="10" t="s">
        <v>59</v>
      </c>
      <c r="E72" s="9">
        <v>215</v>
      </c>
      <c r="F72" s="9">
        <v>215</v>
      </c>
      <c r="G72" s="9">
        <v>3</v>
      </c>
      <c r="H72" s="10" t="s">
        <v>59</v>
      </c>
      <c r="I72" s="9">
        <v>1</v>
      </c>
      <c r="J72" s="9">
        <v>0.42591870800242798</v>
      </c>
      <c r="K72" s="10" t="s">
        <v>51</v>
      </c>
      <c r="L72" s="9">
        <v>3</v>
      </c>
      <c r="M72" s="9">
        <v>215</v>
      </c>
      <c r="N72" s="9">
        <v>215</v>
      </c>
      <c r="O72" s="9">
        <v>6</v>
      </c>
      <c r="P72" s="9">
        <v>231.827398791007</v>
      </c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9">
        <v>231.81834075000401</v>
      </c>
      <c r="AC72" s="9">
        <v>231.827398791007</v>
      </c>
      <c r="AD72" s="9">
        <v>232.31199787500401</v>
      </c>
      <c r="AE72" s="9">
        <v>232.31199787500401</v>
      </c>
      <c r="AF72" s="9">
        <v>232.31199787500401</v>
      </c>
      <c r="AG72" s="9">
        <v>232.747190458002</v>
      </c>
      <c r="AH72" s="10" t="s">
        <v>59</v>
      </c>
      <c r="AI72" s="9">
        <v>1</v>
      </c>
      <c r="AJ72" s="9">
        <v>0.42591870800242798</v>
      </c>
      <c r="AK72" s="10" t="s">
        <v>51</v>
      </c>
      <c r="AL72" s="8"/>
      <c r="AM72" s="8"/>
      <c r="AN72" s="8"/>
      <c r="AO72" s="9">
        <v>1</v>
      </c>
      <c r="AP72" s="9">
        <v>1</v>
      </c>
      <c r="AQ72" s="10" t="s">
        <v>96</v>
      </c>
      <c r="AR72" s="10" t="s">
        <v>53</v>
      </c>
      <c r="AS72" s="8"/>
      <c r="AT72" s="10" t="s">
        <v>54</v>
      </c>
      <c r="AU72" s="10" t="s">
        <v>51</v>
      </c>
      <c r="AV72" s="10" t="s">
        <v>97</v>
      </c>
      <c r="AW72" s="8"/>
    </row>
    <row r="73" spans="1:49" x14ac:dyDescent="0.15">
      <c r="A73" s="11" t="s">
        <v>79</v>
      </c>
      <c r="B73" s="12" t="s">
        <v>61</v>
      </c>
      <c r="C73" s="10" t="s">
        <v>58</v>
      </c>
      <c r="D73" s="10" t="s">
        <v>59</v>
      </c>
      <c r="E73" s="9">
        <v>216</v>
      </c>
      <c r="F73" s="9">
        <v>216</v>
      </c>
      <c r="G73" s="9">
        <v>4</v>
      </c>
      <c r="H73" s="10" t="s">
        <v>59</v>
      </c>
      <c r="I73" s="9">
        <v>1</v>
      </c>
      <c r="J73" s="9">
        <v>0.34975633300200598</v>
      </c>
      <c r="K73" s="10" t="s">
        <v>51</v>
      </c>
      <c r="L73" s="9">
        <v>4</v>
      </c>
      <c r="M73" s="9">
        <v>216</v>
      </c>
      <c r="N73" s="9">
        <v>216</v>
      </c>
      <c r="O73" s="9">
        <v>6</v>
      </c>
      <c r="P73" s="9">
        <v>232.75837808300301</v>
      </c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9">
        <v>232.748221416012</v>
      </c>
      <c r="AC73" s="9">
        <v>232.75837808300301</v>
      </c>
      <c r="AD73" s="9">
        <v>233.24518862500599</v>
      </c>
      <c r="AE73" s="9">
        <v>233.24518862500599</v>
      </c>
      <c r="AF73" s="9">
        <v>233.24518862500599</v>
      </c>
      <c r="AG73" s="9">
        <v>233.59699529100899</v>
      </c>
      <c r="AH73" s="10" t="s">
        <v>59</v>
      </c>
      <c r="AI73" s="9">
        <v>1</v>
      </c>
      <c r="AJ73" s="9">
        <v>0.34975633300200598</v>
      </c>
      <c r="AK73" s="10" t="s">
        <v>51</v>
      </c>
      <c r="AL73" s="8"/>
      <c r="AM73" s="8"/>
      <c r="AN73" s="8"/>
      <c r="AO73" s="9">
        <v>1</v>
      </c>
      <c r="AP73" s="9">
        <v>1</v>
      </c>
      <c r="AQ73" s="10" t="s">
        <v>96</v>
      </c>
      <c r="AR73" s="10" t="s">
        <v>53</v>
      </c>
      <c r="AS73" s="8"/>
      <c r="AT73" s="10" t="s">
        <v>54</v>
      </c>
      <c r="AU73" s="10" t="s">
        <v>51</v>
      </c>
      <c r="AV73" s="10" t="s">
        <v>97</v>
      </c>
      <c r="AW73" s="8"/>
    </row>
    <row r="74" spans="1:49" x14ac:dyDescent="0.15">
      <c r="A74" s="11" t="s">
        <v>70</v>
      </c>
      <c r="B74" s="12" t="s">
        <v>61</v>
      </c>
      <c r="C74" s="10" t="s">
        <v>62</v>
      </c>
      <c r="D74" s="10" t="s">
        <v>63</v>
      </c>
      <c r="E74" s="9">
        <v>222</v>
      </c>
      <c r="F74" s="9">
        <v>222</v>
      </c>
      <c r="G74" s="9">
        <v>4</v>
      </c>
      <c r="H74" s="10" t="s">
        <v>59</v>
      </c>
      <c r="I74" s="9">
        <v>0</v>
      </c>
      <c r="J74" s="9">
        <v>0.67942958300409395</v>
      </c>
      <c r="K74" s="10" t="s">
        <v>51</v>
      </c>
      <c r="L74" s="9">
        <v>4</v>
      </c>
      <c r="M74" s="9">
        <v>222</v>
      </c>
      <c r="N74" s="9">
        <v>222</v>
      </c>
      <c r="O74" s="9">
        <v>13</v>
      </c>
      <c r="P74" s="9">
        <v>238.744012041003</v>
      </c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9">
        <v>238.73521937501201</v>
      </c>
      <c r="AC74" s="9">
        <v>238.744012041003</v>
      </c>
      <c r="AD74" s="9">
        <v>239.22868704100301</v>
      </c>
      <c r="AE74" s="9">
        <v>239.22868704100301</v>
      </c>
      <c r="AF74" s="9">
        <v>239.22868704100301</v>
      </c>
      <c r="AG74" s="9">
        <v>239.91364145801299</v>
      </c>
      <c r="AH74" s="10" t="s">
        <v>59</v>
      </c>
      <c r="AI74" s="9">
        <v>0</v>
      </c>
      <c r="AJ74" s="9">
        <v>0.67942958300409395</v>
      </c>
      <c r="AK74" s="10" t="s">
        <v>51</v>
      </c>
      <c r="AL74" s="8"/>
      <c r="AM74" s="8"/>
      <c r="AN74" s="8"/>
      <c r="AO74" s="9">
        <v>1</v>
      </c>
      <c r="AP74" s="9">
        <v>1</v>
      </c>
      <c r="AQ74" s="10" t="s">
        <v>96</v>
      </c>
      <c r="AR74" s="10" t="s">
        <v>53</v>
      </c>
      <c r="AS74" s="8"/>
      <c r="AT74" s="10" t="s">
        <v>54</v>
      </c>
      <c r="AU74" s="10" t="s">
        <v>51</v>
      </c>
      <c r="AV74" s="10" t="s">
        <v>97</v>
      </c>
      <c r="AW74" s="8"/>
    </row>
    <row r="75" spans="1:49" x14ac:dyDescent="0.15">
      <c r="A75" s="11" t="s">
        <v>60</v>
      </c>
      <c r="B75" s="12" t="s">
        <v>61</v>
      </c>
      <c r="C75" s="10" t="s">
        <v>58</v>
      </c>
      <c r="D75" s="10" t="s">
        <v>59</v>
      </c>
      <c r="E75" s="9">
        <v>223</v>
      </c>
      <c r="F75" s="9">
        <v>223</v>
      </c>
      <c r="G75" s="9">
        <v>3</v>
      </c>
      <c r="H75" s="10" t="s">
        <v>59</v>
      </c>
      <c r="I75" s="9">
        <v>1</v>
      </c>
      <c r="J75" s="9">
        <v>0.77019095800642401</v>
      </c>
      <c r="K75" s="10" t="s">
        <v>51</v>
      </c>
      <c r="L75" s="9">
        <v>3</v>
      </c>
      <c r="M75" s="9">
        <v>223</v>
      </c>
      <c r="N75" s="9">
        <v>223</v>
      </c>
      <c r="O75" s="9">
        <v>8</v>
      </c>
      <c r="P75" s="9">
        <v>239.92641345800101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9">
        <v>239.91708525000999</v>
      </c>
      <c r="AC75" s="9">
        <v>239.92641345800101</v>
      </c>
      <c r="AD75" s="9">
        <v>240.41183012501301</v>
      </c>
      <c r="AE75" s="9">
        <v>240.41183012501301</v>
      </c>
      <c r="AF75" s="9">
        <v>240.41183012501301</v>
      </c>
      <c r="AG75" s="9">
        <v>241.186928791009</v>
      </c>
      <c r="AH75" s="10" t="s">
        <v>59</v>
      </c>
      <c r="AI75" s="9">
        <v>1</v>
      </c>
      <c r="AJ75" s="9">
        <v>0.77019095800642401</v>
      </c>
      <c r="AK75" s="10" t="s">
        <v>51</v>
      </c>
      <c r="AL75" s="8"/>
      <c r="AM75" s="8"/>
      <c r="AN75" s="8"/>
      <c r="AO75" s="9">
        <v>1</v>
      </c>
      <c r="AP75" s="9">
        <v>1</v>
      </c>
      <c r="AQ75" s="10" t="s">
        <v>96</v>
      </c>
      <c r="AR75" s="10" t="s">
        <v>53</v>
      </c>
      <c r="AS75" s="8"/>
      <c r="AT75" s="10" t="s">
        <v>54</v>
      </c>
      <c r="AU75" s="10" t="s">
        <v>51</v>
      </c>
      <c r="AV75" s="10" t="s">
        <v>97</v>
      </c>
      <c r="AW75" s="8"/>
    </row>
    <row r="76" spans="1:49" x14ac:dyDescent="0.15">
      <c r="A76" s="11" t="s">
        <v>74</v>
      </c>
      <c r="B76" s="12" t="s">
        <v>61</v>
      </c>
      <c r="C76" s="10" t="s">
        <v>62</v>
      </c>
      <c r="D76" s="10" t="s">
        <v>63</v>
      </c>
      <c r="E76" s="9">
        <v>224</v>
      </c>
      <c r="F76" s="9">
        <v>224</v>
      </c>
      <c r="G76" s="9">
        <v>4</v>
      </c>
      <c r="H76" s="10" t="s">
        <v>63</v>
      </c>
      <c r="I76" s="9">
        <v>1</v>
      </c>
      <c r="J76" s="9">
        <v>0.97652749999542698</v>
      </c>
      <c r="K76" s="10" t="s">
        <v>51</v>
      </c>
      <c r="L76" s="9">
        <v>4</v>
      </c>
      <c r="M76" s="9">
        <v>224</v>
      </c>
      <c r="N76" s="9">
        <v>224</v>
      </c>
      <c r="O76" s="9">
        <v>1</v>
      </c>
      <c r="P76" s="9">
        <v>241.19990141600999</v>
      </c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9">
        <v>241.19092250001299</v>
      </c>
      <c r="AC76" s="9">
        <v>241.19990141600999</v>
      </c>
      <c r="AD76" s="9">
        <v>241.68753600001199</v>
      </c>
      <c r="AE76" s="9">
        <v>241.68753600001199</v>
      </c>
      <c r="AF76" s="9">
        <v>241.68753600001199</v>
      </c>
      <c r="AG76" s="9">
        <v>242.670283791012</v>
      </c>
      <c r="AH76" s="10" t="s">
        <v>63</v>
      </c>
      <c r="AI76" s="9">
        <v>1</v>
      </c>
      <c r="AJ76" s="9">
        <v>0.97652749999542698</v>
      </c>
      <c r="AK76" s="10" t="s">
        <v>51</v>
      </c>
      <c r="AL76" s="8"/>
      <c r="AM76" s="8"/>
      <c r="AN76" s="8"/>
      <c r="AO76" s="9">
        <v>1</v>
      </c>
      <c r="AP76" s="9">
        <v>1</v>
      </c>
      <c r="AQ76" s="10" t="s">
        <v>96</v>
      </c>
      <c r="AR76" s="10" t="s">
        <v>53</v>
      </c>
      <c r="AS76" s="8"/>
      <c r="AT76" s="10" t="s">
        <v>54</v>
      </c>
      <c r="AU76" s="10" t="s">
        <v>51</v>
      </c>
      <c r="AV76" s="10" t="s">
        <v>97</v>
      </c>
      <c r="AW76" s="8"/>
    </row>
    <row r="77" spans="1:49" x14ac:dyDescent="0.15">
      <c r="A77" s="11" t="s">
        <v>73</v>
      </c>
      <c r="B77" s="12" t="s">
        <v>61</v>
      </c>
      <c r="C77" s="10" t="s">
        <v>58</v>
      </c>
      <c r="D77" s="10" t="s">
        <v>59</v>
      </c>
      <c r="E77" s="9">
        <v>232</v>
      </c>
      <c r="F77" s="9">
        <v>232</v>
      </c>
      <c r="G77" s="9">
        <v>4</v>
      </c>
      <c r="H77" s="10" t="s">
        <v>59</v>
      </c>
      <c r="I77" s="9">
        <v>1</v>
      </c>
      <c r="J77" s="9">
        <v>1.2690399160055701</v>
      </c>
      <c r="K77" s="10" t="s">
        <v>51</v>
      </c>
      <c r="L77" s="9">
        <v>4</v>
      </c>
      <c r="M77" s="9">
        <v>232</v>
      </c>
      <c r="N77" s="9">
        <v>232</v>
      </c>
      <c r="O77" s="9">
        <v>14</v>
      </c>
      <c r="P77" s="9">
        <v>249.95145541601201</v>
      </c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9">
        <v>249.942565000005</v>
      </c>
      <c r="AC77" s="9">
        <v>249.95145541601201</v>
      </c>
      <c r="AD77" s="9">
        <v>250.43831283300801</v>
      </c>
      <c r="AE77" s="9">
        <v>250.43831283300801</v>
      </c>
      <c r="AF77" s="9">
        <v>250.43831283300801</v>
      </c>
      <c r="AG77" s="9">
        <v>251.71449783300301</v>
      </c>
      <c r="AH77" s="10" t="s">
        <v>59</v>
      </c>
      <c r="AI77" s="9">
        <v>1</v>
      </c>
      <c r="AJ77" s="9">
        <v>1.2690399160055701</v>
      </c>
      <c r="AK77" s="10" t="s">
        <v>51</v>
      </c>
      <c r="AL77" s="8"/>
      <c r="AM77" s="8"/>
      <c r="AN77" s="8"/>
      <c r="AO77" s="9">
        <v>1</v>
      </c>
      <c r="AP77" s="9">
        <v>1</v>
      </c>
      <c r="AQ77" s="10" t="s">
        <v>96</v>
      </c>
      <c r="AR77" s="10" t="s">
        <v>53</v>
      </c>
      <c r="AS77" s="8"/>
      <c r="AT77" s="10" t="s">
        <v>54</v>
      </c>
      <c r="AU77" s="10" t="s">
        <v>51</v>
      </c>
      <c r="AV77" s="10" t="s">
        <v>97</v>
      </c>
      <c r="AW77" s="8"/>
    </row>
    <row r="78" spans="1:49" x14ac:dyDescent="0.15">
      <c r="A78" s="11" t="s">
        <v>79</v>
      </c>
      <c r="B78" s="12" t="s">
        <v>61</v>
      </c>
      <c r="C78" s="10" t="s">
        <v>62</v>
      </c>
      <c r="D78" s="10" t="s">
        <v>63</v>
      </c>
      <c r="E78" s="9">
        <v>233</v>
      </c>
      <c r="F78" s="9">
        <v>233</v>
      </c>
      <c r="G78" s="9">
        <v>4</v>
      </c>
      <c r="H78" s="10" t="s">
        <v>63</v>
      </c>
      <c r="I78" s="9">
        <v>1</v>
      </c>
      <c r="J78" s="9">
        <v>0.52095383299456399</v>
      </c>
      <c r="K78" s="10" t="s">
        <v>51</v>
      </c>
      <c r="L78" s="9">
        <v>4</v>
      </c>
      <c r="M78" s="9">
        <v>233</v>
      </c>
      <c r="N78" s="9">
        <v>233</v>
      </c>
      <c r="O78" s="9">
        <v>7</v>
      </c>
      <c r="P78" s="9">
        <v>251.72999687500101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9">
        <v>251.72099829101401</v>
      </c>
      <c r="AC78" s="9">
        <v>251.72999687500101</v>
      </c>
      <c r="AD78" s="9">
        <v>252.212202125011</v>
      </c>
      <c r="AE78" s="9">
        <v>252.212202125011</v>
      </c>
      <c r="AF78" s="9">
        <v>252.212202125011</v>
      </c>
      <c r="AG78" s="9">
        <v>252.73681533300299</v>
      </c>
      <c r="AH78" s="10" t="s">
        <v>63</v>
      </c>
      <c r="AI78" s="9">
        <v>1</v>
      </c>
      <c r="AJ78" s="9">
        <v>0.52095383299456399</v>
      </c>
      <c r="AK78" s="10" t="s">
        <v>51</v>
      </c>
      <c r="AL78" s="8"/>
      <c r="AM78" s="8"/>
      <c r="AN78" s="8"/>
      <c r="AO78" s="9">
        <v>1</v>
      </c>
      <c r="AP78" s="9">
        <v>1</v>
      </c>
      <c r="AQ78" s="10" t="s">
        <v>96</v>
      </c>
      <c r="AR78" s="10" t="s">
        <v>53</v>
      </c>
      <c r="AS78" s="8"/>
      <c r="AT78" s="10" t="s">
        <v>54</v>
      </c>
      <c r="AU78" s="10" t="s">
        <v>51</v>
      </c>
      <c r="AV78" s="10" t="s">
        <v>97</v>
      </c>
      <c r="AW78" s="8"/>
    </row>
    <row r="79" spans="1:49" x14ac:dyDescent="0.15">
      <c r="A79" s="11" t="s">
        <v>74</v>
      </c>
      <c r="B79" s="12" t="s">
        <v>61</v>
      </c>
      <c r="C79" s="10" t="s">
        <v>58</v>
      </c>
      <c r="D79" s="10" t="s">
        <v>59</v>
      </c>
      <c r="E79" s="9">
        <v>237</v>
      </c>
      <c r="F79" s="9">
        <v>237</v>
      </c>
      <c r="G79" s="9">
        <v>4</v>
      </c>
      <c r="H79" s="10" t="s">
        <v>59</v>
      </c>
      <c r="I79" s="9">
        <v>1</v>
      </c>
      <c r="J79" s="9">
        <v>0.54342608299339201</v>
      </c>
      <c r="K79" s="10" t="s">
        <v>51</v>
      </c>
      <c r="L79" s="9">
        <v>4</v>
      </c>
      <c r="M79" s="9">
        <v>237</v>
      </c>
      <c r="N79" s="9">
        <v>237</v>
      </c>
      <c r="O79" s="9">
        <v>0</v>
      </c>
      <c r="P79" s="9">
        <v>256.46828420800699</v>
      </c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9">
        <v>256.45915550000802</v>
      </c>
      <c r="AC79" s="9">
        <v>256.46828420800699</v>
      </c>
      <c r="AD79" s="9">
        <v>256.954823958004</v>
      </c>
      <c r="AE79" s="9">
        <v>256.954823958004</v>
      </c>
      <c r="AF79" s="9">
        <v>256.954823958004</v>
      </c>
      <c r="AG79" s="9">
        <v>257.503750250005</v>
      </c>
      <c r="AH79" s="10" t="s">
        <v>59</v>
      </c>
      <c r="AI79" s="9">
        <v>1</v>
      </c>
      <c r="AJ79" s="9">
        <v>0.54342608299339201</v>
      </c>
      <c r="AK79" s="10" t="s">
        <v>51</v>
      </c>
      <c r="AL79" s="8"/>
      <c r="AM79" s="8"/>
      <c r="AN79" s="8"/>
      <c r="AO79" s="9">
        <v>1</v>
      </c>
      <c r="AP79" s="9">
        <v>1</v>
      </c>
      <c r="AQ79" s="10" t="s">
        <v>96</v>
      </c>
      <c r="AR79" s="10" t="s">
        <v>53</v>
      </c>
      <c r="AS79" s="8"/>
      <c r="AT79" s="10" t="s">
        <v>54</v>
      </c>
      <c r="AU79" s="10" t="s">
        <v>51</v>
      </c>
      <c r="AV79" s="10" t="s">
        <v>97</v>
      </c>
      <c r="AW79" s="8"/>
    </row>
    <row r="80" spans="1:49" x14ac:dyDescent="0.15">
      <c r="A80" s="11" t="s">
        <v>60</v>
      </c>
      <c r="B80" s="12" t="s">
        <v>61</v>
      </c>
      <c r="C80" s="10" t="s">
        <v>58</v>
      </c>
      <c r="D80" s="10" t="s">
        <v>59</v>
      </c>
      <c r="E80" s="9">
        <v>238</v>
      </c>
      <c r="F80" s="9">
        <v>238</v>
      </c>
      <c r="G80" s="9">
        <v>4</v>
      </c>
      <c r="H80" s="10" t="s">
        <v>59</v>
      </c>
      <c r="I80" s="9">
        <v>1</v>
      </c>
      <c r="J80" s="9">
        <v>0.34586654200393202</v>
      </c>
      <c r="K80" s="10" t="s">
        <v>51</v>
      </c>
      <c r="L80" s="9">
        <v>4</v>
      </c>
      <c r="M80" s="9">
        <v>238</v>
      </c>
      <c r="N80" s="9">
        <v>238</v>
      </c>
      <c r="O80" s="9">
        <v>8</v>
      </c>
      <c r="P80" s="9">
        <v>257.517934166011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9">
        <v>257.507181166002</v>
      </c>
      <c r="AC80" s="9">
        <v>257.517934166011</v>
      </c>
      <c r="AD80" s="9">
        <v>258.00549520801002</v>
      </c>
      <c r="AE80" s="9">
        <v>258.00549520801002</v>
      </c>
      <c r="AF80" s="9">
        <v>258.00549520801002</v>
      </c>
      <c r="AG80" s="9">
        <v>258.354085333005</v>
      </c>
      <c r="AH80" s="10" t="s">
        <v>59</v>
      </c>
      <c r="AI80" s="9">
        <v>1</v>
      </c>
      <c r="AJ80" s="9">
        <v>0.34586654200393202</v>
      </c>
      <c r="AK80" s="10" t="s">
        <v>51</v>
      </c>
      <c r="AL80" s="8"/>
      <c r="AM80" s="8"/>
      <c r="AN80" s="8"/>
      <c r="AO80" s="9">
        <v>1</v>
      </c>
      <c r="AP80" s="9">
        <v>1</v>
      </c>
      <c r="AQ80" s="10" t="s">
        <v>96</v>
      </c>
      <c r="AR80" s="10" t="s">
        <v>53</v>
      </c>
      <c r="AS80" s="8"/>
      <c r="AT80" s="10" t="s">
        <v>54</v>
      </c>
      <c r="AU80" s="10" t="s">
        <v>51</v>
      </c>
      <c r="AV80" s="10" t="s">
        <v>97</v>
      </c>
      <c r="AW80" s="8"/>
    </row>
    <row r="81" spans="1:49" x14ac:dyDescent="0.15">
      <c r="A81" s="11" t="s">
        <v>70</v>
      </c>
      <c r="B81" s="12" t="s">
        <v>61</v>
      </c>
      <c r="C81" s="10" t="s">
        <v>58</v>
      </c>
      <c r="D81" s="10" t="s">
        <v>59</v>
      </c>
      <c r="E81" s="9">
        <v>239</v>
      </c>
      <c r="F81" s="9">
        <v>239</v>
      </c>
      <c r="G81" s="9">
        <v>4</v>
      </c>
      <c r="H81" s="10" t="s">
        <v>59</v>
      </c>
      <c r="I81" s="9">
        <v>1</v>
      </c>
      <c r="J81" s="9">
        <v>0.36209412499738403</v>
      </c>
      <c r="K81" s="10" t="s">
        <v>51</v>
      </c>
      <c r="L81" s="9">
        <v>4</v>
      </c>
      <c r="M81" s="9">
        <v>239</v>
      </c>
      <c r="N81" s="9">
        <v>239</v>
      </c>
      <c r="O81" s="9">
        <v>12</v>
      </c>
      <c r="P81" s="9">
        <v>258.36853433300001</v>
      </c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9">
        <v>258.36015033301402</v>
      </c>
      <c r="AC81" s="9">
        <v>258.36853433300001</v>
      </c>
      <c r="AD81" s="9">
        <v>258.85524779101303</v>
      </c>
      <c r="AE81" s="9">
        <v>258.85524779101303</v>
      </c>
      <c r="AF81" s="9">
        <v>258.85524779101303</v>
      </c>
      <c r="AG81" s="9">
        <v>259.22069208300701</v>
      </c>
      <c r="AH81" s="10" t="s">
        <v>59</v>
      </c>
      <c r="AI81" s="9">
        <v>1</v>
      </c>
      <c r="AJ81" s="9">
        <v>0.36209412499738403</v>
      </c>
      <c r="AK81" s="10" t="s">
        <v>51</v>
      </c>
      <c r="AL81" s="8"/>
      <c r="AM81" s="8"/>
      <c r="AN81" s="8"/>
      <c r="AO81" s="9">
        <v>1</v>
      </c>
      <c r="AP81" s="9">
        <v>1</v>
      </c>
      <c r="AQ81" s="10" t="s">
        <v>96</v>
      </c>
      <c r="AR81" s="10" t="s">
        <v>53</v>
      </c>
      <c r="AS81" s="8"/>
      <c r="AT81" s="10" t="s">
        <v>54</v>
      </c>
      <c r="AU81" s="10" t="s">
        <v>51</v>
      </c>
      <c r="AV81" s="10" t="s">
        <v>97</v>
      </c>
      <c r="AW81" s="8"/>
    </row>
    <row r="82" spans="1:49" x14ac:dyDescent="0.15">
      <c r="A82" s="11" t="s">
        <v>71</v>
      </c>
      <c r="B82" s="12" t="s">
        <v>57</v>
      </c>
      <c r="C82" s="10" t="s">
        <v>58</v>
      </c>
      <c r="D82" s="10" t="s">
        <v>59</v>
      </c>
      <c r="E82" s="9">
        <v>0</v>
      </c>
      <c r="F82" s="9">
        <v>0</v>
      </c>
      <c r="G82" s="9">
        <v>0</v>
      </c>
      <c r="H82" s="10" t="s">
        <v>59</v>
      </c>
      <c r="I82" s="9">
        <v>1</v>
      </c>
      <c r="J82" s="9">
        <v>0.85368549999839205</v>
      </c>
      <c r="K82" s="10" t="s">
        <v>51</v>
      </c>
      <c r="L82" s="9">
        <v>0</v>
      </c>
      <c r="M82" s="9">
        <v>0</v>
      </c>
      <c r="N82" s="9">
        <v>0</v>
      </c>
      <c r="O82" s="9">
        <v>28</v>
      </c>
      <c r="P82" s="9">
        <v>23.094407583004799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9">
        <v>23.0857352500025</v>
      </c>
      <c r="AC82" s="9">
        <v>23.094407583004799</v>
      </c>
      <c r="AD82" s="9">
        <v>23.5307143750106</v>
      </c>
      <c r="AE82" s="9">
        <v>23.5307143750106</v>
      </c>
      <c r="AF82" s="9">
        <v>23.5307143750106</v>
      </c>
      <c r="AG82" s="9">
        <v>24.389982708002201</v>
      </c>
      <c r="AH82" s="10" t="s">
        <v>59</v>
      </c>
      <c r="AI82" s="9">
        <v>1</v>
      </c>
      <c r="AJ82" s="9">
        <v>0.85368549999839205</v>
      </c>
      <c r="AK82" s="10" t="s">
        <v>51</v>
      </c>
      <c r="AL82" s="8"/>
      <c r="AM82" s="8"/>
      <c r="AN82" s="8"/>
      <c r="AO82" s="9">
        <v>1</v>
      </c>
      <c r="AP82" s="9">
        <v>1</v>
      </c>
      <c r="AQ82" s="10" t="s">
        <v>96</v>
      </c>
      <c r="AR82" s="10" t="s">
        <v>53</v>
      </c>
      <c r="AS82" s="8"/>
      <c r="AT82" s="10" t="s">
        <v>54</v>
      </c>
      <c r="AU82" s="10" t="s">
        <v>51</v>
      </c>
      <c r="AV82" s="10" t="s">
        <v>97</v>
      </c>
      <c r="AW82" s="8"/>
    </row>
    <row r="83" spans="1:49" x14ac:dyDescent="0.15">
      <c r="A83" s="11" t="s">
        <v>56</v>
      </c>
      <c r="B83" s="12" t="s">
        <v>57</v>
      </c>
      <c r="C83" s="10" t="s">
        <v>62</v>
      </c>
      <c r="D83" s="10" t="s">
        <v>63</v>
      </c>
      <c r="E83" s="9">
        <v>1</v>
      </c>
      <c r="F83" s="9">
        <v>1</v>
      </c>
      <c r="G83" s="9">
        <v>0</v>
      </c>
      <c r="H83" s="10" t="s">
        <v>63</v>
      </c>
      <c r="I83" s="9">
        <v>1</v>
      </c>
      <c r="J83" s="9">
        <v>0.80537070799619004</v>
      </c>
      <c r="K83" s="10" t="s">
        <v>51</v>
      </c>
      <c r="L83" s="9">
        <v>0</v>
      </c>
      <c r="M83" s="9">
        <v>1</v>
      </c>
      <c r="N83" s="9">
        <v>1</v>
      </c>
      <c r="O83" s="9">
        <v>17</v>
      </c>
      <c r="P83" s="9">
        <v>24.403711208011401</v>
      </c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9">
        <v>24.394085500010998</v>
      </c>
      <c r="AC83" s="9">
        <v>24.403711208011401</v>
      </c>
      <c r="AD83" s="9">
        <v>24.887964208013699</v>
      </c>
      <c r="AE83" s="9">
        <v>24.887964208013699</v>
      </c>
      <c r="AF83" s="9">
        <v>24.887964208013699</v>
      </c>
      <c r="AG83" s="9">
        <v>25.6958236250066</v>
      </c>
      <c r="AH83" s="10" t="s">
        <v>63</v>
      </c>
      <c r="AI83" s="9">
        <v>1</v>
      </c>
      <c r="AJ83" s="9">
        <v>0.80537070799619004</v>
      </c>
      <c r="AK83" s="10" t="s">
        <v>51</v>
      </c>
      <c r="AL83" s="8"/>
      <c r="AM83" s="8"/>
      <c r="AN83" s="8"/>
      <c r="AO83" s="9">
        <v>1</v>
      </c>
      <c r="AP83" s="9">
        <v>1</v>
      </c>
      <c r="AQ83" s="10" t="s">
        <v>96</v>
      </c>
      <c r="AR83" s="10" t="s">
        <v>53</v>
      </c>
      <c r="AS83" s="8"/>
      <c r="AT83" s="10" t="s">
        <v>54</v>
      </c>
      <c r="AU83" s="10" t="s">
        <v>51</v>
      </c>
      <c r="AV83" s="10" t="s">
        <v>97</v>
      </c>
      <c r="AW83" s="8"/>
    </row>
    <row r="84" spans="1:49" x14ac:dyDescent="0.15">
      <c r="A84" s="11" t="s">
        <v>68</v>
      </c>
      <c r="B84" s="12" t="s">
        <v>57</v>
      </c>
      <c r="C84" s="10" t="s">
        <v>62</v>
      </c>
      <c r="D84" s="10" t="s">
        <v>63</v>
      </c>
      <c r="E84" s="9">
        <v>4</v>
      </c>
      <c r="F84" s="9">
        <v>4</v>
      </c>
      <c r="G84" s="9">
        <v>0</v>
      </c>
      <c r="H84" s="10" t="s">
        <v>63</v>
      </c>
      <c r="I84" s="9">
        <v>1</v>
      </c>
      <c r="J84" s="9">
        <v>0.41225974999542803</v>
      </c>
      <c r="K84" s="10" t="s">
        <v>51</v>
      </c>
      <c r="L84" s="9">
        <v>0</v>
      </c>
      <c r="M84" s="9">
        <v>4</v>
      </c>
      <c r="N84" s="9">
        <v>4</v>
      </c>
      <c r="O84" s="9">
        <v>23</v>
      </c>
      <c r="P84" s="9">
        <v>27.590487791007</v>
      </c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9">
        <v>27.567091541000998</v>
      </c>
      <c r="AC84" s="9">
        <v>27.590487791007</v>
      </c>
      <c r="AD84" s="9">
        <v>28.064046666011599</v>
      </c>
      <c r="AE84" s="9">
        <v>28.064046666011599</v>
      </c>
      <c r="AF84" s="9">
        <v>28.064046666011599</v>
      </c>
      <c r="AG84" s="9">
        <v>28.4791979580041</v>
      </c>
      <c r="AH84" s="10" t="s">
        <v>63</v>
      </c>
      <c r="AI84" s="9">
        <v>1</v>
      </c>
      <c r="AJ84" s="9">
        <v>0.41225974999542803</v>
      </c>
      <c r="AK84" s="10" t="s">
        <v>51</v>
      </c>
      <c r="AL84" s="8"/>
      <c r="AM84" s="8"/>
      <c r="AN84" s="8"/>
      <c r="AO84" s="9">
        <v>1</v>
      </c>
      <c r="AP84" s="9">
        <v>1</v>
      </c>
      <c r="AQ84" s="10" t="s">
        <v>96</v>
      </c>
      <c r="AR84" s="10" t="s">
        <v>53</v>
      </c>
      <c r="AS84" s="8"/>
      <c r="AT84" s="10" t="s">
        <v>54</v>
      </c>
      <c r="AU84" s="10" t="s">
        <v>51</v>
      </c>
      <c r="AV84" s="10" t="s">
        <v>97</v>
      </c>
      <c r="AW84" s="8"/>
    </row>
    <row r="85" spans="1:49" x14ac:dyDescent="0.15">
      <c r="A85" s="11" t="s">
        <v>56</v>
      </c>
      <c r="B85" s="12" t="s">
        <v>57</v>
      </c>
      <c r="C85" s="10" t="s">
        <v>62</v>
      </c>
      <c r="D85" s="10" t="s">
        <v>63</v>
      </c>
      <c r="E85" s="9">
        <v>9</v>
      </c>
      <c r="F85" s="9">
        <v>9</v>
      </c>
      <c r="G85" s="9">
        <v>1</v>
      </c>
      <c r="H85" s="10" t="s">
        <v>63</v>
      </c>
      <c r="I85" s="9">
        <v>1</v>
      </c>
      <c r="J85" s="9">
        <v>0.32221004100574602</v>
      </c>
      <c r="K85" s="10" t="s">
        <v>51</v>
      </c>
      <c r="L85" s="9">
        <v>1</v>
      </c>
      <c r="M85" s="9">
        <v>9</v>
      </c>
      <c r="N85" s="9">
        <v>9</v>
      </c>
      <c r="O85" s="9">
        <v>17</v>
      </c>
      <c r="P85" s="9">
        <v>32.003318416012903</v>
      </c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9">
        <v>31.9945539580076</v>
      </c>
      <c r="AC85" s="9">
        <v>32.003318416012903</v>
      </c>
      <c r="AD85" s="9">
        <v>32.488155125000098</v>
      </c>
      <c r="AE85" s="9">
        <v>32.488155125000098</v>
      </c>
      <c r="AF85" s="9">
        <v>32.488155125000098</v>
      </c>
      <c r="AG85" s="9">
        <v>32.813046000010203</v>
      </c>
      <c r="AH85" s="10" t="s">
        <v>63</v>
      </c>
      <c r="AI85" s="9">
        <v>1</v>
      </c>
      <c r="AJ85" s="9">
        <v>0.32221004100574602</v>
      </c>
      <c r="AK85" s="10" t="s">
        <v>51</v>
      </c>
      <c r="AL85" s="8"/>
      <c r="AM85" s="8"/>
      <c r="AN85" s="8"/>
      <c r="AO85" s="9">
        <v>1</v>
      </c>
      <c r="AP85" s="9">
        <v>1</v>
      </c>
      <c r="AQ85" s="10" t="s">
        <v>96</v>
      </c>
      <c r="AR85" s="10" t="s">
        <v>53</v>
      </c>
      <c r="AS85" s="8"/>
      <c r="AT85" s="10" t="s">
        <v>54</v>
      </c>
      <c r="AU85" s="10" t="s">
        <v>51</v>
      </c>
      <c r="AV85" s="10" t="s">
        <v>97</v>
      </c>
      <c r="AW85" s="8"/>
    </row>
    <row r="86" spans="1:49" x14ac:dyDescent="0.15">
      <c r="A86" s="11" t="s">
        <v>75</v>
      </c>
      <c r="B86" s="12" t="s">
        <v>57</v>
      </c>
      <c r="C86" s="10" t="s">
        <v>62</v>
      </c>
      <c r="D86" s="10" t="s">
        <v>63</v>
      </c>
      <c r="E86" s="9">
        <v>11</v>
      </c>
      <c r="F86" s="9">
        <v>11</v>
      </c>
      <c r="G86" s="9">
        <v>0</v>
      </c>
      <c r="H86" s="10" t="s">
        <v>63</v>
      </c>
      <c r="I86" s="9">
        <v>1</v>
      </c>
      <c r="J86" s="9">
        <v>0.37101833301130699</v>
      </c>
      <c r="K86" s="10" t="s">
        <v>51</v>
      </c>
      <c r="L86" s="9">
        <v>0</v>
      </c>
      <c r="M86" s="9">
        <v>11</v>
      </c>
      <c r="N86" s="9">
        <v>11</v>
      </c>
      <c r="O86" s="9">
        <v>19</v>
      </c>
      <c r="P86" s="9">
        <v>33.688074458012103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9">
        <v>33.679363375005799</v>
      </c>
      <c r="AC86" s="9">
        <v>33.688074458012103</v>
      </c>
      <c r="AD86" s="9">
        <v>34.171423250008999</v>
      </c>
      <c r="AE86" s="9">
        <v>34.171423250008999</v>
      </c>
      <c r="AF86" s="9">
        <v>34.171423250008999</v>
      </c>
      <c r="AG86" s="9">
        <v>34.546203666002803</v>
      </c>
      <c r="AH86" s="10" t="s">
        <v>63</v>
      </c>
      <c r="AI86" s="9">
        <v>1</v>
      </c>
      <c r="AJ86" s="9">
        <v>0.37101833301130699</v>
      </c>
      <c r="AK86" s="10" t="s">
        <v>51</v>
      </c>
      <c r="AL86" s="8"/>
      <c r="AM86" s="8"/>
      <c r="AN86" s="8"/>
      <c r="AO86" s="9">
        <v>1</v>
      </c>
      <c r="AP86" s="9">
        <v>1</v>
      </c>
      <c r="AQ86" s="10" t="s">
        <v>96</v>
      </c>
      <c r="AR86" s="10" t="s">
        <v>53</v>
      </c>
      <c r="AS86" s="8"/>
      <c r="AT86" s="10" t="s">
        <v>54</v>
      </c>
      <c r="AU86" s="10" t="s">
        <v>51</v>
      </c>
      <c r="AV86" s="10" t="s">
        <v>97</v>
      </c>
      <c r="AW86" s="8"/>
    </row>
    <row r="87" spans="1:49" x14ac:dyDescent="0.15">
      <c r="A87" s="11" t="s">
        <v>72</v>
      </c>
      <c r="B87" s="12" t="s">
        <v>57</v>
      </c>
      <c r="C87" s="10" t="s">
        <v>58</v>
      </c>
      <c r="D87" s="10" t="s">
        <v>59</v>
      </c>
      <c r="E87" s="9">
        <v>12</v>
      </c>
      <c r="F87" s="9">
        <v>12</v>
      </c>
      <c r="G87" s="9">
        <v>0</v>
      </c>
      <c r="H87" s="10" t="s">
        <v>59</v>
      </c>
      <c r="I87" s="9">
        <v>1</v>
      </c>
      <c r="J87" s="9">
        <v>0.379287000003387</v>
      </c>
      <c r="K87" s="10" t="s">
        <v>51</v>
      </c>
      <c r="L87" s="9">
        <v>0</v>
      </c>
      <c r="M87" s="9">
        <v>12</v>
      </c>
      <c r="N87" s="9">
        <v>12</v>
      </c>
      <c r="O87" s="9">
        <v>24</v>
      </c>
      <c r="P87" s="9">
        <v>34.560458500011002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9">
        <v>34.551139791001297</v>
      </c>
      <c r="AC87" s="9">
        <v>34.560458500011002</v>
      </c>
      <c r="AD87" s="9">
        <v>35.047180958004901</v>
      </c>
      <c r="AE87" s="9">
        <v>35.047180958004901</v>
      </c>
      <c r="AF87" s="9">
        <v>35.047180958004901</v>
      </c>
      <c r="AG87" s="9">
        <v>35.429918291003602</v>
      </c>
      <c r="AH87" s="10" t="s">
        <v>59</v>
      </c>
      <c r="AI87" s="9">
        <v>1</v>
      </c>
      <c r="AJ87" s="9">
        <v>0.379287000003387</v>
      </c>
      <c r="AK87" s="10" t="s">
        <v>51</v>
      </c>
      <c r="AL87" s="8"/>
      <c r="AM87" s="8"/>
      <c r="AN87" s="8"/>
      <c r="AO87" s="9">
        <v>1</v>
      </c>
      <c r="AP87" s="9">
        <v>1</v>
      </c>
      <c r="AQ87" s="10" t="s">
        <v>96</v>
      </c>
      <c r="AR87" s="10" t="s">
        <v>53</v>
      </c>
      <c r="AS87" s="8"/>
      <c r="AT87" s="10" t="s">
        <v>54</v>
      </c>
      <c r="AU87" s="10" t="s">
        <v>51</v>
      </c>
      <c r="AV87" s="10" t="s">
        <v>97</v>
      </c>
      <c r="AW87" s="8"/>
    </row>
    <row r="88" spans="1:49" x14ac:dyDescent="0.15">
      <c r="A88" s="11" t="s">
        <v>78</v>
      </c>
      <c r="B88" s="12" t="s">
        <v>57</v>
      </c>
      <c r="C88" s="10" t="s">
        <v>62</v>
      </c>
      <c r="D88" s="10" t="s">
        <v>63</v>
      </c>
      <c r="E88" s="9">
        <v>13</v>
      </c>
      <c r="F88" s="9">
        <v>13</v>
      </c>
      <c r="G88" s="9">
        <v>0</v>
      </c>
      <c r="H88" s="10" t="s">
        <v>63</v>
      </c>
      <c r="I88" s="9">
        <v>1</v>
      </c>
      <c r="J88" s="9">
        <v>0.46030145800614303</v>
      </c>
      <c r="K88" s="10" t="s">
        <v>51</v>
      </c>
      <c r="L88" s="9">
        <v>0</v>
      </c>
      <c r="M88" s="9">
        <v>13</v>
      </c>
      <c r="N88" s="9">
        <v>13</v>
      </c>
      <c r="O88" s="9">
        <v>27</v>
      </c>
      <c r="P88" s="9">
        <v>35.443405208003199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9">
        <v>35.433905416008201</v>
      </c>
      <c r="AC88" s="9">
        <v>35.443405208003199</v>
      </c>
      <c r="AD88" s="9">
        <v>35.931090666010299</v>
      </c>
      <c r="AE88" s="9">
        <v>35.931090666010299</v>
      </c>
      <c r="AF88" s="9">
        <v>35.931090666010299</v>
      </c>
      <c r="AG88" s="9">
        <v>36.396438416006298</v>
      </c>
      <c r="AH88" s="10" t="s">
        <v>63</v>
      </c>
      <c r="AI88" s="9">
        <v>1</v>
      </c>
      <c r="AJ88" s="9">
        <v>0.46030145800614303</v>
      </c>
      <c r="AK88" s="10" t="s">
        <v>51</v>
      </c>
      <c r="AL88" s="8"/>
      <c r="AM88" s="8"/>
      <c r="AN88" s="8"/>
      <c r="AO88" s="9">
        <v>1</v>
      </c>
      <c r="AP88" s="9">
        <v>1</v>
      </c>
      <c r="AQ88" s="10" t="s">
        <v>96</v>
      </c>
      <c r="AR88" s="10" t="s">
        <v>53</v>
      </c>
      <c r="AS88" s="8"/>
      <c r="AT88" s="10" t="s">
        <v>54</v>
      </c>
      <c r="AU88" s="10" t="s">
        <v>51</v>
      </c>
      <c r="AV88" s="10" t="s">
        <v>97</v>
      </c>
      <c r="AW88" s="8"/>
    </row>
    <row r="89" spans="1:49" x14ac:dyDescent="0.15">
      <c r="A89" s="11" t="s">
        <v>71</v>
      </c>
      <c r="B89" s="12" t="s">
        <v>57</v>
      </c>
      <c r="C89" s="10" t="s">
        <v>62</v>
      </c>
      <c r="D89" s="10" t="s">
        <v>63</v>
      </c>
      <c r="E89" s="9">
        <v>14</v>
      </c>
      <c r="F89" s="9">
        <v>14</v>
      </c>
      <c r="G89" s="9">
        <v>0</v>
      </c>
      <c r="H89" s="10" t="s">
        <v>63</v>
      </c>
      <c r="I89" s="9">
        <v>1</v>
      </c>
      <c r="J89" s="9">
        <v>0.46715941600268701</v>
      </c>
      <c r="K89" s="10" t="s">
        <v>51</v>
      </c>
      <c r="L89" s="9">
        <v>0</v>
      </c>
      <c r="M89" s="9">
        <v>14</v>
      </c>
      <c r="N89" s="9">
        <v>14</v>
      </c>
      <c r="O89" s="9">
        <v>29</v>
      </c>
      <c r="P89" s="9">
        <v>36.4107152500073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9">
        <v>36.4010760410019</v>
      </c>
      <c r="AC89" s="9">
        <v>36.4107152500073</v>
      </c>
      <c r="AD89" s="9">
        <v>36.897414416002</v>
      </c>
      <c r="AE89" s="9">
        <v>36.897414416002</v>
      </c>
      <c r="AF89" s="9">
        <v>36.897414416002</v>
      </c>
      <c r="AG89" s="9">
        <v>37.373687583007303</v>
      </c>
      <c r="AH89" s="10" t="s">
        <v>63</v>
      </c>
      <c r="AI89" s="9">
        <v>1</v>
      </c>
      <c r="AJ89" s="9">
        <v>0.46715941600268701</v>
      </c>
      <c r="AK89" s="10" t="s">
        <v>51</v>
      </c>
      <c r="AL89" s="8"/>
      <c r="AM89" s="8"/>
      <c r="AN89" s="8"/>
      <c r="AO89" s="9">
        <v>1</v>
      </c>
      <c r="AP89" s="9">
        <v>1</v>
      </c>
      <c r="AQ89" s="10" t="s">
        <v>96</v>
      </c>
      <c r="AR89" s="10" t="s">
        <v>53</v>
      </c>
      <c r="AS89" s="8"/>
      <c r="AT89" s="10" t="s">
        <v>54</v>
      </c>
      <c r="AU89" s="10" t="s">
        <v>51</v>
      </c>
      <c r="AV89" s="10" t="s">
        <v>97</v>
      </c>
      <c r="AW89" s="8"/>
    </row>
    <row r="90" spans="1:49" x14ac:dyDescent="0.15">
      <c r="A90" s="11" t="s">
        <v>84</v>
      </c>
      <c r="B90" s="12" t="s">
        <v>57</v>
      </c>
      <c r="C90" s="10" t="s">
        <v>62</v>
      </c>
      <c r="D90" s="10" t="s">
        <v>63</v>
      </c>
      <c r="E90" s="9">
        <v>16</v>
      </c>
      <c r="F90" s="9">
        <v>16</v>
      </c>
      <c r="G90" s="9">
        <v>0</v>
      </c>
      <c r="H90" s="10" t="s">
        <v>63</v>
      </c>
      <c r="I90" s="9">
        <v>1</v>
      </c>
      <c r="J90" s="9">
        <v>0.380327417005901</v>
      </c>
      <c r="K90" s="10" t="s">
        <v>51</v>
      </c>
      <c r="L90" s="9">
        <v>0</v>
      </c>
      <c r="M90" s="9">
        <v>16</v>
      </c>
      <c r="N90" s="9">
        <v>16</v>
      </c>
      <c r="O90" s="9">
        <v>21</v>
      </c>
      <c r="P90" s="9">
        <v>38.303582500011501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9">
        <v>38.294630083008101</v>
      </c>
      <c r="AC90" s="9">
        <v>38.303582500011501</v>
      </c>
      <c r="AD90" s="9">
        <v>38.788400500008699</v>
      </c>
      <c r="AE90" s="9">
        <v>38.788400500008699</v>
      </c>
      <c r="AF90" s="9">
        <v>38.788400500008699</v>
      </c>
      <c r="AG90" s="9">
        <v>39.174195666011698</v>
      </c>
      <c r="AH90" s="10" t="s">
        <v>63</v>
      </c>
      <c r="AI90" s="9">
        <v>1</v>
      </c>
      <c r="AJ90" s="9">
        <v>0.380327417005901</v>
      </c>
      <c r="AK90" s="10" t="s">
        <v>51</v>
      </c>
      <c r="AL90" s="8"/>
      <c r="AM90" s="8"/>
      <c r="AN90" s="8"/>
      <c r="AO90" s="9">
        <v>1</v>
      </c>
      <c r="AP90" s="9">
        <v>1</v>
      </c>
      <c r="AQ90" s="10" t="s">
        <v>96</v>
      </c>
      <c r="AR90" s="10" t="s">
        <v>53</v>
      </c>
      <c r="AS90" s="8"/>
      <c r="AT90" s="10" t="s">
        <v>54</v>
      </c>
      <c r="AU90" s="10" t="s">
        <v>51</v>
      </c>
      <c r="AV90" s="10" t="s">
        <v>97</v>
      </c>
      <c r="AW90" s="8"/>
    </row>
    <row r="91" spans="1:49" x14ac:dyDescent="0.15">
      <c r="A91" s="11" t="s">
        <v>68</v>
      </c>
      <c r="B91" s="12" t="s">
        <v>57</v>
      </c>
      <c r="C91" s="10" t="s">
        <v>62</v>
      </c>
      <c r="D91" s="10" t="s">
        <v>63</v>
      </c>
      <c r="E91" s="9">
        <v>18</v>
      </c>
      <c r="F91" s="9">
        <v>18</v>
      </c>
      <c r="G91" s="9">
        <v>1</v>
      </c>
      <c r="H91" s="10" t="s">
        <v>63</v>
      </c>
      <c r="I91" s="9">
        <v>1</v>
      </c>
      <c r="J91" s="9">
        <v>0.37768433299788701</v>
      </c>
      <c r="K91" s="10" t="s">
        <v>51</v>
      </c>
      <c r="L91" s="9">
        <v>1</v>
      </c>
      <c r="M91" s="9">
        <v>18</v>
      </c>
      <c r="N91" s="9">
        <v>18</v>
      </c>
      <c r="O91" s="9">
        <v>23</v>
      </c>
      <c r="P91" s="9">
        <v>40.171063833011402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9">
        <v>40.162101375011801</v>
      </c>
      <c r="AC91" s="9">
        <v>40.171063833011402</v>
      </c>
      <c r="AD91" s="9">
        <v>40.654811666012399</v>
      </c>
      <c r="AE91" s="9">
        <v>40.654811666012399</v>
      </c>
      <c r="AF91" s="9">
        <v>40.654811666012399</v>
      </c>
      <c r="AG91" s="9">
        <v>41.040390500012997</v>
      </c>
      <c r="AH91" s="10" t="s">
        <v>63</v>
      </c>
      <c r="AI91" s="9">
        <v>1</v>
      </c>
      <c r="AJ91" s="9">
        <v>0.37768433299788701</v>
      </c>
      <c r="AK91" s="10" t="s">
        <v>51</v>
      </c>
      <c r="AL91" s="8"/>
      <c r="AM91" s="8"/>
      <c r="AN91" s="8"/>
      <c r="AO91" s="9">
        <v>1</v>
      </c>
      <c r="AP91" s="9">
        <v>1</v>
      </c>
      <c r="AQ91" s="10" t="s">
        <v>96</v>
      </c>
      <c r="AR91" s="10" t="s">
        <v>53</v>
      </c>
      <c r="AS91" s="8"/>
      <c r="AT91" s="10" t="s">
        <v>54</v>
      </c>
      <c r="AU91" s="10" t="s">
        <v>51</v>
      </c>
      <c r="AV91" s="10" t="s">
        <v>97</v>
      </c>
      <c r="AW91" s="8"/>
    </row>
    <row r="92" spans="1:49" x14ac:dyDescent="0.15">
      <c r="A92" s="11" t="s">
        <v>68</v>
      </c>
      <c r="B92" s="12" t="s">
        <v>57</v>
      </c>
      <c r="C92" s="10" t="s">
        <v>58</v>
      </c>
      <c r="D92" s="10" t="s">
        <v>59</v>
      </c>
      <c r="E92" s="9">
        <v>19</v>
      </c>
      <c r="F92" s="9">
        <v>19</v>
      </c>
      <c r="G92" s="9">
        <v>0</v>
      </c>
      <c r="H92" s="10" t="s">
        <v>59</v>
      </c>
      <c r="I92" s="9">
        <v>1</v>
      </c>
      <c r="J92" s="9">
        <v>0.38787599900388198</v>
      </c>
      <c r="K92" s="10" t="s">
        <v>51</v>
      </c>
      <c r="L92" s="9">
        <v>0</v>
      </c>
      <c r="M92" s="9">
        <v>19</v>
      </c>
      <c r="N92" s="9">
        <v>19</v>
      </c>
      <c r="O92" s="9">
        <v>22</v>
      </c>
      <c r="P92" s="9">
        <v>41.050397708007999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9">
        <v>41.041579958007802</v>
      </c>
      <c r="AC92" s="9">
        <v>41.050397708007999</v>
      </c>
      <c r="AD92" s="9">
        <v>41.5387350410019</v>
      </c>
      <c r="AE92" s="9">
        <v>41.5387350410019</v>
      </c>
      <c r="AF92" s="9">
        <v>41.5387350410019</v>
      </c>
      <c r="AG92" s="9">
        <v>41.929660541005397</v>
      </c>
      <c r="AH92" s="10" t="s">
        <v>59</v>
      </c>
      <c r="AI92" s="9">
        <v>1</v>
      </c>
      <c r="AJ92" s="9">
        <v>0.38787599900388198</v>
      </c>
      <c r="AK92" s="10" t="s">
        <v>51</v>
      </c>
      <c r="AL92" s="8"/>
      <c r="AM92" s="8"/>
      <c r="AN92" s="8"/>
      <c r="AO92" s="9">
        <v>1</v>
      </c>
      <c r="AP92" s="9">
        <v>1</v>
      </c>
      <c r="AQ92" s="10" t="s">
        <v>96</v>
      </c>
      <c r="AR92" s="10" t="s">
        <v>53</v>
      </c>
      <c r="AS92" s="8"/>
      <c r="AT92" s="10" t="s">
        <v>54</v>
      </c>
      <c r="AU92" s="10" t="s">
        <v>51</v>
      </c>
      <c r="AV92" s="10" t="s">
        <v>97</v>
      </c>
      <c r="AW92" s="8"/>
    </row>
    <row r="93" spans="1:49" x14ac:dyDescent="0.15">
      <c r="A93" s="11" t="s">
        <v>65</v>
      </c>
      <c r="B93" s="12" t="s">
        <v>57</v>
      </c>
      <c r="C93" s="10" t="s">
        <v>62</v>
      </c>
      <c r="D93" s="10" t="s">
        <v>63</v>
      </c>
      <c r="E93" s="9">
        <v>20</v>
      </c>
      <c r="F93" s="9">
        <v>20</v>
      </c>
      <c r="G93" s="9">
        <v>0</v>
      </c>
      <c r="H93" s="10" t="s">
        <v>63</v>
      </c>
      <c r="I93" s="9">
        <v>1</v>
      </c>
      <c r="J93" s="9">
        <v>0.41755441600980697</v>
      </c>
      <c r="K93" s="10" t="s">
        <v>51</v>
      </c>
      <c r="L93" s="9">
        <v>0</v>
      </c>
      <c r="M93" s="9">
        <v>20</v>
      </c>
      <c r="N93" s="9">
        <v>20</v>
      </c>
      <c r="O93" s="9">
        <v>31</v>
      </c>
      <c r="P93" s="9">
        <v>41.944138750011902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9">
        <v>41.934320375003203</v>
      </c>
      <c r="AC93" s="9">
        <v>41.944138750011902</v>
      </c>
      <c r="AD93" s="9">
        <v>42.431152458011603</v>
      </c>
      <c r="AE93" s="9">
        <v>42.431152458011603</v>
      </c>
      <c r="AF93" s="9">
        <v>42.431152458011603</v>
      </c>
      <c r="AG93" s="9">
        <v>42.857056000008001</v>
      </c>
      <c r="AH93" s="10" t="s">
        <v>63</v>
      </c>
      <c r="AI93" s="9">
        <v>1</v>
      </c>
      <c r="AJ93" s="9">
        <v>0.41755441600980697</v>
      </c>
      <c r="AK93" s="10" t="s">
        <v>51</v>
      </c>
      <c r="AL93" s="8"/>
      <c r="AM93" s="8"/>
      <c r="AN93" s="8"/>
      <c r="AO93" s="9">
        <v>1</v>
      </c>
      <c r="AP93" s="9">
        <v>1</v>
      </c>
      <c r="AQ93" s="10" t="s">
        <v>96</v>
      </c>
      <c r="AR93" s="10" t="s">
        <v>53</v>
      </c>
      <c r="AS93" s="8"/>
      <c r="AT93" s="10" t="s">
        <v>54</v>
      </c>
      <c r="AU93" s="10" t="s">
        <v>51</v>
      </c>
      <c r="AV93" s="10" t="s">
        <v>97</v>
      </c>
      <c r="AW93" s="8"/>
    </row>
    <row r="94" spans="1:49" x14ac:dyDescent="0.15">
      <c r="A94" s="11" t="s">
        <v>72</v>
      </c>
      <c r="B94" s="12" t="s">
        <v>57</v>
      </c>
      <c r="C94" s="10" t="s">
        <v>62</v>
      </c>
      <c r="D94" s="10" t="s">
        <v>63</v>
      </c>
      <c r="E94" s="9">
        <v>26</v>
      </c>
      <c r="F94" s="9">
        <v>26</v>
      </c>
      <c r="G94" s="9">
        <v>0</v>
      </c>
      <c r="H94" s="10" t="s">
        <v>63</v>
      </c>
      <c r="I94" s="9">
        <v>1</v>
      </c>
      <c r="J94" s="9">
        <v>0.386557124991668</v>
      </c>
      <c r="K94" s="10" t="s">
        <v>51</v>
      </c>
      <c r="L94" s="9">
        <v>0</v>
      </c>
      <c r="M94" s="9">
        <v>26</v>
      </c>
      <c r="N94" s="9">
        <v>26</v>
      </c>
      <c r="O94" s="9">
        <v>25</v>
      </c>
      <c r="P94" s="9">
        <v>47.369877208009697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9">
        <v>47.3612214160094</v>
      </c>
      <c r="AC94" s="9">
        <v>47.369877208009697</v>
      </c>
      <c r="AD94" s="9">
        <v>47.855079583008802</v>
      </c>
      <c r="AE94" s="9">
        <v>47.855079583008802</v>
      </c>
      <c r="AF94" s="9">
        <v>47.855079583008802</v>
      </c>
      <c r="AG94" s="9">
        <v>48.246371250003001</v>
      </c>
      <c r="AH94" s="10" t="s">
        <v>63</v>
      </c>
      <c r="AI94" s="9">
        <v>1</v>
      </c>
      <c r="AJ94" s="9">
        <v>0.386557124991668</v>
      </c>
      <c r="AK94" s="10" t="s">
        <v>51</v>
      </c>
      <c r="AL94" s="8"/>
      <c r="AM94" s="8"/>
      <c r="AN94" s="8"/>
      <c r="AO94" s="9">
        <v>1</v>
      </c>
      <c r="AP94" s="9">
        <v>1</v>
      </c>
      <c r="AQ94" s="10" t="s">
        <v>96</v>
      </c>
      <c r="AR94" s="10" t="s">
        <v>53</v>
      </c>
      <c r="AS94" s="8"/>
      <c r="AT94" s="10" t="s">
        <v>54</v>
      </c>
      <c r="AU94" s="10" t="s">
        <v>51</v>
      </c>
      <c r="AV94" s="10" t="s">
        <v>97</v>
      </c>
      <c r="AW94" s="8"/>
    </row>
    <row r="95" spans="1:49" x14ac:dyDescent="0.15">
      <c r="A95" s="11" t="s">
        <v>72</v>
      </c>
      <c r="B95" s="12" t="s">
        <v>57</v>
      </c>
      <c r="C95" s="10" t="s">
        <v>58</v>
      </c>
      <c r="D95" s="10" t="s">
        <v>59</v>
      </c>
      <c r="E95" s="9">
        <v>28</v>
      </c>
      <c r="F95" s="9">
        <v>28</v>
      </c>
      <c r="G95" s="9">
        <v>1</v>
      </c>
      <c r="H95" s="10" t="s">
        <v>63</v>
      </c>
      <c r="I95" s="9">
        <v>0</v>
      </c>
      <c r="J95" s="9">
        <v>0.33464237500447802</v>
      </c>
      <c r="K95" s="10" t="s">
        <v>51</v>
      </c>
      <c r="L95" s="9">
        <v>1</v>
      </c>
      <c r="M95" s="9">
        <v>28</v>
      </c>
      <c r="N95" s="9">
        <v>28</v>
      </c>
      <c r="O95" s="9">
        <v>24</v>
      </c>
      <c r="P95" s="9">
        <v>49.1547355830116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9">
        <v>49.146063333013402</v>
      </c>
      <c r="AC95" s="9">
        <v>49.1547355830116</v>
      </c>
      <c r="AD95" s="9">
        <v>49.639061875001097</v>
      </c>
      <c r="AE95" s="9">
        <v>49.639061875001097</v>
      </c>
      <c r="AF95" s="9">
        <v>49.639061875001097</v>
      </c>
      <c r="AG95" s="9">
        <v>49.979873041011203</v>
      </c>
      <c r="AH95" s="10" t="s">
        <v>63</v>
      </c>
      <c r="AI95" s="9">
        <v>0</v>
      </c>
      <c r="AJ95" s="9">
        <v>0.33464237500447802</v>
      </c>
      <c r="AK95" s="10" t="s">
        <v>51</v>
      </c>
      <c r="AL95" s="8"/>
      <c r="AM95" s="8"/>
      <c r="AN95" s="8"/>
      <c r="AO95" s="9">
        <v>1</v>
      </c>
      <c r="AP95" s="9">
        <v>1</v>
      </c>
      <c r="AQ95" s="10" t="s">
        <v>96</v>
      </c>
      <c r="AR95" s="10" t="s">
        <v>53</v>
      </c>
      <c r="AS95" s="8"/>
      <c r="AT95" s="10" t="s">
        <v>54</v>
      </c>
      <c r="AU95" s="10" t="s">
        <v>51</v>
      </c>
      <c r="AV95" s="10" t="s">
        <v>97</v>
      </c>
      <c r="AW95" s="8"/>
    </row>
    <row r="96" spans="1:49" x14ac:dyDescent="0.15">
      <c r="A96" s="11" t="s">
        <v>72</v>
      </c>
      <c r="B96" s="12" t="s">
        <v>57</v>
      </c>
      <c r="C96" s="10" t="s">
        <v>58</v>
      </c>
      <c r="D96" s="10" t="s">
        <v>59</v>
      </c>
      <c r="E96" s="9">
        <v>29</v>
      </c>
      <c r="F96" s="9">
        <v>29</v>
      </c>
      <c r="G96" s="9">
        <v>2</v>
      </c>
      <c r="H96" s="10" t="s">
        <v>59</v>
      </c>
      <c r="I96" s="9">
        <v>1</v>
      </c>
      <c r="J96" s="9">
        <v>0.61702499999955795</v>
      </c>
      <c r="K96" s="10" t="s">
        <v>51</v>
      </c>
      <c r="L96" s="9">
        <v>2</v>
      </c>
      <c r="M96" s="9">
        <v>29</v>
      </c>
      <c r="N96" s="9">
        <v>29</v>
      </c>
      <c r="O96" s="9">
        <v>24</v>
      </c>
      <c r="P96" s="9">
        <v>49.991358083003398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9">
        <v>49.980947375006501</v>
      </c>
      <c r="AC96" s="9">
        <v>49.991358083003398</v>
      </c>
      <c r="AD96" s="9">
        <v>50.481763666000901</v>
      </c>
      <c r="AE96" s="9">
        <v>50.481763666000901</v>
      </c>
      <c r="AF96" s="9">
        <v>50.481763666000901</v>
      </c>
      <c r="AG96" s="9">
        <v>51.107795875010197</v>
      </c>
      <c r="AH96" s="10" t="s">
        <v>59</v>
      </c>
      <c r="AI96" s="9">
        <v>1</v>
      </c>
      <c r="AJ96" s="9">
        <v>0.61702499999955795</v>
      </c>
      <c r="AK96" s="10" t="s">
        <v>51</v>
      </c>
      <c r="AL96" s="8"/>
      <c r="AM96" s="8"/>
      <c r="AN96" s="8"/>
      <c r="AO96" s="9">
        <v>1</v>
      </c>
      <c r="AP96" s="9">
        <v>1</v>
      </c>
      <c r="AQ96" s="10" t="s">
        <v>96</v>
      </c>
      <c r="AR96" s="10" t="s">
        <v>53</v>
      </c>
      <c r="AS96" s="8"/>
      <c r="AT96" s="10" t="s">
        <v>54</v>
      </c>
      <c r="AU96" s="10" t="s">
        <v>51</v>
      </c>
      <c r="AV96" s="10" t="s">
        <v>97</v>
      </c>
      <c r="AW96" s="8"/>
    </row>
    <row r="97" spans="1:49" x14ac:dyDescent="0.15">
      <c r="A97" s="11" t="s">
        <v>71</v>
      </c>
      <c r="B97" s="12" t="s">
        <v>57</v>
      </c>
      <c r="C97" s="10" t="s">
        <v>58</v>
      </c>
      <c r="D97" s="10" t="s">
        <v>59</v>
      </c>
      <c r="E97" s="9">
        <v>34</v>
      </c>
      <c r="F97" s="9">
        <v>34</v>
      </c>
      <c r="G97" s="9">
        <v>1</v>
      </c>
      <c r="H97" s="10" t="s">
        <v>59</v>
      </c>
      <c r="I97" s="9">
        <v>1</v>
      </c>
      <c r="J97" s="9">
        <v>0.30964908299210903</v>
      </c>
      <c r="K97" s="10" t="s">
        <v>51</v>
      </c>
      <c r="L97" s="9">
        <v>1</v>
      </c>
      <c r="M97" s="9">
        <v>34</v>
      </c>
      <c r="N97" s="9">
        <v>34</v>
      </c>
      <c r="O97" s="9">
        <v>28</v>
      </c>
      <c r="P97" s="9">
        <v>54.737239000009097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9">
        <v>54.728674125013598</v>
      </c>
      <c r="AC97" s="9">
        <v>54.737239000009097</v>
      </c>
      <c r="AD97" s="9">
        <v>55.222279041001499</v>
      </c>
      <c r="AE97" s="9">
        <v>55.222279041001499</v>
      </c>
      <c r="AF97" s="9">
        <v>55.222279041001499</v>
      </c>
      <c r="AG97" s="9">
        <v>55.541075750006698</v>
      </c>
      <c r="AH97" s="10" t="s">
        <v>59</v>
      </c>
      <c r="AI97" s="9">
        <v>1</v>
      </c>
      <c r="AJ97" s="9">
        <v>0.30964908299210903</v>
      </c>
      <c r="AK97" s="10" t="s">
        <v>51</v>
      </c>
      <c r="AL97" s="8"/>
      <c r="AM97" s="8"/>
      <c r="AN97" s="8"/>
      <c r="AO97" s="9">
        <v>1</v>
      </c>
      <c r="AP97" s="9">
        <v>1</v>
      </c>
      <c r="AQ97" s="10" t="s">
        <v>96</v>
      </c>
      <c r="AR97" s="10" t="s">
        <v>53</v>
      </c>
      <c r="AS97" s="8"/>
      <c r="AT97" s="10" t="s">
        <v>54</v>
      </c>
      <c r="AU97" s="10" t="s">
        <v>51</v>
      </c>
      <c r="AV97" s="10" t="s">
        <v>97</v>
      </c>
      <c r="AW97" s="8"/>
    </row>
    <row r="98" spans="1:49" x14ac:dyDescent="0.15">
      <c r="A98" s="11" t="s">
        <v>68</v>
      </c>
      <c r="B98" s="12" t="s">
        <v>57</v>
      </c>
      <c r="C98" s="10" t="s">
        <v>58</v>
      </c>
      <c r="D98" s="10" t="s">
        <v>59</v>
      </c>
      <c r="E98" s="9">
        <v>35</v>
      </c>
      <c r="F98" s="9">
        <v>35</v>
      </c>
      <c r="G98" s="9">
        <v>1</v>
      </c>
      <c r="H98" s="10" t="s">
        <v>59</v>
      </c>
      <c r="I98" s="9">
        <v>1</v>
      </c>
      <c r="J98" s="9">
        <v>0.35507641700678499</v>
      </c>
      <c r="K98" s="10" t="s">
        <v>51</v>
      </c>
      <c r="L98" s="9">
        <v>1</v>
      </c>
      <c r="M98" s="9">
        <v>35</v>
      </c>
      <c r="N98" s="9">
        <v>35</v>
      </c>
      <c r="O98" s="9">
        <v>22</v>
      </c>
      <c r="P98" s="9">
        <v>55.5554709580028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9">
        <v>55.546494375012102</v>
      </c>
      <c r="AC98" s="9">
        <v>55.5554709580028</v>
      </c>
      <c r="AD98" s="9">
        <v>56.038776250003103</v>
      </c>
      <c r="AE98" s="9">
        <v>56.038776250003103</v>
      </c>
      <c r="AF98" s="9">
        <v>56.038776250003103</v>
      </c>
      <c r="AG98" s="9">
        <v>56.397290625012801</v>
      </c>
      <c r="AH98" s="10" t="s">
        <v>59</v>
      </c>
      <c r="AI98" s="9">
        <v>1</v>
      </c>
      <c r="AJ98" s="9">
        <v>0.35507641700678499</v>
      </c>
      <c r="AK98" s="10" t="s">
        <v>51</v>
      </c>
      <c r="AL98" s="8"/>
      <c r="AM98" s="8"/>
      <c r="AN98" s="8"/>
      <c r="AO98" s="9">
        <v>1</v>
      </c>
      <c r="AP98" s="9">
        <v>1</v>
      </c>
      <c r="AQ98" s="10" t="s">
        <v>96</v>
      </c>
      <c r="AR98" s="10" t="s">
        <v>53</v>
      </c>
      <c r="AS98" s="8"/>
      <c r="AT98" s="10" t="s">
        <v>54</v>
      </c>
      <c r="AU98" s="10" t="s">
        <v>51</v>
      </c>
      <c r="AV98" s="10" t="s">
        <v>97</v>
      </c>
      <c r="AW98" s="8"/>
    </row>
    <row r="99" spans="1:49" x14ac:dyDescent="0.15">
      <c r="A99" s="11" t="s">
        <v>65</v>
      </c>
      <c r="B99" s="12" t="s">
        <v>57</v>
      </c>
      <c r="C99" s="10" t="s">
        <v>62</v>
      </c>
      <c r="D99" s="10" t="s">
        <v>63</v>
      </c>
      <c r="E99" s="9">
        <v>37</v>
      </c>
      <c r="F99" s="9">
        <v>37</v>
      </c>
      <c r="G99" s="9">
        <v>1</v>
      </c>
      <c r="H99" s="10" t="s">
        <v>63</v>
      </c>
      <c r="I99" s="9">
        <v>1</v>
      </c>
      <c r="J99" s="9">
        <v>0.52683762500237197</v>
      </c>
      <c r="K99" s="10" t="s">
        <v>51</v>
      </c>
      <c r="L99" s="9">
        <v>1</v>
      </c>
      <c r="M99" s="9">
        <v>37</v>
      </c>
      <c r="N99" s="9">
        <v>37</v>
      </c>
      <c r="O99" s="9">
        <v>31</v>
      </c>
      <c r="P99" s="9">
        <v>57.393651125006699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9">
        <v>57.384384333010502</v>
      </c>
      <c r="AC99" s="9">
        <v>57.393651125006699</v>
      </c>
      <c r="AD99" s="9">
        <v>57.882021875004298</v>
      </c>
      <c r="AE99" s="9">
        <v>57.882021875004298</v>
      </c>
      <c r="AF99" s="9">
        <v>57.882021875004298</v>
      </c>
      <c r="AG99" s="9">
        <v>58.413496291003</v>
      </c>
      <c r="AH99" s="10" t="s">
        <v>63</v>
      </c>
      <c r="AI99" s="9">
        <v>1</v>
      </c>
      <c r="AJ99" s="9">
        <v>0.52683762500237197</v>
      </c>
      <c r="AK99" s="10" t="s">
        <v>51</v>
      </c>
      <c r="AL99" s="8"/>
      <c r="AM99" s="8"/>
      <c r="AN99" s="8"/>
      <c r="AO99" s="9">
        <v>1</v>
      </c>
      <c r="AP99" s="9">
        <v>1</v>
      </c>
      <c r="AQ99" s="10" t="s">
        <v>96</v>
      </c>
      <c r="AR99" s="10" t="s">
        <v>53</v>
      </c>
      <c r="AS99" s="8"/>
      <c r="AT99" s="10" t="s">
        <v>54</v>
      </c>
      <c r="AU99" s="10" t="s">
        <v>51</v>
      </c>
      <c r="AV99" s="10" t="s">
        <v>97</v>
      </c>
      <c r="AW99" s="8"/>
    </row>
    <row r="100" spans="1:49" x14ac:dyDescent="0.15">
      <c r="A100" s="11" t="s">
        <v>68</v>
      </c>
      <c r="B100" s="12" t="s">
        <v>57</v>
      </c>
      <c r="C100" s="10" t="s">
        <v>58</v>
      </c>
      <c r="D100" s="10" t="s">
        <v>59</v>
      </c>
      <c r="E100" s="9">
        <v>38</v>
      </c>
      <c r="F100" s="9">
        <v>38</v>
      </c>
      <c r="G100" s="9">
        <v>2</v>
      </c>
      <c r="H100" s="10" t="s">
        <v>59</v>
      </c>
      <c r="I100" s="9">
        <v>1</v>
      </c>
      <c r="J100" s="9">
        <v>0.39091741600714203</v>
      </c>
      <c r="K100" s="10" t="s">
        <v>51</v>
      </c>
      <c r="L100" s="9">
        <v>2</v>
      </c>
      <c r="M100" s="9">
        <v>38</v>
      </c>
      <c r="N100" s="9">
        <v>38</v>
      </c>
      <c r="O100" s="9">
        <v>22</v>
      </c>
      <c r="P100" s="9">
        <v>58.427756832999897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9">
        <v>58.418551375012598</v>
      </c>
      <c r="AC100" s="9">
        <v>58.427756832999897</v>
      </c>
      <c r="AD100" s="9">
        <v>58.914020791009499</v>
      </c>
      <c r="AE100" s="9">
        <v>58.914020791009499</v>
      </c>
      <c r="AF100" s="9">
        <v>58.914020791009499</v>
      </c>
      <c r="AG100" s="9">
        <v>59.307580750013599</v>
      </c>
      <c r="AH100" s="10" t="s">
        <v>59</v>
      </c>
      <c r="AI100" s="9">
        <v>1</v>
      </c>
      <c r="AJ100" s="9">
        <v>0.39091741600714203</v>
      </c>
      <c r="AK100" s="10" t="s">
        <v>51</v>
      </c>
      <c r="AL100" s="8"/>
      <c r="AM100" s="8"/>
      <c r="AN100" s="8"/>
      <c r="AO100" s="9">
        <v>1</v>
      </c>
      <c r="AP100" s="9">
        <v>1</v>
      </c>
      <c r="AQ100" s="10" t="s">
        <v>96</v>
      </c>
      <c r="AR100" s="10" t="s">
        <v>53</v>
      </c>
      <c r="AS100" s="8"/>
      <c r="AT100" s="10" t="s">
        <v>54</v>
      </c>
      <c r="AU100" s="10" t="s">
        <v>51</v>
      </c>
      <c r="AV100" s="10" t="s">
        <v>97</v>
      </c>
      <c r="AW100" s="8"/>
    </row>
    <row r="101" spans="1:49" x14ac:dyDescent="0.15">
      <c r="A101" s="11" t="s">
        <v>68</v>
      </c>
      <c r="B101" s="12" t="s">
        <v>57</v>
      </c>
      <c r="C101" s="10" t="s">
        <v>62</v>
      </c>
      <c r="D101" s="10" t="s">
        <v>63</v>
      </c>
      <c r="E101" s="9">
        <v>47</v>
      </c>
      <c r="F101" s="9">
        <v>47</v>
      </c>
      <c r="G101" s="9">
        <v>2</v>
      </c>
      <c r="H101" s="10" t="s">
        <v>63</v>
      </c>
      <c r="I101" s="9">
        <v>1</v>
      </c>
      <c r="J101" s="9">
        <v>0.35764554099296197</v>
      </c>
      <c r="K101" s="10" t="s">
        <v>51</v>
      </c>
      <c r="L101" s="9">
        <v>2</v>
      </c>
      <c r="M101" s="9">
        <v>47</v>
      </c>
      <c r="N101" s="9">
        <v>47</v>
      </c>
      <c r="O101" s="9">
        <v>23</v>
      </c>
      <c r="P101" s="9">
        <v>66.822839166008606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9">
        <v>66.813422999999602</v>
      </c>
      <c r="AC101" s="9">
        <v>66.822839166008606</v>
      </c>
      <c r="AD101" s="9">
        <v>67.306394291008502</v>
      </c>
      <c r="AE101" s="9">
        <v>67.306394291008502</v>
      </c>
      <c r="AF101" s="9">
        <v>67.306394291008502</v>
      </c>
      <c r="AG101" s="9">
        <v>67.674820915999604</v>
      </c>
      <c r="AH101" s="10" t="s">
        <v>63</v>
      </c>
      <c r="AI101" s="9">
        <v>1</v>
      </c>
      <c r="AJ101" s="9">
        <v>0.35764554099296197</v>
      </c>
      <c r="AK101" s="10" t="s">
        <v>51</v>
      </c>
      <c r="AL101" s="8"/>
      <c r="AM101" s="8"/>
      <c r="AN101" s="8"/>
      <c r="AO101" s="9">
        <v>1</v>
      </c>
      <c r="AP101" s="9">
        <v>1</v>
      </c>
      <c r="AQ101" s="10" t="s">
        <v>96</v>
      </c>
      <c r="AR101" s="10" t="s">
        <v>53</v>
      </c>
      <c r="AS101" s="8"/>
      <c r="AT101" s="10" t="s">
        <v>54</v>
      </c>
      <c r="AU101" s="10" t="s">
        <v>51</v>
      </c>
      <c r="AV101" s="10" t="s">
        <v>97</v>
      </c>
      <c r="AW101" s="8"/>
    </row>
    <row r="102" spans="1:49" x14ac:dyDescent="0.15">
      <c r="A102" s="11" t="s">
        <v>65</v>
      </c>
      <c r="B102" s="12" t="s">
        <v>57</v>
      </c>
      <c r="C102" s="10" t="s">
        <v>58</v>
      </c>
      <c r="D102" s="10" t="s">
        <v>59</v>
      </c>
      <c r="E102" s="9">
        <v>51</v>
      </c>
      <c r="F102" s="9">
        <v>51</v>
      </c>
      <c r="G102" s="9">
        <v>0</v>
      </c>
      <c r="H102" s="10" t="s">
        <v>59</v>
      </c>
      <c r="I102" s="9">
        <v>1</v>
      </c>
      <c r="J102" s="9">
        <v>0.39287158299703201</v>
      </c>
      <c r="K102" s="10" t="s">
        <v>51</v>
      </c>
      <c r="L102" s="9">
        <v>0</v>
      </c>
      <c r="M102" s="9">
        <v>51</v>
      </c>
      <c r="N102" s="9">
        <v>51</v>
      </c>
      <c r="O102" s="9">
        <v>30</v>
      </c>
      <c r="P102" s="9">
        <v>70.555642541003195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9">
        <v>70.546182625010303</v>
      </c>
      <c r="AC102" s="9">
        <v>70.555642541003195</v>
      </c>
      <c r="AD102" s="9">
        <v>71.039343166004997</v>
      </c>
      <c r="AE102" s="9">
        <v>71.039343166004997</v>
      </c>
      <c r="AF102" s="9">
        <v>71.039343166004997</v>
      </c>
      <c r="AG102" s="9">
        <v>71.4415505409997</v>
      </c>
      <c r="AH102" s="10" t="s">
        <v>59</v>
      </c>
      <c r="AI102" s="9">
        <v>1</v>
      </c>
      <c r="AJ102" s="9">
        <v>0.39287158299703201</v>
      </c>
      <c r="AK102" s="10" t="s">
        <v>51</v>
      </c>
      <c r="AL102" s="8"/>
      <c r="AM102" s="8"/>
      <c r="AN102" s="8"/>
      <c r="AO102" s="9">
        <v>1</v>
      </c>
      <c r="AP102" s="9">
        <v>1</v>
      </c>
      <c r="AQ102" s="10" t="s">
        <v>96</v>
      </c>
      <c r="AR102" s="10" t="s">
        <v>53</v>
      </c>
      <c r="AS102" s="8"/>
      <c r="AT102" s="10" t="s">
        <v>54</v>
      </c>
      <c r="AU102" s="10" t="s">
        <v>51</v>
      </c>
      <c r="AV102" s="10" t="s">
        <v>97</v>
      </c>
      <c r="AW102" s="8"/>
    </row>
    <row r="103" spans="1:49" x14ac:dyDescent="0.15">
      <c r="A103" s="11" t="s">
        <v>75</v>
      </c>
      <c r="B103" s="12" t="s">
        <v>57</v>
      </c>
      <c r="C103" s="10" t="s">
        <v>62</v>
      </c>
      <c r="D103" s="10" t="s">
        <v>63</v>
      </c>
      <c r="E103" s="9">
        <v>53</v>
      </c>
      <c r="F103" s="9">
        <v>53</v>
      </c>
      <c r="G103" s="9">
        <v>1</v>
      </c>
      <c r="H103" s="10" t="s">
        <v>63</v>
      </c>
      <c r="I103" s="9">
        <v>1</v>
      </c>
      <c r="J103" s="9">
        <v>0.38583054099581199</v>
      </c>
      <c r="K103" s="10" t="s">
        <v>51</v>
      </c>
      <c r="L103" s="9">
        <v>1</v>
      </c>
      <c r="M103" s="9">
        <v>53</v>
      </c>
      <c r="N103" s="9">
        <v>53</v>
      </c>
      <c r="O103" s="9">
        <v>19</v>
      </c>
      <c r="P103" s="9">
        <v>72.355126500013299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9">
        <v>72.345857457999998</v>
      </c>
      <c r="AC103" s="9">
        <v>72.355126500013299</v>
      </c>
      <c r="AD103" s="9">
        <v>72.839345166008599</v>
      </c>
      <c r="AE103" s="9">
        <v>72.839345166008599</v>
      </c>
      <c r="AF103" s="9">
        <v>72.839345166008599</v>
      </c>
      <c r="AG103" s="9">
        <v>73.230830375003293</v>
      </c>
      <c r="AH103" s="10" t="s">
        <v>63</v>
      </c>
      <c r="AI103" s="9">
        <v>1</v>
      </c>
      <c r="AJ103" s="9">
        <v>0.38583054099581199</v>
      </c>
      <c r="AK103" s="10" t="s">
        <v>51</v>
      </c>
      <c r="AL103" s="8"/>
      <c r="AM103" s="8"/>
      <c r="AN103" s="8"/>
      <c r="AO103" s="9">
        <v>1</v>
      </c>
      <c r="AP103" s="9">
        <v>1</v>
      </c>
      <c r="AQ103" s="10" t="s">
        <v>96</v>
      </c>
      <c r="AR103" s="10" t="s">
        <v>53</v>
      </c>
      <c r="AS103" s="8"/>
      <c r="AT103" s="10" t="s">
        <v>54</v>
      </c>
      <c r="AU103" s="10" t="s">
        <v>51</v>
      </c>
      <c r="AV103" s="10" t="s">
        <v>97</v>
      </c>
      <c r="AW103" s="8"/>
    </row>
    <row r="104" spans="1:49" x14ac:dyDescent="0.15">
      <c r="A104" s="11" t="s">
        <v>84</v>
      </c>
      <c r="B104" s="12" t="s">
        <v>57</v>
      </c>
      <c r="C104" s="10" t="s">
        <v>62</v>
      </c>
      <c r="D104" s="10" t="s">
        <v>63</v>
      </c>
      <c r="E104" s="9">
        <v>60</v>
      </c>
      <c r="F104" s="9">
        <v>60</v>
      </c>
      <c r="G104" s="9">
        <v>1</v>
      </c>
      <c r="H104" s="10" t="s">
        <v>63</v>
      </c>
      <c r="I104" s="9">
        <v>1</v>
      </c>
      <c r="J104" s="9">
        <v>0.47955391599680303</v>
      </c>
      <c r="K104" s="10" t="s">
        <v>51</v>
      </c>
      <c r="L104" s="9">
        <v>1</v>
      </c>
      <c r="M104" s="9">
        <v>60</v>
      </c>
      <c r="N104" s="9">
        <v>60</v>
      </c>
      <c r="O104" s="9">
        <v>21</v>
      </c>
      <c r="P104" s="9">
        <v>79.104602666004197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9">
        <v>79.095394583011498</v>
      </c>
      <c r="AC104" s="9">
        <v>79.104602666004197</v>
      </c>
      <c r="AD104" s="9">
        <v>79.589846458009603</v>
      </c>
      <c r="AE104" s="9">
        <v>79.589846458009603</v>
      </c>
      <c r="AF104" s="9">
        <v>79.589846458009603</v>
      </c>
      <c r="AG104" s="9">
        <v>80.075035625006393</v>
      </c>
      <c r="AH104" s="10" t="s">
        <v>63</v>
      </c>
      <c r="AI104" s="9">
        <v>1</v>
      </c>
      <c r="AJ104" s="9">
        <v>0.47955391599680303</v>
      </c>
      <c r="AK104" s="10" t="s">
        <v>51</v>
      </c>
      <c r="AL104" s="8"/>
      <c r="AM104" s="8"/>
      <c r="AN104" s="8"/>
      <c r="AO104" s="9">
        <v>1</v>
      </c>
      <c r="AP104" s="9">
        <v>1</v>
      </c>
      <c r="AQ104" s="10" t="s">
        <v>96</v>
      </c>
      <c r="AR104" s="10" t="s">
        <v>53</v>
      </c>
      <c r="AS104" s="8"/>
      <c r="AT104" s="10" t="s">
        <v>54</v>
      </c>
      <c r="AU104" s="10" t="s">
        <v>51</v>
      </c>
      <c r="AV104" s="10" t="s">
        <v>97</v>
      </c>
      <c r="AW104" s="8"/>
    </row>
    <row r="105" spans="1:49" x14ac:dyDescent="0.15">
      <c r="A105" s="11" t="s">
        <v>78</v>
      </c>
      <c r="B105" s="12" t="s">
        <v>57</v>
      </c>
      <c r="C105" s="10" t="s">
        <v>62</v>
      </c>
      <c r="D105" s="10" t="s">
        <v>63</v>
      </c>
      <c r="E105" s="9">
        <v>61</v>
      </c>
      <c r="F105" s="9">
        <v>61</v>
      </c>
      <c r="G105" s="9">
        <v>1</v>
      </c>
      <c r="H105" s="10" t="s">
        <v>63</v>
      </c>
      <c r="I105" s="9">
        <v>1</v>
      </c>
      <c r="J105" s="9">
        <v>0.71316949999891199</v>
      </c>
      <c r="K105" s="10" t="s">
        <v>51</v>
      </c>
      <c r="L105" s="9">
        <v>1</v>
      </c>
      <c r="M105" s="9">
        <v>61</v>
      </c>
      <c r="N105" s="9">
        <v>61</v>
      </c>
      <c r="O105" s="9">
        <v>27</v>
      </c>
      <c r="P105" s="9">
        <v>80.089264916008702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9">
        <v>80.080365125002601</v>
      </c>
      <c r="AC105" s="9">
        <v>80.089264916008702</v>
      </c>
      <c r="AD105" s="9">
        <v>80.573227500004606</v>
      </c>
      <c r="AE105" s="9">
        <v>80.573227500004606</v>
      </c>
      <c r="AF105" s="9">
        <v>80.573227500004606</v>
      </c>
      <c r="AG105" s="9">
        <v>81.292007916010306</v>
      </c>
      <c r="AH105" s="10" t="s">
        <v>63</v>
      </c>
      <c r="AI105" s="9">
        <v>1</v>
      </c>
      <c r="AJ105" s="9">
        <v>0.71316949999891199</v>
      </c>
      <c r="AK105" s="10" t="s">
        <v>51</v>
      </c>
      <c r="AL105" s="8"/>
      <c r="AM105" s="8"/>
      <c r="AN105" s="8"/>
      <c r="AO105" s="9">
        <v>1</v>
      </c>
      <c r="AP105" s="9">
        <v>1</v>
      </c>
      <c r="AQ105" s="10" t="s">
        <v>96</v>
      </c>
      <c r="AR105" s="10" t="s">
        <v>53</v>
      </c>
      <c r="AS105" s="8"/>
      <c r="AT105" s="10" t="s">
        <v>54</v>
      </c>
      <c r="AU105" s="10" t="s">
        <v>51</v>
      </c>
      <c r="AV105" s="10" t="s">
        <v>97</v>
      </c>
      <c r="AW105" s="8"/>
    </row>
    <row r="106" spans="1:49" x14ac:dyDescent="0.15">
      <c r="A106" s="11" t="s">
        <v>65</v>
      </c>
      <c r="B106" s="12" t="s">
        <v>57</v>
      </c>
      <c r="C106" s="10" t="s">
        <v>58</v>
      </c>
      <c r="D106" s="10" t="s">
        <v>59</v>
      </c>
      <c r="E106" s="9">
        <v>62</v>
      </c>
      <c r="F106" s="9">
        <v>62</v>
      </c>
      <c r="G106" s="9">
        <v>1</v>
      </c>
      <c r="H106" s="10" t="s">
        <v>59</v>
      </c>
      <c r="I106" s="9">
        <v>1</v>
      </c>
      <c r="J106" s="9">
        <v>0.40270779101410897</v>
      </c>
      <c r="K106" s="10" t="s">
        <v>51</v>
      </c>
      <c r="L106" s="9">
        <v>1</v>
      </c>
      <c r="M106" s="9">
        <v>62</v>
      </c>
      <c r="N106" s="9">
        <v>62</v>
      </c>
      <c r="O106" s="9">
        <v>30</v>
      </c>
      <c r="P106" s="9">
        <v>81.305596666003098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9">
        <v>81.296715916003507</v>
      </c>
      <c r="AC106" s="9">
        <v>81.305596666003098</v>
      </c>
      <c r="AD106" s="9">
        <v>81.789674750005403</v>
      </c>
      <c r="AE106" s="9">
        <v>81.789674750005403</v>
      </c>
      <c r="AF106" s="9">
        <v>81.789674750005403</v>
      </c>
      <c r="AG106" s="9">
        <v>82.198419375010403</v>
      </c>
      <c r="AH106" s="10" t="s">
        <v>59</v>
      </c>
      <c r="AI106" s="9">
        <v>1</v>
      </c>
      <c r="AJ106" s="9">
        <v>0.40270779101410897</v>
      </c>
      <c r="AK106" s="10" t="s">
        <v>51</v>
      </c>
      <c r="AL106" s="8"/>
      <c r="AM106" s="8"/>
      <c r="AN106" s="8"/>
      <c r="AO106" s="9">
        <v>1</v>
      </c>
      <c r="AP106" s="9">
        <v>1</v>
      </c>
      <c r="AQ106" s="10" t="s">
        <v>96</v>
      </c>
      <c r="AR106" s="10" t="s">
        <v>53</v>
      </c>
      <c r="AS106" s="8"/>
      <c r="AT106" s="10" t="s">
        <v>54</v>
      </c>
      <c r="AU106" s="10" t="s">
        <v>51</v>
      </c>
      <c r="AV106" s="10" t="s">
        <v>97</v>
      </c>
      <c r="AW106" s="8"/>
    </row>
    <row r="107" spans="1:49" x14ac:dyDescent="0.15">
      <c r="A107" s="11" t="s">
        <v>72</v>
      </c>
      <c r="B107" s="12" t="s">
        <v>57</v>
      </c>
      <c r="C107" s="10" t="s">
        <v>58</v>
      </c>
      <c r="D107" s="10" t="s">
        <v>59</v>
      </c>
      <c r="E107" s="9">
        <v>65</v>
      </c>
      <c r="F107" s="9">
        <v>65</v>
      </c>
      <c r="G107" s="9">
        <v>3</v>
      </c>
      <c r="H107" s="10" t="s">
        <v>59</v>
      </c>
      <c r="I107" s="9">
        <v>1</v>
      </c>
      <c r="J107" s="9">
        <v>0.40182479099894403</v>
      </c>
      <c r="K107" s="10" t="s">
        <v>51</v>
      </c>
      <c r="L107" s="9">
        <v>3</v>
      </c>
      <c r="M107" s="9">
        <v>65</v>
      </c>
      <c r="N107" s="9">
        <v>65</v>
      </c>
      <c r="O107" s="9">
        <v>24</v>
      </c>
      <c r="P107" s="9">
        <v>84.190225583006395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9">
        <v>84.181391458012499</v>
      </c>
      <c r="AC107" s="9">
        <v>84.190225583006395</v>
      </c>
      <c r="AD107" s="9">
        <v>84.673538041010005</v>
      </c>
      <c r="AE107" s="9">
        <v>84.673538041010005</v>
      </c>
      <c r="AF107" s="9">
        <v>84.673538041010005</v>
      </c>
      <c r="AG107" s="9">
        <v>85.081737291009603</v>
      </c>
      <c r="AH107" s="10" t="s">
        <v>59</v>
      </c>
      <c r="AI107" s="9">
        <v>1</v>
      </c>
      <c r="AJ107" s="9">
        <v>0.40182479099894403</v>
      </c>
      <c r="AK107" s="10" t="s">
        <v>51</v>
      </c>
      <c r="AL107" s="8"/>
      <c r="AM107" s="8"/>
      <c r="AN107" s="8"/>
      <c r="AO107" s="9">
        <v>1</v>
      </c>
      <c r="AP107" s="9">
        <v>1</v>
      </c>
      <c r="AQ107" s="10" t="s">
        <v>96</v>
      </c>
      <c r="AR107" s="10" t="s">
        <v>53</v>
      </c>
      <c r="AS107" s="8"/>
      <c r="AT107" s="10" t="s">
        <v>54</v>
      </c>
      <c r="AU107" s="10" t="s">
        <v>51</v>
      </c>
      <c r="AV107" s="10" t="s">
        <v>97</v>
      </c>
      <c r="AW107" s="8"/>
    </row>
    <row r="108" spans="1:49" x14ac:dyDescent="0.15">
      <c r="A108" s="11" t="s">
        <v>68</v>
      </c>
      <c r="B108" s="12" t="s">
        <v>57</v>
      </c>
      <c r="C108" s="10" t="s">
        <v>62</v>
      </c>
      <c r="D108" s="10" t="s">
        <v>63</v>
      </c>
      <c r="E108" s="9">
        <v>66</v>
      </c>
      <c r="F108" s="9">
        <v>66</v>
      </c>
      <c r="G108" s="9">
        <v>3</v>
      </c>
      <c r="H108" s="10" t="s">
        <v>63</v>
      </c>
      <c r="I108" s="9">
        <v>1</v>
      </c>
      <c r="J108" s="9">
        <v>0.50687641599506605</v>
      </c>
      <c r="K108" s="10" t="s">
        <v>51</v>
      </c>
      <c r="L108" s="9">
        <v>3</v>
      </c>
      <c r="M108" s="9">
        <v>66</v>
      </c>
      <c r="N108" s="9">
        <v>66</v>
      </c>
      <c r="O108" s="9">
        <v>23</v>
      </c>
      <c r="P108" s="9">
        <v>85.096084832999594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9">
        <v>85.086616915999898</v>
      </c>
      <c r="AC108" s="9">
        <v>85.096084832999594</v>
      </c>
      <c r="AD108" s="9">
        <v>85.582598125009099</v>
      </c>
      <c r="AE108" s="9">
        <v>85.582598125009099</v>
      </c>
      <c r="AF108" s="9">
        <v>85.582598125009099</v>
      </c>
      <c r="AG108" s="9">
        <v>86.091887833012194</v>
      </c>
      <c r="AH108" s="10" t="s">
        <v>63</v>
      </c>
      <c r="AI108" s="9">
        <v>1</v>
      </c>
      <c r="AJ108" s="9">
        <v>0.50687641599506605</v>
      </c>
      <c r="AK108" s="10" t="s">
        <v>51</v>
      </c>
      <c r="AL108" s="8"/>
      <c r="AM108" s="8"/>
      <c r="AN108" s="8"/>
      <c r="AO108" s="9">
        <v>1</v>
      </c>
      <c r="AP108" s="9">
        <v>1</v>
      </c>
      <c r="AQ108" s="10" t="s">
        <v>96</v>
      </c>
      <c r="AR108" s="10" t="s">
        <v>53</v>
      </c>
      <c r="AS108" s="8"/>
      <c r="AT108" s="10" t="s">
        <v>54</v>
      </c>
      <c r="AU108" s="10" t="s">
        <v>51</v>
      </c>
      <c r="AV108" s="10" t="s">
        <v>97</v>
      </c>
      <c r="AW108" s="8"/>
    </row>
    <row r="109" spans="1:49" x14ac:dyDescent="0.15">
      <c r="A109" s="11" t="s">
        <v>75</v>
      </c>
      <c r="B109" s="12" t="s">
        <v>57</v>
      </c>
      <c r="C109" s="10" t="s">
        <v>58</v>
      </c>
      <c r="D109" s="10" t="s">
        <v>59</v>
      </c>
      <c r="E109" s="9">
        <v>67</v>
      </c>
      <c r="F109" s="9">
        <v>67</v>
      </c>
      <c r="G109" s="9">
        <v>0</v>
      </c>
      <c r="H109" s="10" t="s">
        <v>59</v>
      </c>
      <c r="I109" s="9">
        <v>1</v>
      </c>
      <c r="J109" s="9">
        <v>0.351530917003402</v>
      </c>
      <c r="K109" s="10" t="s">
        <v>51</v>
      </c>
      <c r="L109" s="9">
        <v>0</v>
      </c>
      <c r="M109" s="9">
        <v>67</v>
      </c>
      <c r="N109" s="9">
        <v>67</v>
      </c>
      <c r="O109" s="9">
        <v>18</v>
      </c>
      <c r="P109" s="9">
        <v>86.1056644580094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9">
        <v>86.096766458009398</v>
      </c>
      <c r="AC109" s="9">
        <v>86.1056644580094</v>
      </c>
      <c r="AD109" s="9">
        <v>86.589888125003199</v>
      </c>
      <c r="AE109" s="9">
        <v>86.589888125003199</v>
      </c>
      <c r="AF109" s="9">
        <v>86.589888125003199</v>
      </c>
      <c r="AG109" s="9">
        <v>86.947767707999503</v>
      </c>
      <c r="AH109" s="10" t="s">
        <v>59</v>
      </c>
      <c r="AI109" s="9">
        <v>1</v>
      </c>
      <c r="AJ109" s="9">
        <v>0.351530917003402</v>
      </c>
      <c r="AK109" s="10" t="s">
        <v>51</v>
      </c>
      <c r="AL109" s="8"/>
      <c r="AM109" s="8"/>
      <c r="AN109" s="8"/>
      <c r="AO109" s="9">
        <v>1</v>
      </c>
      <c r="AP109" s="9">
        <v>1</v>
      </c>
      <c r="AQ109" s="10" t="s">
        <v>96</v>
      </c>
      <c r="AR109" s="10" t="s">
        <v>53</v>
      </c>
      <c r="AS109" s="8"/>
      <c r="AT109" s="10" t="s">
        <v>54</v>
      </c>
      <c r="AU109" s="10" t="s">
        <v>51</v>
      </c>
      <c r="AV109" s="10" t="s">
        <v>97</v>
      </c>
      <c r="AW109" s="8"/>
    </row>
    <row r="110" spans="1:49" x14ac:dyDescent="0.15">
      <c r="A110" s="11" t="s">
        <v>68</v>
      </c>
      <c r="B110" s="12" t="s">
        <v>57</v>
      </c>
      <c r="C110" s="10" t="s">
        <v>58</v>
      </c>
      <c r="D110" s="10" t="s">
        <v>59</v>
      </c>
      <c r="E110" s="9">
        <v>68</v>
      </c>
      <c r="F110" s="9">
        <v>68</v>
      </c>
      <c r="G110" s="9">
        <v>3</v>
      </c>
      <c r="H110" s="10" t="s">
        <v>59</v>
      </c>
      <c r="I110" s="9">
        <v>1</v>
      </c>
      <c r="J110" s="9">
        <v>0.46734837499388998</v>
      </c>
      <c r="K110" s="10" t="s">
        <v>51</v>
      </c>
      <c r="L110" s="9">
        <v>3</v>
      </c>
      <c r="M110" s="9">
        <v>68</v>
      </c>
      <c r="N110" s="9">
        <v>68</v>
      </c>
      <c r="O110" s="9">
        <v>22</v>
      </c>
      <c r="P110" s="9">
        <v>86.962028458001399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9">
        <v>86.951768250000896</v>
      </c>
      <c r="AC110" s="9">
        <v>86.962028458001399</v>
      </c>
      <c r="AD110" s="9">
        <v>87.448166208006995</v>
      </c>
      <c r="AE110" s="9">
        <v>87.448166208006995</v>
      </c>
      <c r="AF110" s="9">
        <v>87.448166208006995</v>
      </c>
      <c r="AG110" s="9">
        <v>87.925440625011106</v>
      </c>
      <c r="AH110" s="10" t="s">
        <v>59</v>
      </c>
      <c r="AI110" s="9">
        <v>1</v>
      </c>
      <c r="AJ110" s="9">
        <v>0.46734837499388998</v>
      </c>
      <c r="AK110" s="10" t="s">
        <v>51</v>
      </c>
      <c r="AL110" s="8"/>
      <c r="AM110" s="8"/>
      <c r="AN110" s="8"/>
      <c r="AO110" s="9">
        <v>1</v>
      </c>
      <c r="AP110" s="9">
        <v>1</v>
      </c>
      <c r="AQ110" s="10" t="s">
        <v>96</v>
      </c>
      <c r="AR110" s="10" t="s">
        <v>53</v>
      </c>
      <c r="AS110" s="8"/>
      <c r="AT110" s="10" t="s">
        <v>54</v>
      </c>
      <c r="AU110" s="10" t="s">
        <v>51</v>
      </c>
      <c r="AV110" s="10" t="s">
        <v>97</v>
      </c>
      <c r="AW110" s="8"/>
    </row>
    <row r="111" spans="1:49" x14ac:dyDescent="0.15">
      <c r="A111" s="11" t="s">
        <v>75</v>
      </c>
      <c r="B111" s="12" t="s">
        <v>57</v>
      </c>
      <c r="C111" s="10" t="s">
        <v>58</v>
      </c>
      <c r="D111" s="10" t="s">
        <v>59</v>
      </c>
      <c r="E111" s="9">
        <v>71</v>
      </c>
      <c r="F111" s="9">
        <v>71</v>
      </c>
      <c r="G111" s="9">
        <v>1</v>
      </c>
      <c r="H111" s="10" t="s">
        <v>59</v>
      </c>
      <c r="I111" s="9">
        <v>1</v>
      </c>
      <c r="J111" s="9">
        <v>1.22644150000997</v>
      </c>
      <c r="K111" s="10" t="s">
        <v>51</v>
      </c>
      <c r="L111" s="9">
        <v>1</v>
      </c>
      <c r="M111" s="9">
        <v>71</v>
      </c>
      <c r="N111" s="9">
        <v>71</v>
      </c>
      <c r="O111" s="9">
        <v>18</v>
      </c>
      <c r="P111" s="9">
        <v>90.106578416001895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9">
        <v>90.097180750002707</v>
      </c>
      <c r="AC111" s="9">
        <v>90.106578416001895</v>
      </c>
      <c r="AD111" s="9">
        <v>90.590136000013402</v>
      </c>
      <c r="AE111" s="9">
        <v>90.590136000013402</v>
      </c>
      <c r="AF111" s="9">
        <v>90.590136000013402</v>
      </c>
      <c r="AG111" s="9">
        <v>91.825691625010194</v>
      </c>
      <c r="AH111" s="10" t="s">
        <v>59</v>
      </c>
      <c r="AI111" s="9">
        <v>1</v>
      </c>
      <c r="AJ111" s="9">
        <v>1.22644150000997</v>
      </c>
      <c r="AK111" s="10" t="s">
        <v>51</v>
      </c>
      <c r="AL111" s="8"/>
      <c r="AM111" s="8"/>
      <c r="AN111" s="8"/>
      <c r="AO111" s="9">
        <v>1</v>
      </c>
      <c r="AP111" s="9">
        <v>1</v>
      </c>
      <c r="AQ111" s="10" t="s">
        <v>96</v>
      </c>
      <c r="AR111" s="10" t="s">
        <v>53</v>
      </c>
      <c r="AS111" s="8"/>
      <c r="AT111" s="10" t="s">
        <v>54</v>
      </c>
      <c r="AU111" s="10" t="s">
        <v>51</v>
      </c>
      <c r="AV111" s="10" t="s">
        <v>97</v>
      </c>
      <c r="AW111" s="8"/>
    </row>
    <row r="112" spans="1:49" x14ac:dyDescent="0.15">
      <c r="A112" s="11" t="s">
        <v>75</v>
      </c>
      <c r="B112" s="12" t="s">
        <v>57</v>
      </c>
      <c r="C112" s="10" t="s">
        <v>58</v>
      </c>
      <c r="D112" s="10" t="s">
        <v>59</v>
      </c>
      <c r="E112" s="9">
        <v>73</v>
      </c>
      <c r="F112" s="9">
        <v>73</v>
      </c>
      <c r="G112" s="9">
        <v>2</v>
      </c>
      <c r="H112" s="10" t="s">
        <v>59</v>
      </c>
      <c r="I112" s="9">
        <v>1</v>
      </c>
      <c r="J112" s="9">
        <v>0.56626629100355796</v>
      </c>
      <c r="K112" s="10" t="s">
        <v>51</v>
      </c>
      <c r="L112" s="9">
        <v>2</v>
      </c>
      <c r="M112" s="9">
        <v>73</v>
      </c>
      <c r="N112" s="9">
        <v>73</v>
      </c>
      <c r="O112" s="9">
        <v>18</v>
      </c>
      <c r="P112" s="9">
        <v>92.838022916010203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9">
        <v>92.829426791009595</v>
      </c>
      <c r="AC112" s="9">
        <v>92.838022916010203</v>
      </c>
      <c r="AD112" s="9">
        <v>93.323419583000899</v>
      </c>
      <c r="AE112" s="9">
        <v>93.323419583000899</v>
      </c>
      <c r="AF112" s="9">
        <v>93.323419583000899</v>
      </c>
      <c r="AG112" s="9">
        <v>93.892620916012703</v>
      </c>
      <c r="AH112" s="10" t="s">
        <v>59</v>
      </c>
      <c r="AI112" s="9">
        <v>1</v>
      </c>
      <c r="AJ112" s="9">
        <v>0.56626629100355796</v>
      </c>
      <c r="AK112" s="10" t="s">
        <v>51</v>
      </c>
      <c r="AL112" s="8"/>
      <c r="AM112" s="8"/>
      <c r="AN112" s="8"/>
      <c r="AO112" s="9">
        <v>1</v>
      </c>
      <c r="AP112" s="9">
        <v>1</v>
      </c>
      <c r="AQ112" s="10" t="s">
        <v>96</v>
      </c>
      <c r="AR112" s="10" t="s">
        <v>53</v>
      </c>
      <c r="AS112" s="8"/>
      <c r="AT112" s="10" t="s">
        <v>54</v>
      </c>
      <c r="AU112" s="10" t="s">
        <v>51</v>
      </c>
      <c r="AV112" s="10" t="s">
        <v>97</v>
      </c>
      <c r="AW112" s="8"/>
    </row>
    <row r="113" spans="1:49" x14ac:dyDescent="0.15">
      <c r="A113" s="11" t="s">
        <v>75</v>
      </c>
      <c r="B113" s="12" t="s">
        <v>57</v>
      </c>
      <c r="C113" s="10" t="s">
        <v>58</v>
      </c>
      <c r="D113" s="10" t="s">
        <v>59</v>
      </c>
      <c r="E113" s="9">
        <v>74</v>
      </c>
      <c r="F113" s="9">
        <v>74</v>
      </c>
      <c r="G113" s="9">
        <v>3</v>
      </c>
      <c r="H113" s="10" t="s">
        <v>59</v>
      </c>
      <c r="I113" s="9">
        <v>1</v>
      </c>
      <c r="J113" s="9">
        <v>0.52526587400643598</v>
      </c>
      <c r="K113" s="10" t="s">
        <v>51</v>
      </c>
      <c r="L113" s="9">
        <v>3</v>
      </c>
      <c r="M113" s="9">
        <v>74</v>
      </c>
      <c r="N113" s="9">
        <v>74</v>
      </c>
      <c r="O113" s="9">
        <v>18</v>
      </c>
      <c r="P113" s="9">
        <v>93.901956583009493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9">
        <v>93.893625291006202</v>
      </c>
      <c r="AC113" s="9">
        <v>93.901956583009493</v>
      </c>
      <c r="AD113" s="9">
        <v>94.390322416002206</v>
      </c>
      <c r="AE113" s="9">
        <v>94.390322416002206</v>
      </c>
      <c r="AF113" s="9">
        <v>94.390322416002206</v>
      </c>
      <c r="AG113" s="9">
        <v>94.925507166000898</v>
      </c>
      <c r="AH113" s="10" t="s">
        <v>59</v>
      </c>
      <c r="AI113" s="9">
        <v>1</v>
      </c>
      <c r="AJ113" s="9">
        <v>0.52526587400643598</v>
      </c>
      <c r="AK113" s="10" t="s">
        <v>51</v>
      </c>
      <c r="AL113" s="8"/>
      <c r="AM113" s="8"/>
      <c r="AN113" s="8"/>
      <c r="AO113" s="9">
        <v>1</v>
      </c>
      <c r="AP113" s="9">
        <v>1</v>
      </c>
      <c r="AQ113" s="10" t="s">
        <v>96</v>
      </c>
      <c r="AR113" s="10" t="s">
        <v>53</v>
      </c>
      <c r="AS113" s="8"/>
      <c r="AT113" s="10" t="s">
        <v>54</v>
      </c>
      <c r="AU113" s="10" t="s">
        <v>51</v>
      </c>
      <c r="AV113" s="10" t="s">
        <v>97</v>
      </c>
      <c r="AW113" s="8"/>
    </row>
    <row r="114" spans="1:49" x14ac:dyDescent="0.15">
      <c r="A114" s="11" t="s">
        <v>56</v>
      </c>
      <c r="B114" s="12" t="s">
        <v>57</v>
      </c>
      <c r="C114" s="10" t="s">
        <v>62</v>
      </c>
      <c r="D114" s="10" t="s">
        <v>63</v>
      </c>
      <c r="E114" s="9">
        <v>76</v>
      </c>
      <c r="F114" s="9">
        <v>76</v>
      </c>
      <c r="G114" s="9">
        <v>2</v>
      </c>
      <c r="H114" s="10" t="s">
        <v>63</v>
      </c>
      <c r="I114" s="9">
        <v>1</v>
      </c>
      <c r="J114" s="9">
        <v>0.44337179099966301</v>
      </c>
      <c r="K114" s="10" t="s">
        <v>51</v>
      </c>
      <c r="L114" s="9">
        <v>2</v>
      </c>
      <c r="M114" s="9">
        <v>76</v>
      </c>
      <c r="N114" s="9">
        <v>76</v>
      </c>
      <c r="O114" s="9">
        <v>17</v>
      </c>
      <c r="P114" s="9">
        <v>95.928946333005996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9">
        <v>95.918649000013801</v>
      </c>
      <c r="AC114" s="9">
        <v>95.928946333005996</v>
      </c>
      <c r="AD114" s="9">
        <v>96.416135166000501</v>
      </c>
      <c r="AE114" s="9">
        <v>96.416135166000501</v>
      </c>
      <c r="AF114" s="9">
        <v>96.416135166000501</v>
      </c>
      <c r="AG114" s="9">
        <v>96.865043166006203</v>
      </c>
      <c r="AH114" s="10" t="s">
        <v>63</v>
      </c>
      <c r="AI114" s="9">
        <v>1</v>
      </c>
      <c r="AJ114" s="9">
        <v>0.44337179099966301</v>
      </c>
      <c r="AK114" s="10" t="s">
        <v>51</v>
      </c>
      <c r="AL114" s="8"/>
      <c r="AM114" s="8"/>
      <c r="AN114" s="8"/>
      <c r="AO114" s="9">
        <v>1</v>
      </c>
      <c r="AP114" s="9">
        <v>1</v>
      </c>
      <c r="AQ114" s="10" t="s">
        <v>96</v>
      </c>
      <c r="AR114" s="10" t="s">
        <v>53</v>
      </c>
      <c r="AS114" s="8"/>
      <c r="AT114" s="10" t="s">
        <v>54</v>
      </c>
      <c r="AU114" s="10" t="s">
        <v>51</v>
      </c>
      <c r="AV114" s="10" t="s">
        <v>97</v>
      </c>
      <c r="AW114" s="8"/>
    </row>
    <row r="115" spans="1:49" x14ac:dyDescent="0.15">
      <c r="A115" s="11" t="s">
        <v>84</v>
      </c>
      <c r="B115" s="12" t="s">
        <v>57</v>
      </c>
      <c r="C115" s="10" t="s">
        <v>58</v>
      </c>
      <c r="D115" s="10" t="s">
        <v>59</v>
      </c>
      <c r="E115" s="9">
        <v>77</v>
      </c>
      <c r="F115" s="9">
        <v>77</v>
      </c>
      <c r="G115" s="9">
        <v>0</v>
      </c>
      <c r="H115" s="10" t="s">
        <v>59</v>
      </c>
      <c r="I115" s="9">
        <v>1</v>
      </c>
      <c r="J115" s="9">
        <v>0.409462916009943</v>
      </c>
      <c r="K115" s="10" t="s">
        <v>51</v>
      </c>
      <c r="L115" s="9">
        <v>0</v>
      </c>
      <c r="M115" s="9">
        <v>77</v>
      </c>
      <c r="N115" s="9">
        <v>77</v>
      </c>
      <c r="O115" s="9">
        <v>20</v>
      </c>
      <c r="P115" s="9">
        <v>96.879317041006303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9">
        <v>96.869479958011695</v>
      </c>
      <c r="AC115" s="9">
        <v>96.879317041006303</v>
      </c>
      <c r="AD115" s="9">
        <v>97.366127916000593</v>
      </c>
      <c r="AE115" s="9">
        <v>97.366127916000593</v>
      </c>
      <c r="AF115" s="9">
        <v>97.366127916000593</v>
      </c>
      <c r="AG115" s="9">
        <v>97.781678375002201</v>
      </c>
      <c r="AH115" s="10" t="s">
        <v>59</v>
      </c>
      <c r="AI115" s="9">
        <v>1</v>
      </c>
      <c r="AJ115" s="9">
        <v>0.409462916009943</v>
      </c>
      <c r="AK115" s="10" t="s">
        <v>51</v>
      </c>
      <c r="AL115" s="8"/>
      <c r="AM115" s="8"/>
      <c r="AN115" s="8"/>
      <c r="AO115" s="9">
        <v>1</v>
      </c>
      <c r="AP115" s="9">
        <v>1</v>
      </c>
      <c r="AQ115" s="10" t="s">
        <v>96</v>
      </c>
      <c r="AR115" s="10" t="s">
        <v>53</v>
      </c>
      <c r="AS115" s="8"/>
      <c r="AT115" s="10" t="s">
        <v>54</v>
      </c>
      <c r="AU115" s="10" t="s">
        <v>51</v>
      </c>
      <c r="AV115" s="10" t="s">
        <v>97</v>
      </c>
      <c r="AW115" s="8"/>
    </row>
    <row r="116" spans="1:49" x14ac:dyDescent="0.15">
      <c r="A116" s="11" t="s">
        <v>84</v>
      </c>
      <c r="B116" s="12" t="s">
        <v>57</v>
      </c>
      <c r="C116" s="10" t="s">
        <v>62</v>
      </c>
      <c r="D116" s="10" t="s">
        <v>63</v>
      </c>
      <c r="E116" s="9">
        <v>79</v>
      </c>
      <c r="F116" s="9">
        <v>79</v>
      </c>
      <c r="G116" s="9">
        <v>2</v>
      </c>
      <c r="H116" s="10" t="s">
        <v>63</v>
      </c>
      <c r="I116" s="9">
        <v>1</v>
      </c>
      <c r="J116" s="9">
        <v>0.63757604100101195</v>
      </c>
      <c r="K116" s="10" t="s">
        <v>51</v>
      </c>
      <c r="L116" s="9">
        <v>2</v>
      </c>
      <c r="M116" s="9">
        <v>79</v>
      </c>
      <c r="N116" s="9">
        <v>79</v>
      </c>
      <c r="O116" s="9">
        <v>21</v>
      </c>
      <c r="P116" s="9">
        <v>98.839393583009993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9">
        <v>98.830493125002306</v>
      </c>
      <c r="AC116" s="9">
        <v>98.839393583009993</v>
      </c>
      <c r="AD116" s="9">
        <v>99.324084625011906</v>
      </c>
      <c r="AE116" s="9">
        <v>99.324084625011906</v>
      </c>
      <c r="AF116" s="9">
        <v>99.324084625011906</v>
      </c>
      <c r="AG116" s="9">
        <v>99.965044625001596</v>
      </c>
      <c r="AH116" s="10" t="s">
        <v>63</v>
      </c>
      <c r="AI116" s="9">
        <v>1</v>
      </c>
      <c r="AJ116" s="9">
        <v>0.63757604100101195</v>
      </c>
      <c r="AK116" s="10" t="s">
        <v>51</v>
      </c>
      <c r="AL116" s="8"/>
      <c r="AM116" s="8"/>
      <c r="AN116" s="8"/>
      <c r="AO116" s="9">
        <v>1</v>
      </c>
      <c r="AP116" s="9">
        <v>1</v>
      </c>
      <c r="AQ116" s="10" t="s">
        <v>96</v>
      </c>
      <c r="AR116" s="10" t="s">
        <v>53</v>
      </c>
      <c r="AS116" s="8"/>
      <c r="AT116" s="10" t="s">
        <v>54</v>
      </c>
      <c r="AU116" s="10" t="s">
        <v>51</v>
      </c>
      <c r="AV116" s="10" t="s">
        <v>97</v>
      </c>
      <c r="AW116" s="8"/>
    </row>
    <row r="117" spans="1:49" x14ac:dyDescent="0.15">
      <c r="A117" s="11" t="s">
        <v>65</v>
      </c>
      <c r="B117" s="12" t="s">
        <v>57</v>
      </c>
      <c r="C117" s="10" t="s">
        <v>62</v>
      </c>
      <c r="D117" s="10" t="s">
        <v>63</v>
      </c>
      <c r="E117" s="9">
        <v>81</v>
      </c>
      <c r="F117" s="9">
        <v>81</v>
      </c>
      <c r="G117" s="9">
        <v>2</v>
      </c>
      <c r="H117" s="10" t="s">
        <v>63</v>
      </c>
      <c r="I117" s="9">
        <v>1</v>
      </c>
      <c r="J117" s="9">
        <v>0.36764895799569802</v>
      </c>
      <c r="K117" s="10" t="s">
        <v>51</v>
      </c>
      <c r="L117" s="9">
        <v>2</v>
      </c>
      <c r="M117" s="9">
        <v>81</v>
      </c>
      <c r="N117" s="9">
        <v>81</v>
      </c>
      <c r="O117" s="9">
        <v>31</v>
      </c>
      <c r="P117" s="9">
        <v>100.845387375011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9">
        <v>100.83548916601301</v>
      </c>
      <c r="AC117" s="9">
        <v>100.845387375011</v>
      </c>
      <c r="AD117" s="9">
        <v>101.333188416</v>
      </c>
      <c r="AE117" s="9">
        <v>101.333188416</v>
      </c>
      <c r="AF117" s="9">
        <v>101.333188416</v>
      </c>
      <c r="AG117" s="9">
        <v>101.70917570800501</v>
      </c>
      <c r="AH117" s="10" t="s">
        <v>63</v>
      </c>
      <c r="AI117" s="9">
        <v>1</v>
      </c>
      <c r="AJ117" s="9">
        <v>0.36764895799569802</v>
      </c>
      <c r="AK117" s="10" t="s">
        <v>51</v>
      </c>
      <c r="AL117" s="8"/>
      <c r="AM117" s="8"/>
      <c r="AN117" s="8"/>
      <c r="AO117" s="9">
        <v>1</v>
      </c>
      <c r="AP117" s="9">
        <v>1</v>
      </c>
      <c r="AQ117" s="10" t="s">
        <v>96</v>
      </c>
      <c r="AR117" s="10" t="s">
        <v>53</v>
      </c>
      <c r="AS117" s="8"/>
      <c r="AT117" s="10" t="s">
        <v>54</v>
      </c>
      <c r="AU117" s="10" t="s">
        <v>51</v>
      </c>
      <c r="AV117" s="10" t="s">
        <v>97</v>
      </c>
      <c r="AW117" s="8"/>
    </row>
    <row r="118" spans="1:49" x14ac:dyDescent="0.15">
      <c r="A118" s="11" t="s">
        <v>56</v>
      </c>
      <c r="B118" s="12" t="s">
        <v>57</v>
      </c>
      <c r="C118" s="10" t="s">
        <v>62</v>
      </c>
      <c r="D118" s="10" t="s">
        <v>63</v>
      </c>
      <c r="E118" s="9">
        <v>84</v>
      </c>
      <c r="F118" s="9">
        <v>84</v>
      </c>
      <c r="G118" s="9">
        <v>3</v>
      </c>
      <c r="H118" s="10" t="s">
        <v>63</v>
      </c>
      <c r="I118" s="9">
        <v>1</v>
      </c>
      <c r="J118" s="9">
        <v>0.87618866699631304</v>
      </c>
      <c r="K118" s="10" t="s">
        <v>51</v>
      </c>
      <c r="L118" s="9">
        <v>3</v>
      </c>
      <c r="M118" s="9">
        <v>84</v>
      </c>
      <c r="N118" s="9">
        <v>84</v>
      </c>
      <c r="O118" s="9">
        <v>17</v>
      </c>
      <c r="P118" s="9">
        <v>103.70793220801001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9">
        <v>103.699029750002</v>
      </c>
      <c r="AC118" s="9">
        <v>103.70793220801001</v>
      </c>
      <c r="AD118" s="9">
        <v>104.190688000002</v>
      </c>
      <c r="AE118" s="9">
        <v>104.190688000002</v>
      </c>
      <c r="AF118" s="9">
        <v>104.190688000002</v>
      </c>
      <c r="AG118" s="9">
        <v>105.076075041012</v>
      </c>
      <c r="AH118" s="10" t="s">
        <v>63</v>
      </c>
      <c r="AI118" s="9">
        <v>1</v>
      </c>
      <c r="AJ118" s="9">
        <v>0.87618866699631304</v>
      </c>
      <c r="AK118" s="10" t="s">
        <v>51</v>
      </c>
      <c r="AL118" s="8"/>
      <c r="AM118" s="8"/>
      <c r="AN118" s="8"/>
      <c r="AO118" s="9">
        <v>1</v>
      </c>
      <c r="AP118" s="9">
        <v>1</v>
      </c>
      <c r="AQ118" s="10" t="s">
        <v>96</v>
      </c>
      <c r="AR118" s="10" t="s">
        <v>53</v>
      </c>
      <c r="AS118" s="8"/>
      <c r="AT118" s="10" t="s">
        <v>54</v>
      </c>
      <c r="AU118" s="10" t="s">
        <v>51</v>
      </c>
      <c r="AV118" s="10" t="s">
        <v>97</v>
      </c>
      <c r="AW118" s="8"/>
    </row>
    <row r="119" spans="1:49" x14ac:dyDescent="0.15">
      <c r="A119" s="11" t="s">
        <v>72</v>
      </c>
      <c r="B119" s="12" t="s">
        <v>57</v>
      </c>
      <c r="C119" s="10" t="s">
        <v>62</v>
      </c>
      <c r="D119" s="10" t="s">
        <v>63</v>
      </c>
      <c r="E119" s="9">
        <v>85</v>
      </c>
      <c r="F119" s="9">
        <v>85</v>
      </c>
      <c r="G119" s="9">
        <v>1</v>
      </c>
      <c r="H119" s="10" t="s">
        <v>63</v>
      </c>
      <c r="I119" s="9">
        <v>1</v>
      </c>
      <c r="J119" s="9">
        <v>0.35561083300854102</v>
      </c>
      <c r="K119" s="10" t="s">
        <v>51</v>
      </c>
      <c r="L119" s="9">
        <v>1</v>
      </c>
      <c r="M119" s="9">
        <v>85</v>
      </c>
      <c r="N119" s="9">
        <v>85</v>
      </c>
      <c r="O119" s="9">
        <v>25</v>
      </c>
      <c r="P119" s="9">
        <v>105.08991191600199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9">
        <v>105.081109125007</v>
      </c>
      <c r="AC119" s="9">
        <v>105.08991191600199</v>
      </c>
      <c r="AD119" s="9">
        <v>105.57420600000501</v>
      </c>
      <c r="AE119" s="9">
        <v>105.57420600000501</v>
      </c>
      <c r="AF119" s="9">
        <v>105.57420600000501</v>
      </c>
      <c r="AG119" s="9">
        <v>105.931924416</v>
      </c>
      <c r="AH119" s="10" t="s">
        <v>63</v>
      </c>
      <c r="AI119" s="9">
        <v>1</v>
      </c>
      <c r="AJ119" s="9">
        <v>0.35561083300854102</v>
      </c>
      <c r="AK119" s="10" t="s">
        <v>51</v>
      </c>
      <c r="AL119" s="8"/>
      <c r="AM119" s="8"/>
      <c r="AN119" s="8"/>
      <c r="AO119" s="9">
        <v>1</v>
      </c>
      <c r="AP119" s="9">
        <v>1</v>
      </c>
      <c r="AQ119" s="10" t="s">
        <v>96</v>
      </c>
      <c r="AR119" s="10" t="s">
        <v>53</v>
      </c>
      <c r="AS119" s="8"/>
      <c r="AT119" s="10" t="s">
        <v>54</v>
      </c>
      <c r="AU119" s="10" t="s">
        <v>51</v>
      </c>
      <c r="AV119" s="10" t="s">
        <v>97</v>
      </c>
      <c r="AW119" s="8"/>
    </row>
    <row r="120" spans="1:49" x14ac:dyDescent="0.15">
      <c r="A120" s="11" t="s">
        <v>71</v>
      </c>
      <c r="B120" s="12" t="s">
        <v>57</v>
      </c>
      <c r="C120" s="10" t="s">
        <v>62</v>
      </c>
      <c r="D120" s="10" t="s">
        <v>63</v>
      </c>
      <c r="E120" s="9">
        <v>88</v>
      </c>
      <c r="F120" s="9">
        <v>88</v>
      </c>
      <c r="G120" s="9">
        <v>1</v>
      </c>
      <c r="H120" s="10" t="s">
        <v>63</v>
      </c>
      <c r="I120" s="9">
        <v>1</v>
      </c>
      <c r="J120" s="9">
        <v>0.34094162400287997</v>
      </c>
      <c r="K120" s="10" t="s">
        <v>51</v>
      </c>
      <c r="L120" s="9">
        <v>1</v>
      </c>
      <c r="M120" s="9">
        <v>88</v>
      </c>
      <c r="N120" s="9">
        <v>88</v>
      </c>
      <c r="O120" s="9">
        <v>29</v>
      </c>
      <c r="P120" s="9">
        <v>107.756908416006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9">
        <v>107.74810883300999</v>
      </c>
      <c r="AC120" s="9">
        <v>107.756908416006</v>
      </c>
      <c r="AD120" s="9">
        <v>108.240837916004</v>
      </c>
      <c r="AE120" s="9">
        <v>108.240837916004</v>
      </c>
      <c r="AF120" s="9">
        <v>108.240837916004</v>
      </c>
      <c r="AG120" s="9">
        <v>108.59306016600701</v>
      </c>
      <c r="AH120" s="10" t="s">
        <v>63</v>
      </c>
      <c r="AI120" s="9">
        <v>1</v>
      </c>
      <c r="AJ120" s="9">
        <v>0.34094162400287997</v>
      </c>
      <c r="AK120" s="10" t="s">
        <v>51</v>
      </c>
      <c r="AL120" s="8"/>
      <c r="AM120" s="8"/>
      <c r="AN120" s="8"/>
      <c r="AO120" s="9">
        <v>1</v>
      </c>
      <c r="AP120" s="9">
        <v>1</v>
      </c>
      <c r="AQ120" s="10" t="s">
        <v>96</v>
      </c>
      <c r="AR120" s="10" t="s">
        <v>53</v>
      </c>
      <c r="AS120" s="8"/>
      <c r="AT120" s="10" t="s">
        <v>54</v>
      </c>
      <c r="AU120" s="10" t="s">
        <v>51</v>
      </c>
      <c r="AV120" s="10" t="s">
        <v>97</v>
      </c>
      <c r="AW120" s="8"/>
    </row>
    <row r="121" spans="1:49" x14ac:dyDescent="0.15">
      <c r="A121" s="11" t="s">
        <v>84</v>
      </c>
      <c r="B121" s="12" t="s">
        <v>57</v>
      </c>
      <c r="C121" s="10" t="s">
        <v>58</v>
      </c>
      <c r="D121" s="10" t="s">
        <v>59</v>
      </c>
      <c r="E121" s="9">
        <v>91</v>
      </c>
      <c r="F121" s="9">
        <v>91</v>
      </c>
      <c r="G121" s="9">
        <v>1</v>
      </c>
      <c r="H121" s="10" t="s">
        <v>59</v>
      </c>
      <c r="I121" s="9">
        <v>1</v>
      </c>
      <c r="J121" s="9">
        <v>0.46164087500073903</v>
      </c>
      <c r="K121" s="10" t="s">
        <v>51</v>
      </c>
      <c r="L121" s="9">
        <v>1</v>
      </c>
      <c r="M121" s="9">
        <v>91</v>
      </c>
      <c r="N121" s="9">
        <v>91</v>
      </c>
      <c r="O121" s="9">
        <v>20</v>
      </c>
      <c r="P121" s="9">
        <v>110.372984833011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9">
        <v>110.364173083013</v>
      </c>
      <c r="AC121" s="9">
        <v>110.372984833011</v>
      </c>
      <c r="AD121" s="9">
        <v>110.857345916011</v>
      </c>
      <c r="AE121" s="9">
        <v>110.857345916011</v>
      </c>
      <c r="AF121" s="9">
        <v>110.857345916011</v>
      </c>
      <c r="AG121" s="9">
        <v>111.326602500005</v>
      </c>
      <c r="AH121" s="10" t="s">
        <v>59</v>
      </c>
      <c r="AI121" s="9">
        <v>1</v>
      </c>
      <c r="AJ121" s="9">
        <v>0.46164087500073903</v>
      </c>
      <c r="AK121" s="10" t="s">
        <v>51</v>
      </c>
      <c r="AL121" s="8"/>
      <c r="AM121" s="8"/>
      <c r="AN121" s="8"/>
      <c r="AO121" s="9">
        <v>1</v>
      </c>
      <c r="AP121" s="9">
        <v>1</v>
      </c>
      <c r="AQ121" s="10" t="s">
        <v>96</v>
      </c>
      <c r="AR121" s="10" t="s">
        <v>53</v>
      </c>
      <c r="AS121" s="8"/>
      <c r="AT121" s="10" t="s">
        <v>54</v>
      </c>
      <c r="AU121" s="10" t="s">
        <v>51</v>
      </c>
      <c r="AV121" s="10" t="s">
        <v>97</v>
      </c>
      <c r="AW121" s="8"/>
    </row>
    <row r="122" spans="1:49" x14ac:dyDescent="0.15">
      <c r="A122" s="11" t="s">
        <v>65</v>
      </c>
      <c r="B122" s="12" t="s">
        <v>57</v>
      </c>
      <c r="C122" s="10" t="s">
        <v>62</v>
      </c>
      <c r="D122" s="10" t="s">
        <v>63</v>
      </c>
      <c r="E122" s="9">
        <v>93</v>
      </c>
      <c r="F122" s="9">
        <v>93</v>
      </c>
      <c r="G122" s="9">
        <v>3</v>
      </c>
      <c r="H122" s="10" t="s">
        <v>63</v>
      </c>
      <c r="I122" s="9">
        <v>1</v>
      </c>
      <c r="J122" s="9">
        <v>0.49967583300895102</v>
      </c>
      <c r="K122" s="10" t="s">
        <v>51</v>
      </c>
      <c r="L122" s="9">
        <v>3</v>
      </c>
      <c r="M122" s="9">
        <v>93</v>
      </c>
      <c r="N122" s="9">
        <v>93</v>
      </c>
      <c r="O122" s="9">
        <v>31</v>
      </c>
      <c r="P122" s="9">
        <v>112.306122041002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9">
        <v>112.29735504100999</v>
      </c>
      <c r="AC122" s="9">
        <v>112.306122041002</v>
      </c>
      <c r="AD122" s="9">
        <v>112.791282875012</v>
      </c>
      <c r="AE122" s="9">
        <v>112.791282875012</v>
      </c>
      <c r="AF122" s="9">
        <v>112.791282875012</v>
      </c>
      <c r="AG122" s="9">
        <v>113.29293333301</v>
      </c>
      <c r="AH122" s="10" t="s">
        <v>63</v>
      </c>
      <c r="AI122" s="9">
        <v>1</v>
      </c>
      <c r="AJ122" s="9">
        <v>0.49967583300895102</v>
      </c>
      <c r="AK122" s="10" t="s">
        <v>51</v>
      </c>
      <c r="AL122" s="8"/>
      <c r="AM122" s="8"/>
      <c r="AN122" s="8"/>
      <c r="AO122" s="9">
        <v>1</v>
      </c>
      <c r="AP122" s="9">
        <v>1</v>
      </c>
      <c r="AQ122" s="10" t="s">
        <v>96</v>
      </c>
      <c r="AR122" s="10" t="s">
        <v>53</v>
      </c>
      <c r="AS122" s="8"/>
      <c r="AT122" s="10" t="s">
        <v>54</v>
      </c>
      <c r="AU122" s="10" t="s">
        <v>51</v>
      </c>
      <c r="AV122" s="10" t="s">
        <v>97</v>
      </c>
      <c r="AW122" s="8"/>
    </row>
    <row r="123" spans="1:49" x14ac:dyDescent="0.15">
      <c r="A123" s="11" t="s">
        <v>65</v>
      </c>
      <c r="B123" s="12" t="s">
        <v>57</v>
      </c>
      <c r="C123" s="10" t="s">
        <v>58</v>
      </c>
      <c r="D123" s="10" t="s">
        <v>59</v>
      </c>
      <c r="E123" s="9">
        <v>97</v>
      </c>
      <c r="F123" s="9">
        <v>97</v>
      </c>
      <c r="G123" s="9">
        <v>2</v>
      </c>
      <c r="H123" s="10" t="s">
        <v>59</v>
      </c>
      <c r="I123" s="9">
        <v>1</v>
      </c>
      <c r="J123" s="9">
        <v>0.41767712500586601</v>
      </c>
      <c r="K123" s="10" t="s">
        <v>51</v>
      </c>
      <c r="L123" s="9">
        <v>2</v>
      </c>
      <c r="M123" s="9">
        <v>97</v>
      </c>
      <c r="N123" s="9">
        <v>97</v>
      </c>
      <c r="O123" s="9">
        <v>30</v>
      </c>
      <c r="P123" s="9">
        <v>116.154412291013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9">
        <v>116.145452750003</v>
      </c>
      <c r="AC123" s="9">
        <v>116.154412291013</v>
      </c>
      <c r="AD123" s="9">
        <v>116.634253875003</v>
      </c>
      <c r="AE123" s="9">
        <v>116.634253875003</v>
      </c>
      <c r="AF123" s="9">
        <v>116.634253875003</v>
      </c>
      <c r="AG123" s="9">
        <v>117.060016291012</v>
      </c>
      <c r="AH123" s="10" t="s">
        <v>59</v>
      </c>
      <c r="AI123" s="9">
        <v>1</v>
      </c>
      <c r="AJ123" s="9">
        <v>0.41767712500586601</v>
      </c>
      <c r="AK123" s="10" t="s">
        <v>51</v>
      </c>
      <c r="AL123" s="8"/>
      <c r="AM123" s="8"/>
      <c r="AN123" s="8"/>
      <c r="AO123" s="9">
        <v>1</v>
      </c>
      <c r="AP123" s="9">
        <v>1</v>
      </c>
      <c r="AQ123" s="10" t="s">
        <v>96</v>
      </c>
      <c r="AR123" s="10" t="s">
        <v>53</v>
      </c>
      <c r="AS123" s="8"/>
      <c r="AT123" s="10" t="s">
        <v>54</v>
      </c>
      <c r="AU123" s="10" t="s">
        <v>51</v>
      </c>
      <c r="AV123" s="10" t="s">
        <v>97</v>
      </c>
      <c r="AW123" s="8"/>
    </row>
    <row r="124" spans="1:49" x14ac:dyDescent="0.15">
      <c r="A124" s="11" t="s">
        <v>78</v>
      </c>
      <c r="B124" s="12" t="s">
        <v>57</v>
      </c>
      <c r="C124" s="10" t="s">
        <v>58</v>
      </c>
      <c r="D124" s="10" t="s">
        <v>59</v>
      </c>
      <c r="E124" s="9">
        <v>100</v>
      </c>
      <c r="F124" s="9">
        <v>100</v>
      </c>
      <c r="G124" s="9">
        <v>0</v>
      </c>
      <c r="H124" s="10" t="s">
        <v>59</v>
      </c>
      <c r="I124" s="9">
        <v>1</v>
      </c>
      <c r="J124" s="9">
        <v>0.34626304099219901</v>
      </c>
      <c r="K124" s="10" t="s">
        <v>51</v>
      </c>
      <c r="L124" s="9">
        <v>0</v>
      </c>
      <c r="M124" s="9">
        <v>100</v>
      </c>
      <c r="N124" s="9">
        <v>100</v>
      </c>
      <c r="O124" s="9">
        <v>26</v>
      </c>
      <c r="P124" s="9">
        <v>119.045766458003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9">
        <v>119.03671041601</v>
      </c>
      <c r="AC124" s="9">
        <v>119.045766458003</v>
      </c>
      <c r="AD124" s="9">
        <v>119.53378837500399</v>
      </c>
      <c r="AE124" s="9">
        <v>119.53378837500399</v>
      </c>
      <c r="AF124" s="9">
        <v>119.53378837500399</v>
      </c>
      <c r="AG124" s="9">
        <v>119.882447708005</v>
      </c>
      <c r="AH124" s="10" t="s">
        <v>59</v>
      </c>
      <c r="AI124" s="9">
        <v>1</v>
      </c>
      <c r="AJ124" s="9">
        <v>0.34626304099219901</v>
      </c>
      <c r="AK124" s="10" t="s">
        <v>51</v>
      </c>
      <c r="AL124" s="8"/>
      <c r="AM124" s="8"/>
      <c r="AN124" s="8"/>
      <c r="AO124" s="9">
        <v>1</v>
      </c>
      <c r="AP124" s="9">
        <v>1</v>
      </c>
      <c r="AQ124" s="10" t="s">
        <v>96</v>
      </c>
      <c r="AR124" s="10" t="s">
        <v>53</v>
      </c>
      <c r="AS124" s="8"/>
      <c r="AT124" s="10" t="s">
        <v>54</v>
      </c>
      <c r="AU124" s="10" t="s">
        <v>51</v>
      </c>
      <c r="AV124" s="10" t="s">
        <v>97</v>
      </c>
      <c r="AW124" s="8"/>
    </row>
    <row r="125" spans="1:49" x14ac:dyDescent="0.15">
      <c r="A125" s="11" t="s">
        <v>56</v>
      </c>
      <c r="B125" s="12" t="s">
        <v>57</v>
      </c>
      <c r="C125" s="10" t="s">
        <v>58</v>
      </c>
      <c r="D125" s="10" t="s">
        <v>59</v>
      </c>
      <c r="E125" s="9">
        <v>101</v>
      </c>
      <c r="F125" s="9">
        <v>101</v>
      </c>
      <c r="G125" s="9">
        <v>0</v>
      </c>
      <c r="H125" s="10" t="s">
        <v>59</v>
      </c>
      <c r="I125" s="9">
        <v>1</v>
      </c>
      <c r="J125" s="9">
        <v>0.34423616700223603</v>
      </c>
      <c r="K125" s="10" t="s">
        <v>51</v>
      </c>
      <c r="L125" s="9">
        <v>0</v>
      </c>
      <c r="M125" s="9">
        <v>101</v>
      </c>
      <c r="N125" s="9">
        <v>101</v>
      </c>
      <c r="O125" s="9">
        <v>16</v>
      </c>
      <c r="P125" s="9">
        <v>119.89669004100099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9">
        <v>119.887361875008</v>
      </c>
      <c r="AC125" s="9">
        <v>119.89669004100099</v>
      </c>
      <c r="AD125" s="9">
        <v>120.383740958001</v>
      </c>
      <c r="AE125" s="9">
        <v>120.383740958001</v>
      </c>
      <c r="AF125" s="9">
        <v>120.383740958001</v>
      </c>
      <c r="AG125" s="9">
        <v>120.73257841600601</v>
      </c>
      <c r="AH125" s="10" t="s">
        <v>59</v>
      </c>
      <c r="AI125" s="9">
        <v>1</v>
      </c>
      <c r="AJ125" s="9">
        <v>0.34423616700223603</v>
      </c>
      <c r="AK125" s="10" t="s">
        <v>51</v>
      </c>
      <c r="AL125" s="8"/>
      <c r="AM125" s="8"/>
      <c r="AN125" s="8"/>
      <c r="AO125" s="9">
        <v>1</v>
      </c>
      <c r="AP125" s="9">
        <v>1</v>
      </c>
      <c r="AQ125" s="10" t="s">
        <v>96</v>
      </c>
      <c r="AR125" s="10" t="s">
        <v>53</v>
      </c>
      <c r="AS125" s="8"/>
      <c r="AT125" s="10" t="s">
        <v>54</v>
      </c>
      <c r="AU125" s="10" t="s">
        <v>51</v>
      </c>
      <c r="AV125" s="10" t="s">
        <v>97</v>
      </c>
      <c r="AW125" s="8"/>
    </row>
    <row r="126" spans="1:49" x14ac:dyDescent="0.15">
      <c r="A126" s="11" t="s">
        <v>72</v>
      </c>
      <c r="B126" s="12" t="s">
        <v>57</v>
      </c>
      <c r="C126" s="10" t="s">
        <v>62</v>
      </c>
      <c r="D126" s="10" t="s">
        <v>63</v>
      </c>
      <c r="E126" s="9">
        <v>112</v>
      </c>
      <c r="F126" s="9">
        <v>112</v>
      </c>
      <c r="G126" s="9">
        <v>2</v>
      </c>
      <c r="H126" s="10" t="s">
        <v>63</v>
      </c>
      <c r="I126" s="9">
        <v>1</v>
      </c>
      <c r="J126" s="9">
        <v>0.57927500001096599</v>
      </c>
      <c r="K126" s="10" t="s">
        <v>51</v>
      </c>
      <c r="L126" s="9">
        <v>2</v>
      </c>
      <c r="M126" s="9">
        <v>112</v>
      </c>
      <c r="N126" s="9">
        <v>112</v>
      </c>
      <c r="O126" s="9">
        <v>25</v>
      </c>
      <c r="P126" s="9">
        <v>130.474397500002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9">
        <v>130.46534679101001</v>
      </c>
      <c r="AC126" s="9">
        <v>130.474397500002</v>
      </c>
      <c r="AD126" s="9">
        <v>130.958043000006</v>
      </c>
      <c r="AE126" s="9">
        <v>130.958043000006</v>
      </c>
      <c r="AF126" s="9">
        <v>130.958043000006</v>
      </c>
      <c r="AG126" s="9">
        <v>131.54400204100199</v>
      </c>
      <c r="AH126" s="10" t="s">
        <v>63</v>
      </c>
      <c r="AI126" s="9">
        <v>1</v>
      </c>
      <c r="AJ126" s="9">
        <v>0.57927500001096599</v>
      </c>
      <c r="AK126" s="10" t="s">
        <v>51</v>
      </c>
      <c r="AL126" s="8"/>
      <c r="AM126" s="8"/>
      <c r="AN126" s="8"/>
      <c r="AO126" s="9">
        <v>1</v>
      </c>
      <c r="AP126" s="9">
        <v>1</v>
      </c>
      <c r="AQ126" s="10" t="s">
        <v>96</v>
      </c>
      <c r="AR126" s="10" t="s">
        <v>53</v>
      </c>
      <c r="AS126" s="8"/>
      <c r="AT126" s="10" t="s">
        <v>54</v>
      </c>
      <c r="AU126" s="10" t="s">
        <v>51</v>
      </c>
      <c r="AV126" s="10" t="s">
        <v>97</v>
      </c>
      <c r="AW126" s="8"/>
    </row>
    <row r="127" spans="1:49" x14ac:dyDescent="0.15">
      <c r="A127" s="11" t="s">
        <v>65</v>
      </c>
      <c r="B127" s="12" t="s">
        <v>57</v>
      </c>
      <c r="C127" s="10" t="s">
        <v>58</v>
      </c>
      <c r="D127" s="10" t="s">
        <v>59</v>
      </c>
      <c r="E127" s="9">
        <v>123</v>
      </c>
      <c r="F127" s="9">
        <v>123</v>
      </c>
      <c r="G127" s="9">
        <v>3</v>
      </c>
      <c r="H127" s="10" t="s">
        <v>59</v>
      </c>
      <c r="I127" s="9">
        <v>1</v>
      </c>
      <c r="J127" s="9">
        <v>0.97705783299170401</v>
      </c>
      <c r="K127" s="10" t="s">
        <v>51</v>
      </c>
      <c r="L127" s="9">
        <v>3</v>
      </c>
      <c r="M127" s="9">
        <v>123</v>
      </c>
      <c r="N127" s="9">
        <v>123</v>
      </c>
      <c r="O127" s="9">
        <v>30</v>
      </c>
      <c r="P127" s="9">
        <v>141.27392025000901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9">
        <v>141.264975750004</v>
      </c>
      <c r="AC127" s="9">
        <v>141.27392025000901</v>
      </c>
      <c r="AD127" s="9">
        <v>141.75845720800899</v>
      </c>
      <c r="AE127" s="9">
        <v>141.75845720800899</v>
      </c>
      <c r="AF127" s="9">
        <v>141.75845720800899</v>
      </c>
      <c r="AG127" s="9">
        <v>142.74411366600501</v>
      </c>
      <c r="AH127" s="10" t="s">
        <v>59</v>
      </c>
      <c r="AI127" s="9">
        <v>1</v>
      </c>
      <c r="AJ127" s="9">
        <v>0.97705783299170401</v>
      </c>
      <c r="AK127" s="10" t="s">
        <v>51</v>
      </c>
      <c r="AL127" s="8"/>
      <c r="AM127" s="8"/>
      <c r="AN127" s="8"/>
      <c r="AO127" s="9">
        <v>1</v>
      </c>
      <c r="AP127" s="9">
        <v>1</v>
      </c>
      <c r="AQ127" s="10" t="s">
        <v>96</v>
      </c>
      <c r="AR127" s="10" t="s">
        <v>53</v>
      </c>
      <c r="AS127" s="8"/>
      <c r="AT127" s="10" t="s">
        <v>54</v>
      </c>
      <c r="AU127" s="10" t="s">
        <v>51</v>
      </c>
      <c r="AV127" s="10" t="s">
        <v>97</v>
      </c>
      <c r="AW127" s="8"/>
    </row>
    <row r="128" spans="1:49" x14ac:dyDescent="0.15">
      <c r="A128" s="11" t="s">
        <v>71</v>
      </c>
      <c r="B128" s="12" t="s">
        <v>57</v>
      </c>
      <c r="C128" s="10" t="s">
        <v>58</v>
      </c>
      <c r="D128" s="10" t="s">
        <v>59</v>
      </c>
      <c r="E128" s="9">
        <v>124</v>
      </c>
      <c r="F128" s="9">
        <v>124</v>
      </c>
      <c r="G128" s="9">
        <v>2</v>
      </c>
      <c r="H128" s="10" t="s">
        <v>59</v>
      </c>
      <c r="I128" s="9">
        <v>1</v>
      </c>
      <c r="J128" s="9">
        <v>0.335363250007504</v>
      </c>
      <c r="K128" s="10" t="s">
        <v>51</v>
      </c>
      <c r="L128" s="9">
        <v>2</v>
      </c>
      <c r="M128" s="9">
        <v>124</v>
      </c>
      <c r="N128" s="9">
        <v>124</v>
      </c>
      <c r="O128" s="9">
        <v>28</v>
      </c>
      <c r="P128" s="9">
        <v>142.758723333012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9">
        <v>142.74943162500901</v>
      </c>
      <c r="AC128" s="9">
        <v>142.758723333012</v>
      </c>
      <c r="AD128" s="9">
        <v>143.242017416007</v>
      </c>
      <c r="AE128" s="9">
        <v>143.242017416007</v>
      </c>
      <c r="AF128" s="9">
        <v>143.242017416007</v>
      </c>
      <c r="AG128" s="9">
        <v>143.58341112500099</v>
      </c>
      <c r="AH128" s="10" t="s">
        <v>59</v>
      </c>
      <c r="AI128" s="9">
        <v>1</v>
      </c>
      <c r="AJ128" s="9">
        <v>0.335363250007504</v>
      </c>
      <c r="AK128" s="10" t="s">
        <v>51</v>
      </c>
      <c r="AL128" s="8"/>
      <c r="AM128" s="8"/>
      <c r="AN128" s="8"/>
      <c r="AO128" s="9">
        <v>1</v>
      </c>
      <c r="AP128" s="9">
        <v>1</v>
      </c>
      <c r="AQ128" s="10" t="s">
        <v>96</v>
      </c>
      <c r="AR128" s="10" t="s">
        <v>53</v>
      </c>
      <c r="AS128" s="8"/>
      <c r="AT128" s="10" t="s">
        <v>54</v>
      </c>
      <c r="AU128" s="10" t="s">
        <v>51</v>
      </c>
      <c r="AV128" s="10" t="s">
        <v>97</v>
      </c>
      <c r="AW128" s="8"/>
    </row>
    <row r="129" spans="1:49" x14ac:dyDescent="0.15">
      <c r="A129" s="11" t="s">
        <v>72</v>
      </c>
      <c r="B129" s="12" t="s">
        <v>57</v>
      </c>
      <c r="C129" s="10" t="s">
        <v>62</v>
      </c>
      <c r="D129" s="10" t="s">
        <v>63</v>
      </c>
      <c r="E129" s="9">
        <v>127</v>
      </c>
      <c r="F129" s="9">
        <v>127</v>
      </c>
      <c r="G129" s="9">
        <v>3</v>
      </c>
      <c r="H129" s="10" t="s">
        <v>63</v>
      </c>
      <c r="I129" s="9">
        <v>1</v>
      </c>
      <c r="J129" s="9">
        <v>0.30472945800283902</v>
      </c>
      <c r="K129" s="10" t="s">
        <v>51</v>
      </c>
      <c r="L129" s="9">
        <v>3</v>
      </c>
      <c r="M129" s="9">
        <v>127</v>
      </c>
      <c r="N129" s="9">
        <v>127</v>
      </c>
      <c r="O129" s="9">
        <v>25</v>
      </c>
      <c r="P129" s="9">
        <v>145.52530616600399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9">
        <v>145.51612595800501</v>
      </c>
      <c r="AC129" s="9">
        <v>145.52530616600399</v>
      </c>
      <c r="AD129" s="9">
        <v>146.008790958003</v>
      </c>
      <c r="AE129" s="9">
        <v>146.008790958003</v>
      </c>
      <c r="AF129" s="9">
        <v>146.008790958003</v>
      </c>
      <c r="AG129" s="9">
        <v>146.31655970800799</v>
      </c>
      <c r="AH129" s="10" t="s">
        <v>63</v>
      </c>
      <c r="AI129" s="9">
        <v>1</v>
      </c>
      <c r="AJ129" s="9">
        <v>0.30472945800283902</v>
      </c>
      <c r="AK129" s="10" t="s">
        <v>51</v>
      </c>
      <c r="AL129" s="8"/>
      <c r="AM129" s="8"/>
      <c r="AN129" s="8"/>
      <c r="AO129" s="9">
        <v>1</v>
      </c>
      <c r="AP129" s="9">
        <v>1</v>
      </c>
      <c r="AQ129" s="10" t="s">
        <v>96</v>
      </c>
      <c r="AR129" s="10" t="s">
        <v>53</v>
      </c>
      <c r="AS129" s="8"/>
      <c r="AT129" s="10" t="s">
        <v>54</v>
      </c>
      <c r="AU129" s="10" t="s">
        <v>51</v>
      </c>
      <c r="AV129" s="10" t="s">
        <v>97</v>
      </c>
      <c r="AW129" s="8"/>
    </row>
    <row r="130" spans="1:49" x14ac:dyDescent="0.15">
      <c r="A130" s="11" t="s">
        <v>56</v>
      </c>
      <c r="B130" s="12" t="s">
        <v>57</v>
      </c>
      <c r="C130" s="10" t="s">
        <v>58</v>
      </c>
      <c r="D130" s="10" t="s">
        <v>59</v>
      </c>
      <c r="E130" s="9">
        <v>133</v>
      </c>
      <c r="F130" s="9">
        <v>133</v>
      </c>
      <c r="G130" s="9">
        <v>1</v>
      </c>
      <c r="H130" s="10" t="s">
        <v>59</v>
      </c>
      <c r="I130" s="9">
        <v>1</v>
      </c>
      <c r="J130" s="9">
        <v>0.54429424898989998</v>
      </c>
      <c r="K130" s="10" t="s">
        <v>51</v>
      </c>
      <c r="L130" s="9">
        <v>1</v>
      </c>
      <c r="M130" s="9">
        <v>133</v>
      </c>
      <c r="N130" s="9">
        <v>133</v>
      </c>
      <c r="O130" s="9">
        <v>16</v>
      </c>
      <c r="P130" s="9">
        <v>150.80819233300301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9">
        <v>150.79887362501199</v>
      </c>
      <c r="AC130" s="9">
        <v>150.80819233300301</v>
      </c>
      <c r="AD130" s="9">
        <v>151.29237395800001</v>
      </c>
      <c r="AE130" s="9">
        <v>151.29237395800001</v>
      </c>
      <c r="AF130" s="9">
        <v>151.29237395800001</v>
      </c>
      <c r="AG130" s="9">
        <v>151.84435041601</v>
      </c>
      <c r="AH130" s="10" t="s">
        <v>59</v>
      </c>
      <c r="AI130" s="9">
        <v>1</v>
      </c>
      <c r="AJ130" s="9">
        <v>0.54429424898989998</v>
      </c>
      <c r="AK130" s="10" t="s">
        <v>51</v>
      </c>
      <c r="AL130" s="8"/>
      <c r="AM130" s="8"/>
      <c r="AN130" s="8"/>
      <c r="AO130" s="9">
        <v>1</v>
      </c>
      <c r="AP130" s="9">
        <v>1</v>
      </c>
      <c r="AQ130" s="10" t="s">
        <v>96</v>
      </c>
      <c r="AR130" s="10" t="s">
        <v>53</v>
      </c>
      <c r="AS130" s="8"/>
      <c r="AT130" s="10" t="s">
        <v>54</v>
      </c>
      <c r="AU130" s="10" t="s">
        <v>51</v>
      </c>
      <c r="AV130" s="10" t="s">
        <v>97</v>
      </c>
      <c r="AW130" s="8"/>
    </row>
    <row r="131" spans="1:49" x14ac:dyDescent="0.15">
      <c r="A131" s="11" t="s">
        <v>75</v>
      </c>
      <c r="B131" s="12" t="s">
        <v>57</v>
      </c>
      <c r="C131" s="10" t="s">
        <v>62</v>
      </c>
      <c r="D131" s="10" t="s">
        <v>63</v>
      </c>
      <c r="E131" s="9">
        <v>139</v>
      </c>
      <c r="F131" s="9">
        <v>139</v>
      </c>
      <c r="G131" s="9">
        <v>2</v>
      </c>
      <c r="H131" s="10" t="s">
        <v>63</v>
      </c>
      <c r="I131" s="9">
        <v>1</v>
      </c>
      <c r="J131" s="9">
        <v>0.40591808300814602</v>
      </c>
      <c r="K131" s="10" t="s">
        <v>51</v>
      </c>
      <c r="L131" s="9">
        <v>2</v>
      </c>
      <c r="M131" s="9">
        <v>139</v>
      </c>
      <c r="N131" s="9">
        <v>139</v>
      </c>
      <c r="O131" s="9">
        <v>19</v>
      </c>
      <c r="P131" s="9">
        <v>156.591473125009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9">
        <v>156.58213575001</v>
      </c>
      <c r="AC131" s="9">
        <v>156.591473125009</v>
      </c>
      <c r="AD131" s="9">
        <v>157.07578591600799</v>
      </c>
      <c r="AE131" s="9">
        <v>157.07578591600799</v>
      </c>
      <c r="AF131" s="9">
        <v>157.07578591600799</v>
      </c>
      <c r="AG131" s="9">
        <v>157.484321583004</v>
      </c>
      <c r="AH131" s="10" t="s">
        <v>63</v>
      </c>
      <c r="AI131" s="9">
        <v>1</v>
      </c>
      <c r="AJ131" s="9">
        <v>0.40591808300814602</v>
      </c>
      <c r="AK131" s="10" t="s">
        <v>51</v>
      </c>
      <c r="AL131" s="8"/>
      <c r="AM131" s="8"/>
      <c r="AN131" s="8"/>
      <c r="AO131" s="9">
        <v>1</v>
      </c>
      <c r="AP131" s="9">
        <v>1</v>
      </c>
      <c r="AQ131" s="10" t="s">
        <v>96</v>
      </c>
      <c r="AR131" s="10" t="s">
        <v>53</v>
      </c>
      <c r="AS131" s="8"/>
      <c r="AT131" s="10" t="s">
        <v>54</v>
      </c>
      <c r="AU131" s="10" t="s">
        <v>51</v>
      </c>
      <c r="AV131" s="10" t="s">
        <v>97</v>
      </c>
      <c r="AW131" s="8"/>
    </row>
    <row r="132" spans="1:49" x14ac:dyDescent="0.15">
      <c r="A132" s="11" t="s">
        <v>68</v>
      </c>
      <c r="B132" s="12" t="s">
        <v>57</v>
      </c>
      <c r="C132" s="10" t="s">
        <v>58</v>
      </c>
      <c r="D132" s="10" t="s">
        <v>59</v>
      </c>
      <c r="E132" s="9">
        <v>145</v>
      </c>
      <c r="F132" s="9">
        <v>145</v>
      </c>
      <c r="G132" s="9">
        <v>4</v>
      </c>
      <c r="H132" s="10" t="s">
        <v>59</v>
      </c>
      <c r="I132" s="9">
        <v>1</v>
      </c>
      <c r="J132" s="9">
        <v>0.50783145800232898</v>
      </c>
      <c r="K132" s="10" t="s">
        <v>51</v>
      </c>
      <c r="L132" s="9">
        <v>4</v>
      </c>
      <c r="M132" s="9">
        <v>145</v>
      </c>
      <c r="N132" s="9">
        <v>145</v>
      </c>
      <c r="O132" s="9">
        <v>22</v>
      </c>
      <c r="P132" s="9">
        <v>162.31464012501201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9">
        <v>162.305611583011</v>
      </c>
      <c r="AC132" s="9">
        <v>162.31464012501201</v>
      </c>
      <c r="AD132" s="9">
        <v>162.801984291</v>
      </c>
      <c r="AE132" s="9">
        <v>162.801984291</v>
      </c>
      <c r="AF132" s="9">
        <v>162.801984291</v>
      </c>
      <c r="AG132" s="9">
        <v>163.31790291600899</v>
      </c>
      <c r="AH132" s="10" t="s">
        <v>59</v>
      </c>
      <c r="AI132" s="9">
        <v>1</v>
      </c>
      <c r="AJ132" s="9">
        <v>0.50783145800232898</v>
      </c>
      <c r="AK132" s="10" t="s">
        <v>51</v>
      </c>
      <c r="AL132" s="8"/>
      <c r="AM132" s="8"/>
      <c r="AN132" s="8"/>
      <c r="AO132" s="9">
        <v>1</v>
      </c>
      <c r="AP132" s="9">
        <v>1</v>
      </c>
      <c r="AQ132" s="10" t="s">
        <v>96</v>
      </c>
      <c r="AR132" s="10" t="s">
        <v>53</v>
      </c>
      <c r="AS132" s="8"/>
      <c r="AT132" s="10" t="s">
        <v>54</v>
      </c>
      <c r="AU132" s="10" t="s">
        <v>51</v>
      </c>
      <c r="AV132" s="10" t="s">
        <v>97</v>
      </c>
      <c r="AW132" s="8"/>
    </row>
    <row r="133" spans="1:49" x14ac:dyDescent="0.15">
      <c r="A133" s="11" t="s">
        <v>68</v>
      </c>
      <c r="B133" s="12" t="s">
        <v>57</v>
      </c>
      <c r="C133" s="10" t="s">
        <v>62</v>
      </c>
      <c r="D133" s="10" t="s">
        <v>63</v>
      </c>
      <c r="E133" s="9">
        <v>146</v>
      </c>
      <c r="F133" s="9">
        <v>146</v>
      </c>
      <c r="G133" s="9">
        <v>4</v>
      </c>
      <c r="H133" s="10" t="s">
        <v>63</v>
      </c>
      <c r="I133" s="9">
        <v>1</v>
      </c>
      <c r="J133" s="9">
        <v>0.52732491599454101</v>
      </c>
      <c r="K133" s="10" t="s">
        <v>51</v>
      </c>
      <c r="L133" s="9">
        <v>4</v>
      </c>
      <c r="M133" s="9">
        <v>146</v>
      </c>
      <c r="N133" s="9">
        <v>146</v>
      </c>
      <c r="O133" s="9">
        <v>23</v>
      </c>
      <c r="P133" s="9">
        <v>163.34336187501299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9">
        <v>163.31922866600499</v>
      </c>
      <c r="AC133" s="9">
        <v>163.34336187501299</v>
      </c>
      <c r="AD133" s="9">
        <v>163.81836525000099</v>
      </c>
      <c r="AE133" s="9">
        <v>163.81836525000099</v>
      </c>
      <c r="AF133" s="9">
        <v>163.81836525000099</v>
      </c>
      <c r="AG133" s="9">
        <v>164.35044308300701</v>
      </c>
      <c r="AH133" s="10" t="s">
        <v>63</v>
      </c>
      <c r="AI133" s="9">
        <v>1</v>
      </c>
      <c r="AJ133" s="9">
        <v>0.52732491599454101</v>
      </c>
      <c r="AK133" s="10" t="s">
        <v>51</v>
      </c>
      <c r="AL133" s="8"/>
      <c r="AM133" s="8"/>
      <c r="AN133" s="8"/>
      <c r="AO133" s="9">
        <v>1</v>
      </c>
      <c r="AP133" s="9">
        <v>1</v>
      </c>
      <c r="AQ133" s="10" t="s">
        <v>96</v>
      </c>
      <c r="AR133" s="10" t="s">
        <v>53</v>
      </c>
      <c r="AS133" s="8"/>
      <c r="AT133" s="10" t="s">
        <v>54</v>
      </c>
      <c r="AU133" s="10" t="s">
        <v>51</v>
      </c>
      <c r="AV133" s="10" t="s">
        <v>97</v>
      </c>
      <c r="AW133" s="8"/>
    </row>
    <row r="134" spans="1:49" x14ac:dyDescent="0.15">
      <c r="A134" s="11" t="s">
        <v>71</v>
      </c>
      <c r="B134" s="12" t="s">
        <v>57</v>
      </c>
      <c r="C134" s="10" t="s">
        <v>62</v>
      </c>
      <c r="D134" s="10" t="s">
        <v>63</v>
      </c>
      <c r="E134" s="9">
        <v>149</v>
      </c>
      <c r="F134" s="9">
        <v>149</v>
      </c>
      <c r="G134" s="9">
        <v>2</v>
      </c>
      <c r="H134" s="10" t="s">
        <v>63</v>
      </c>
      <c r="I134" s="9">
        <v>1</v>
      </c>
      <c r="J134" s="9">
        <v>0.470649833005155</v>
      </c>
      <c r="K134" s="10" t="s">
        <v>51</v>
      </c>
      <c r="L134" s="9">
        <v>2</v>
      </c>
      <c r="M134" s="9">
        <v>149</v>
      </c>
      <c r="N134" s="9">
        <v>149</v>
      </c>
      <c r="O134" s="9">
        <v>29</v>
      </c>
      <c r="P134" s="9">
        <v>166.49287495799899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9">
        <v>166.48392104101401</v>
      </c>
      <c r="AC134" s="9">
        <v>166.49287495799899</v>
      </c>
      <c r="AD134" s="9">
        <v>166.97616662501201</v>
      </c>
      <c r="AE134" s="9">
        <v>166.97616662501201</v>
      </c>
      <c r="AF134" s="9">
        <v>166.97616662501201</v>
      </c>
      <c r="AG134" s="9">
        <v>167.45070087500801</v>
      </c>
      <c r="AH134" s="10" t="s">
        <v>63</v>
      </c>
      <c r="AI134" s="9">
        <v>1</v>
      </c>
      <c r="AJ134" s="9">
        <v>0.470649833005155</v>
      </c>
      <c r="AK134" s="10" t="s">
        <v>51</v>
      </c>
      <c r="AL134" s="8"/>
      <c r="AM134" s="8"/>
      <c r="AN134" s="8"/>
      <c r="AO134" s="9">
        <v>1</v>
      </c>
      <c r="AP134" s="9">
        <v>1</v>
      </c>
      <c r="AQ134" s="10" t="s">
        <v>96</v>
      </c>
      <c r="AR134" s="10" t="s">
        <v>53</v>
      </c>
      <c r="AS134" s="8"/>
      <c r="AT134" s="10" t="s">
        <v>54</v>
      </c>
      <c r="AU134" s="10" t="s">
        <v>51</v>
      </c>
      <c r="AV134" s="10" t="s">
        <v>97</v>
      </c>
      <c r="AW134" s="8"/>
    </row>
    <row r="135" spans="1:49" x14ac:dyDescent="0.15">
      <c r="A135" s="11" t="s">
        <v>84</v>
      </c>
      <c r="B135" s="12" t="s">
        <v>57</v>
      </c>
      <c r="C135" s="10" t="s">
        <v>62</v>
      </c>
      <c r="D135" s="10" t="s">
        <v>63</v>
      </c>
      <c r="E135" s="9">
        <v>153</v>
      </c>
      <c r="F135" s="9">
        <v>153</v>
      </c>
      <c r="G135" s="9">
        <v>3</v>
      </c>
      <c r="H135" s="10" t="s">
        <v>63</v>
      </c>
      <c r="I135" s="9">
        <v>1</v>
      </c>
      <c r="J135" s="9">
        <v>0.37430591600423202</v>
      </c>
      <c r="K135" s="10" t="s">
        <v>51</v>
      </c>
      <c r="L135" s="9">
        <v>3</v>
      </c>
      <c r="M135" s="9">
        <v>153</v>
      </c>
      <c r="N135" s="9">
        <v>153</v>
      </c>
      <c r="O135" s="9">
        <v>21</v>
      </c>
      <c r="P135" s="9">
        <v>170.21564641600699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9">
        <v>170.20610583300001</v>
      </c>
      <c r="AC135" s="9">
        <v>170.21564641600699</v>
      </c>
      <c r="AD135" s="9">
        <v>170.702585083011</v>
      </c>
      <c r="AE135" s="9">
        <v>170.702585083011</v>
      </c>
      <c r="AF135" s="9">
        <v>170.702585083011</v>
      </c>
      <c r="AG135" s="9">
        <v>171.08445129101199</v>
      </c>
      <c r="AH135" s="10" t="s">
        <v>63</v>
      </c>
      <c r="AI135" s="9">
        <v>1</v>
      </c>
      <c r="AJ135" s="9">
        <v>0.37430591600423202</v>
      </c>
      <c r="AK135" s="10" t="s">
        <v>51</v>
      </c>
      <c r="AL135" s="8"/>
      <c r="AM135" s="8"/>
      <c r="AN135" s="8"/>
      <c r="AO135" s="9">
        <v>1</v>
      </c>
      <c r="AP135" s="9">
        <v>1</v>
      </c>
      <c r="AQ135" s="10" t="s">
        <v>96</v>
      </c>
      <c r="AR135" s="10" t="s">
        <v>53</v>
      </c>
      <c r="AS135" s="8"/>
      <c r="AT135" s="10" t="s">
        <v>54</v>
      </c>
      <c r="AU135" s="10" t="s">
        <v>51</v>
      </c>
      <c r="AV135" s="10" t="s">
        <v>97</v>
      </c>
      <c r="AW135" s="8"/>
    </row>
    <row r="136" spans="1:49" x14ac:dyDescent="0.15">
      <c r="A136" s="11" t="s">
        <v>72</v>
      </c>
      <c r="B136" s="12" t="s">
        <v>57</v>
      </c>
      <c r="C136" s="10" t="s">
        <v>62</v>
      </c>
      <c r="D136" s="10" t="s">
        <v>63</v>
      </c>
      <c r="E136" s="9">
        <v>154</v>
      </c>
      <c r="F136" s="9">
        <v>154</v>
      </c>
      <c r="G136" s="9">
        <v>4</v>
      </c>
      <c r="H136" s="10" t="s">
        <v>63</v>
      </c>
      <c r="I136" s="9">
        <v>1</v>
      </c>
      <c r="J136" s="9">
        <v>0.33925887499935897</v>
      </c>
      <c r="K136" s="10" t="s">
        <v>51</v>
      </c>
      <c r="L136" s="9">
        <v>4</v>
      </c>
      <c r="M136" s="9">
        <v>154</v>
      </c>
      <c r="N136" s="9">
        <v>154</v>
      </c>
      <c r="O136" s="9">
        <v>25</v>
      </c>
      <c r="P136" s="9">
        <v>171.098868666013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9">
        <v>171.089587458002</v>
      </c>
      <c r="AC136" s="9">
        <v>171.098868666013</v>
      </c>
      <c r="AD136" s="9">
        <v>171.58585116600401</v>
      </c>
      <c r="AE136" s="9">
        <v>171.58585116600401</v>
      </c>
      <c r="AF136" s="9">
        <v>171.58585116600401</v>
      </c>
      <c r="AG136" s="9">
        <v>171.92866554101099</v>
      </c>
      <c r="AH136" s="10" t="s">
        <v>63</v>
      </c>
      <c r="AI136" s="9">
        <v>1</v>
      </c>
      <c r="AJ136" s="9">
        <v>0.33925887499935897</v>
      </c>
      <c r="AK136" s="10" t="s">
        <v>51</v>
      </c>
      <c r="AL136" s="8"/>
      <c r="AM136" s="8"/>
      <c r="AN136" s="8"/>
      <c r="AO136" s="9">
        <v>1</v>
      </c>
      <c r="AP136" s="9">
        <v>1</v>
      </c>
      <c r="AQ136" s="10" t="s">
        <v>96</v>
      </c>
      <c r="AR136" s="10" t="s">
        <v>53</v>
      </c>
      <c r="AS136" s="8"/>
      <c r="AT136" s="10" t="s">
        <v>54</v>
      </c>
      <c r="AU136" s="10" t="s">
        <v>51</v>
      </c>
      <c r="AV136" s="10" t="s">
        <v>97</v>
      </c>
      <c r="AW136" s="8"/>
    </row>
    <row r="137" spans="1:49" x14ac:dyDescent="0.15">
      <c r="A137" s="11" t="s">
        <v>84</v>
      </c>
      <c r="B137" s="12" t="s">
        <v>57</v>
      </c>
      <c r="C137" s="10" t="s">
        <v>58</v>
      </c>
      <c r="D137" s="10" t="s">
        <v>59</v>
      </c>
      <c r="E137" s="9">
        <v>156</v>
      </c>
      <c r="F137" s="9">
        <v>156</v>
      </c>
      <c r="G137" s="9">
        <v>2</v>
      </c>
      <c r="H137" s="10" t="s">
        <v>59</v>
      </c>
      <c r="I137" s="9">
        <v>1</v>
      </c>
      <c r="J137" s="9">
        <v>0.322392292000586</v>
      </c>
      <c r="K137" s="10" t="s">
        <v>51</v>
      </c>
      <c r="L137" s="9">
        <v>2</v>
      </c>
      <c r="M137" s="9">
        <v>156</v>
      </c>
      <c r="N137" s="9">
        <v>156</v>
      </c>
      <c r="O137" s="9">
        <v>20</v>
      </c>
      <c r="P137" s="9">
        <v>172.92543037500599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9">
        <v>172.91627216601</v>
      </c>
      <c r="AC137" s="9">
        <v>172.92543037500599</v>
      </c>
      <c r="AD137" s="9">
        <v>173.409584708003</v>
      </c>
      <c r="AE137" s="9">
        <v>173.409584708003</v>
      </c>
      <c r="AF137" s="9">
        <v>173.409584708003</v>
      </c>
      <c r="AG137" s="9">
        <v>173.73441654100299</v>
      </c>
      <c r="AH137" s="10" t="s">
        <v>59</v>
      </c>
      <c r="AI137" s="9">
        <v>1</v>
      </c>
      <c r="AJ137" s="9">
        <v>0.322392292000586</v>
      </c>
      <c r="AK137" s="10" t="s">
        <v>51</v>
      </c>
      <c r="AL137" s="8"/>
      <c r="AM137" s="8"/>
      <c r="AN137" s="8"/>
      <c r="AO137" s="9">
        <v>1</v>
      </c>
      <c r="AP137" s="9">
        <v>1</v>
      </c>
      <c r="AQ137" s="10" t="s">
        <v>96</v>
      </c>
      <c r="AR137" s="10" t="s">
        <v>53</v>
      </c>
      <c r="AS137" s="8"/>
      <c r="AT137" s="10" t="s">
        <v>54</v>
      </c>
      <c r="AU137" s="10" t="s">
        <v>51</v>
      </c>
      <c r="AV137" s="10" t="s">
        <v>97</v>
      </c>
      <c r="AW137" s="8"/>
    </row>
    <row r="138" spans="1:49" x14ac:dyDescent="0.15">
      <c r="A138" s="11" t="s">
        <v>56</v>
      </c>
      <c r="B138" s="12" t="s">
        <v>57</v>
      </c>
      <c r="C138" s="10" t="s">
        <v>58</v>
      </c>
      <c r="D138" s="10" t="s">
        <v>59</v>
      </c>
      <c r="E138" s="9">
        <v>157</v>
      </c>
      <c r="F138" s="9">
        <v>157</v>
      </c>
      <c r="G138" s="9">
        <v>2</v>
      </c>
      <c r="H138" s="10" t="s">
        <v>59</v>
      </c>
      <c r="I138" s="9">
        <v>1</v>
      </c>
      <c r="J138" s="9">
        <v>0.315275333006866</v>
      </c>
      <c r="K138" s="10" t="s">
        <v>51</v>
      </c>
      <c r="L138" s="9">
        <v>2</v>
      </c>
      <c r="M138" s="9">
        <v>157</v>
      </c>
      <c r="N138" s="9">
        <v>157</v>
      </c>
      <c r="O138" s="9">
        <v>16</v>
      </c>
      <c r="P138" s="9">
        <v>173.748627166002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9">
        <v>173.739332375</v>
      </c>
      <c r="AC138" s="9">
        <v>173.748627166002</v>
      </c>
      <c r="AD138" s="9">
        <v>174.235618666004</v>
      </c>
      <c r="AE138" s="9">
        <v>174.235618666004</v>
      </c>
      <c r="AF138" s="9">
        <v>174.235618666004</v>
      </c>
      <c r="AG138" s="9">
        <v>174.562091583008</v>
      </c>
      <c r="AH138" s="10" t="s">
        <v>59</v>
      </c>
      <c r="AI138" s="9">
        <v>1</v>
      </c>
      <c r="AJ138" s="9">
        <v>0.315275333006866</v>
      </c>
      <c r="AK138" s="10" t="s">
        <v>51</v>
      </c>
      <c r="AL138" s="8"/>
      <c r="AM138" s="8"/>
      <c r="AN138" s="8"/>
      <c r="AO138" s="9">
        <v>1</v>
      </c>
      <c r="AP138" s="9">
        <v>1</v>
      </c>
      <c r="AQ138" s="10" t="s">
        <v>96</v>
      </c>
      <c r="AR138" s="10" t="s">
        <v>53</v>
      </c>
      <c r="AS138" s="8"/>
      <c r="AT138" s="10" t="s">
        <v>54</v>
      </c>
      <c r="AU138" s="10" t="s">
        <v>51</v>
      </c>
      <c r="AV138" s="10" t="s">
        <v>97</v>
      </c>
      <c r="AW138" s="8"/>
    </row>
    <row r="139" spans="1:49" x14ac:dyDescent="0.15">
      <c r="A139" s="11" t="s">
        <v>75</v>
      </c>
      <c r="B139" s="12" t="s">
        <v>57</v>
      </c>
      <c r="C139" s="10" t="s">
        <v>62</v>
      </c>
      <c r="D139" s="10" t="s">
        <v>63</v>
      </c>
      <c r="E139" s="9">
        <v>159</v>
      </c>
      <c r="F139" s="9">
        <v>159</v>
      </c>
      <c r="G139" s="9">
        <v>3</v>
      </c>
      <c r="H139" s="10" t="s">
        <v>63</v>
      </c>
      <c r="I139" s="9">
        <v>1</v>
      </c>
      <c r="J139" s="9">
        <v>0.57740045800164796</v>
      </c>
      <c r="K139" s="10" t="s">
        <v>51</v>
      </c>
      <c r="L139" s="9">
        <v>3</v>
      </c>
      <c r="M139" s="9">
        <v>159</v>
      </c>
      <c r="N139" s="9">
        <v>159</v>
      </c>
      <c r="O139" s="9">
        <v>19</v>
      </c>
      <c r="P139" s="9">
        <v>175.37603858301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9">
        <v>175.366917958003</v>
      </c>
      <c r="AC139" s="9">
        <v>175.37603858301</v>
      </c>
      <c r="AD139" s="9">
        <v>175.859661083014</v>
      </c>
      <c r="AE139" s="9">
        <v>175.859661083014</v>
      </c>
      <c r="AF139" s="9">
        <v>175.859661083014</v>
      </c>
      <c r="AG139" s="9">
        <v>176.445042958003</v>
      </c>
      <c r="AH139" s="10" t="s">
        <v>63</v>
      </c>
      <c r="AI139" s="9">
        <v>1</v>
      </c>
      <c r="AJ139" s="9">
        <v>0.57740045800164796</v>
      </c>
      <c r="AK139" s="10" t="s">
        <v>51</v>
      </c>
      <c r="AL139" s="8"/>
      <c r="AM139" s="8"/>
      <c r="AN139" s="8"/>
      <c r="AO139" s="9">
        <v>1</v>
      </c>
      <c r="AP139" s="9">
        <v>1</v>
      </c>
      <c r="AQ139" s="10" t="s">
        <v>96</v>
      </c>
      <c r="AR139" s="10" t="s">
        <v>53</v>
      </c>
      <c r="AS139" s="8"/>
      <c r="AT139" s="10" t="s">
        <v>54</v>
      </c>
      <c r="AU139" s="10" t="s">
        <v>51</v>
      </c>
      <c r="AV139" s="10" t="s">
        <v>97</v>
      </c>
      <c r="AW139" s="8"/>
    </row>
    <row r="140" spans="1:49" x14ac:dyDescent="0.15">
      <c r="A140" s="11" t="s">
        <v>65</v>
      </c>
      <c r="B140" s="12" t="s">
        <v>57</v>
      </c>
      <c r="C140" s="10" t="s">
        <v>58</v>
      </c>
      <c r="D140" s="10" t="s">
        <v>59</v>
      </c>
      <c r="E140" s="9">
        <v>160</v>
      </c>
      <c r="F140" s="9">
        <v>160</v>
      </c>
      <c r="G140" s="9">
        <v>4</v>
      </c>
      <c r="H140" s="10" t="s">
        <v>59</v>
      </c>
      <c r="I140" s="9">
        <v>1</v>
      </c>
      <c r="J140" s="9">
        <v>0.356764791009482</v>
      </c>
      <c r="K140" s="10" t="s">
        <v>51</v>
      </c>
      <c r="L140" s="9">
        <v>4</v>
      </c>
      <c r="M140" s="9">
        <v>160</v>
      </c>
      <c r="N140" s="9">
        <v>160</v>
      </c>
      <c r="O140" s="9">
        <v>30</v>
      </c>
      <c r="P140" s="9">
        <v>176.458151791012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9">
        <v>176.44946016601199</v>
      </c>
      <c r="AC140" s="9">
        <v>176.458151791012</v>
      </c>
      <c r="AD140" s="9">
        <v>176.94326941600599</v>
      </c>
      <c r="AE140" s="9">
        <v>176.94326941600599</v>
      </c>
      <c r="AF140" s="9">
        <v>176.94326941600599</v>
      </c>
      <c r="AG140" s="9">
        <v>177.31210491601101</v>
      </c>
      <c r="AH140" s="10" t="s">
        <v>59</v>
      </c>
      <c r="AI140" s="9">
        <v>1</v>
      </c>
      <c r="AJ140" s="9">
        <v>0.356764791009482</v>
      </c>
      <c r="AK140" s="10" t="s">
        <v>51</v>
      </c>
      <c r="AL140" s="8"/>
      <c r="AM140" s="8"/>
      <c r="AN140" s="8"/>
      <c r="AO140" s="9">
        <v>1</v>
      </c>
      <c r="AP140" s="9">
        <v>1</v>
      </c>
      <c r="AQ140" s="10" t="s">
        <v>96</v>
      </c>
      <c r="AR140" s="10" t="s">
        <v>53</v>
      </c>
      <c r="AS140" s="8"/>
      <c r="AT140" s="10" t="s">
        <v>54</v>
      </c>
      <c r="AU140" s="10" t="s">
        <v>51</v>
      </c>
      <c r="AV140" s="10" t="s">
        <v>97</v>
      </c>
      <c r="AW140" s="8"/>
    </row>
    <row r="141" spans="1:49" x14ac:dyDescent="0.15">
      <c r="A141" s="11" t="s">
        <v>78</v>
      </c>
      <c r="B141" s="12" t="s">
        <v>57</v>
      </c>
      <c r="C141" s="10" t="s">
        <v>58</v>
      </c>
      <c r="D141" s="10" t="s">
        <v>59</v>
      </c>
      <c r="E141" s="9">
        <v>161</v>
      </c>
      <c r="F141" s="9">
        <v>161</v>
      </c>
      <c r="G141" s="9">
        <v>1</v>
      </c>
      <c r="H141" s="10" t="s">
        <v>59</v>
      </c>
      <c r="I141" s="9">
        <v>1</v>
      </c>
      <c r="J141" s="9">
        <v>0.56825604100595195</v>
      </c>
      <c r="K141" s="10" t="s">
        <v>51</v>
      </c>
      <c r="L141" s="9">
        <v>1</v>
      </c>
      <c r="M141" s="9">
        <v>161</v>
      </c>
      <c r="N141" s="9">
        <v>161</v>
      </c>
      <c r="O141" s="9">
        <v>26</v>
      </c>
      <c r="P141" s="9">
        <v>177.32559283300401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9">
        <v>177.31665287500101</v>
      </c>
      <c r="AC141" s="9">
        <v>177.32559283300401</v>
      </c>
      <c r="AD141" s="9">
        <v>177.80971587500201</v>
      </c>
      <c r="AE141" s="9">
        <v>177.80971587500201</v>
      </c>
      <c r="AF141" s="9">
        <v>177.80971587500201</v>
      </c>
      <c r="AG141" s="9">
        <v>178.38481095799901</v>
      </c>
      <c r="AH141" s="10" t="s">
        <v>59</v>
      </c>
      <c r="AI141" s="9">
        <v>1</v>
      </c>
      <c r="AJ141" s="9">
        <v>0.56825604100595195</v>
      </c>
      <c r="AK141" s="10" t="s">
        <v>51</v>
      </c>
      <c r="AL141" s="8"/>
      <c r="AM141" s="8"/>
      <c r="AN141" s="8"/>
      <c r="AO141" s="9">
        <v>1</v>
      </c>
      <c r="AP141" s="9">
        <v>1</v>
      </c>
      <c r="AQ141" s="10" t="s">
        <v>96</v>
      </c>
      <c r="AR141" s="10" t="s">
        <v>53</v>
      </c>
      <c r="AS141" s="8"/>
      <c r="AT141" s="10" t="s">
        <v>54</v>
      </c>
      <c r="AU141" s="10" t="s">
        <v>51</v>
      </c>
      <c r="AV141" s="10" t="s">
        <v>97</v>
      </c>
      <c r="AW141" s="8"/>
    </row>
    <row r="142" spans="1:49" x14ac:dyDescent="0.15">
      <c r="A142" s="11" t="s">
        <v>75</v>
      </c>
      <c r="B142" s="12" t="s">
        <v>57</v>
      </c>
      <c r="C142" s="10" t="s">
        <v>58</v>
      </c>
      <c r="D142" s="10" t="s">
        <v>59</v>
      </c>
      <c r="E142" s="9">
        <v>164</v>
      </c>
      <c r="F142" s="9">
        <v>164</v>
      </c>
      <c r="G142" s="9">
        <v>4</v>
      </c>
      <c r="H142" s="10" t="s">
        <v>59</v>
      </c>
      <c r="I142" s="9">
        <v>1</v>
      </c>
      <c r="J142" s="9">
        <v>0.35182125000574199</v>
      </c>
      <c r="K142" s="10" t="s">
        <v>51</v>
      </c>
      <c r="L142" s="9">
        <v>4</v>
      </c>
      <c r="M142" s="9">
        <v>164</v>
      </c>
      <c r="N142" s="9">
        <v>164</v>
      </c>
      <c r="O142" s="9">
        <v>18</v>
      </c>
      <c r="P142" s="9">
        <v>180.20639358300801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9">
        <v>180.19868583300601</v>
      </c>
      <c r="AC142" s="9">
        <v>180.20639358300801</v>
      </c>
      <c r="AD142" s="9">
        <v>180.69323108300199</v>
      </c>
      <c r="AE142" s="9">
        <v>180.69323108300199</v>
      </c>
      <c r="AF142" s="9">
        <v>180.69323108300199</v>
      </c>
      <c r="AG142" s="9">
        <v>181.051603708009</v>
      </c>
      <c r="AH142" s="10" t="s">
        <v>59</v>
      </c>
      <c r="AI142" s="9">
        <v>1</v>
      </c>
      <c r="AJ142" s="9">
        <v>0.35182125000574199</v>
      </c>
      <c r="AK142" s="10" t="s">
        <v>51</v>
      </c>
      <c r="AL142" s="8"/>
      <c r="AM142" s="8"/>
      <c r="AN142" s="8"/>
      <c r="AO142" s="9">
        <v>1</v>
      </c>
      <c r="AP142" s="9">
        <v>1</v>
      </c>
      <c r="AQ142" s="10" t="s">
        <v>96</v>
      </c>
      <c r="AR142" s="10" t="s">
        <v>53</v>
      </c>
      <c r="AS142" s="8"/>
      <c r="AT142" s="10" t="s">
        <v>54</v>
      </c>
      <c r="AU142" s="10" t="s">
        <v>51</v>
      </c>
      <c r="AV142" s="10" t="s">
        <v>97</v>
      </c>
      <c r="AW142" s="8"/>
    </row>
    <row r="143" spans="1:49" x14ac:dyDescent="0.15">
      <c r="A143" s="11" t="s">
        <v>56</v>
      </c>
      <c r="B143" s="12" t="s">
        <v>57</v>
      </c>
      <c r="C143" s="10" t="s">
        <v>58</v>
      </c>
      <c r="D143" s="10" t="s">
        <v>59</v>
      </c>
      <c r="E143" s="9">
        <v>166</v>
      </c>
      <c r="F143" s="9">
        <v>166</v>
      </c>
      <c r="G143" s="9">
        <v>3</v>
      </c>
      <c r="H143" s="10" t="s">
        <v>59</v>
      </c>
      <c r="I143" s="9">
        <v>1</v>
      </c>
      <c r="J143" s="9">
        <v>0.48750108300009698</v>
      </c>
      <c r="K143" s="10" t="s">
        <v>51</v>
      </c>
      <c r="L143" s="9">
        <v>3</v>
      </c>
      <c r="M143" s="9">
        <v>166</v>
      </c>
      <c r="N143" s="9">
        <v>166</v>
      </c>
      <c r="O143" s="9">
        <v>16</v>
      </c>
      <c r="P143" s="9">
        <v>182.082273791006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9">
        <v>182.07200775000101</v>
      </c>
      <c r="AC143" s="9">
        <v>182.082273791006</v>
      </c>
      <c r="AD143" s="9">
        <v>182.56966845800301</v>
      </c>
      <c r="AE143" s="9">
        <v>182.56966845800301</v>
      </c>
      <c r="AF143" s="9">
        <v>182.56966845800301</v>
      </c>
      <c r="AG143" s="9">
        <v>183.062060041004</v>
      </c>
      <c r="AH143" s="10" t="s">
        <v>59</v>
      </c>
      <c r="AI143" s="9">
        <v>1</v>
      </c>
      <c r="AJ143" s="9">
        <v>0.48750108300009698</v>
      </c>
      <c r="AK143" s="10" t="s">
        <v>51</v>
      </c>
      <c r="AL143" s="8"/>
      <c r="AM143" s="8"/>
      <c r="AN143" s="8"/>
      <c r="AO143" s="9">
        <v>1</v>
      </c>
      <c r="AP143" s="9">
        <v>1</v>
      </c>
      <c r="AQ143" s="10" t="s">
        <v>96</v>
      </c>
      <c r="AR143" s="10" t="s">
        <v>53</v>
      </c>
      <c r="AS143" s="8"/>
      <c r="AT143" s="10" t="s">
        <v>54</v>
      </c>
      <c r="AU143" s="10" t="s">
        <v>51</v>
      </c>
      <c r="AV143" s="10" t="s">
        <v>97</v>
      </c>
      <c r="AW143" s="8"/>
    </row>
    <row r="144" spans="1:49" x14ac:dyDescent="0.15">
      <c r="A144" s="11" t="s">
        <v>75</v>
      </c>
      <c r="B144" s="12" t="s">
        <v>57</v>
      </c>
      <c r="C144" s="10" t="s">
        <v>62</v>
      </c>
      <c r="D144" s="10" t="s">
        <v>63</v>
      </c>
      <c r="E144" s="9">
        <v>169</v>
      </c>
      <c r="F144" s="9">
        <v>169</v>
      </c>
      <c r="G144" s="9">
        <v>4</v>
      </c>
      <c r="H144" s="10" t="s">
        <v>63</v>
      </c>
      <c r="I144" s="9">
        <v>1</v>
      </c>
      <c r="J144" s="9">
        <v>0.48837729099614102</v>
      </c>
      <c r="K144" s="10" t="s">
        <v>51</v>
      </c>
      <c r="L144" s="9">
        <v>4</v>
      </c>
      <c r="M144" s="9">
        <v>169</v>
      </c>
      <c r="N144" s="9">
        <v>169</v>
      </c>
      <c r="O144" s="9">
        <v>19</v>
      </c>
      <c r="P144" s="9">
        <v>184.841992916001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9">
        <v>184.832759000012</v>
      </c>
      <c r="AC144" s="9">
        <v>184.841992916001</v>
      </c>
      <c r="AD144" s="9">
        <v>185.32673912501201</v>
      </c>
      <c r="AE144" s="9">
        <v>185.32673912501201</v>
      </c>
      <c r="AF144" s="9">
        <v>185.32673912501201</v>
      </c>
      <c r="AG144" s="9">
        <v>185.818621625003</v>
      </c>
      <c r="AH144" s="10" t="s">
        <v>63</v>
      </c>
      <c r="AI144" s="9">
        <v>1</v>
      </c>
      <c r="AJ144" s="9">
        <v>0.48837729099614102</v>
      </c>
      <c r="AK144" s="10" t="s">
        <v>51</v>
      </c>
      <c r="AL144" s="8"/>
      <c r="AM144" s="8"/>
      <c r="AN144" s="8"/>
      <c r="AO144" s="9">
        <v>1</v>
      </c>
      <c r="AP144" s="9">
        <v>1</v>
      </c>
      <c r="AQ144" s="10" t="s">
        <v>96</v>
      </c>
      <c r="AR144" s="10" t="s">
        <v>53</v>
      </c>
      <c r="AS144" s="8"/>
      <c r="AT144" s="10" t="s">
        <v>54</v>
      </c>
      <c r="AU144" s="10" t="s">
        <v>51</v>
      </c>
      <c r="AV144" s="10" t="s">
        <v>97</v>
      </c>
      <c r="AW144" s="8"/>
    </row>
    <row r="145" spans="1:49" x14ac:dyDescent="0.15">
      <c r="A145" s="11" t="s">
        <v>78</v>
      </c>
      <c r="B145" s="12" t="s">
        <v>57</v>
      </c>
      <c r="C145" s="10" t="s">
        <v>62</v>
      </c>
      <c r="D145" s="10" t="s">
        <v>63</v>
      </c>
      <c r="E145" s="9">
        <v>170</v>
      </c>
      <c r="F145" s="9">
        <v>170</v>
      </c>
      <c r="G145" s="9">
        <v>2</v>
      </c>
      <c r="H145" s="10" t="s">
        <v>63</v>
      </c>
      <c r="I145" s="9">
        <v>1</v>
      </c>
      <c r="J145" s="9">
        <v>0.36764183299965197</v>
      </c>
      <c r="K145" s="10" t="s">
        <v>51</v>
      </c>
      <c r="L145" s="9">
        <v>2</v>
      </c>
      <c r="M145" s="9">
        <v>170</v>
      </c>
      <c r="N145" s="9">
        <v>170</v>
      </c>
      <c r="O145" s="9">
        <v>27</v>
      </c>
      <c r="P145" s="9">
        <v>185.83267166600899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9">
        <v>185.822754083012</v>
      </c>
      <c r="AC145" s="9">
        <v>185.83267166600899</v>
      </c>
      <c r="AD145" s="9">
        <v>186.319660083012</v>
      </c>
      <c r="AE145" s="9">
        <v>186.319660083012</v>
      </c>
      <c r="AF145" s="9">
        <v>186.319660083012</v>
      </c>
      <c r="AG145" s="9">
        <v>186.69584129100301</v>
      </c>
      <c r="AH145" s="10" t="s">
        <v>63</v>
      </c>
      <c r="AI145" s="9">
        <v>1</v>
      </c>
      <c r="AJ145" s="9">
        <v>0.36764183299965197</v>
      </c>
      <c r="AK145" s="10" t="s">
        <v>51</v>
      </c>
      <c r="AL145" s="8"/>
      <c r="AM145" s="8"/>
      <c r="AN145" s="8"/>
      <c r="AO145" s="9">
        <v>1</v>
      </c>
      <c r="AP145" s="9">
        <v>1</v>
      </c>
      <c r="AQ145" s="10" t="s">
        <v>96</v>
      </c>
      <c r="AR145" s="10" t="s">
        <v>53</v>
      </c>
      <c r="AS145" s="8"/>
      <c r="AT145" s="10" t="s">
        <v>54</v>
      </c>
      <c r="AU145" s="10" t="s">
        <v>51</v>
      </c>
      <c r="AV145" s="10" t="s">
        <v>97</v>
      </c>
      <c r="AW145" s="8"/>
    </row>
    <row r="146" spans="1:49" x14ac:dyDescent="0.15">
      <c r="A146" s="11" t="s">
        <v>84</v>
      </c>
      <c r="B146" s="12" t="s">
        <v>57</v>
      </c>
      <c r="C146" s="10" t="s">
        <v>58</v>
      </c>
      <c r="D146" s="10" t="s">
        <v>59</v>
      </c>
      <c r="E146" s="9">
        <v>184</v>
      </c>
      <c r="F146" s="9">
        <v>184</v>
      </c>
      <c r="G146" s="9">
        <v>3</v>
      </c>
      <c r="H146" s="10" t="s">
        <v>59</v>
      </c>
      <c r="I146" s="9">
        <v>1</v>
      </c>
      <c r="J146" s="9">
        <v>1.30043462499452</v>
      </c>
      <c r="K146" s="10" t="s">
        <v>51</v>
      </c>
      <c r="L146" s="9">
        <v>3</v>
      </c>
      <c r="M146" s="9">
        <v>184</v>
      </c>
      <c r="N146" s="9">
        <v>184</v>
      </c>
      <c r="O146" s="9">
        <v>20</v>
      </c>
      <c r="P146" s="9">
        <v>200.509492583005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9">
        <v>200.50058520800701</v>
      </c>
      <c r="AC146" s="9">
        <v>200.509492583005</v>
      </c>
      <c r="AD146" s="9">
        <v>200.994002583</v>
      </c>
      <c r="AE146" s="9">
        <v>200.994002583</v>
      </c>
      <c r="AF146" s="9">
        <v>200.994002583</v>
      </c>
      <c r="AG146" s="9">
        <v>202.29615745801101</v>
      </c>
      <c r="AH146" s="10" t="s">
        <v>59</v>
      </c>
      <c r="AI146" s="9">
        <v>1</v>
      </c>
      <c r="AJ146" s="9">
        <v>1.30043462499452</v>
      </c>
      <c r="AK146" s="10" t="s">
        <v>51</v>
      </c>
      <c r="AL146" s="8"/>
      <c r="AM146" s="8"/>
      <c r="AN146" s="8"/>
      <c r="AO146" s="9">
        <v>1</v>
      </c>
      <c r="AP146" s="9">
        <v>1</v>
      </c>
      <c r="AQ146" s="10" t="s">
        <v>96</v>
      </c>
      <c r="AR146" s="10" t="s">
        <v>53</v>
      </c>
      <c r="AS146" s="8"/>
      <c r="AT146" s="10" t="s">
        <v>54</v>
      </c>
      <c r="AU146" s="10" t="s">
        <v>51</v>
      </c>
      <c r="AV146" s="10" t="s">
        <v>97</v>
      </c>
      <c r="AW146" s="8"/>
    </row>
    <row r="147" spans="1:49" x14ac:dyDescent="0.15">
      <c r="A147" s="11" t="s">
        <v>71</v>
      </c>
      <c r="B147" s="12" t="s">
        <v>57</v>
      </c>
      <c r="C147" s="10" t="s">
        <v>58</v>
      </c>
      <c r="D147" s="10" t="s">
        <v>59</v>
      </c>
      <c r="E147" s="9">
        <v>186</v>
      </c>
      <c r="F147" s="9">
        <v>186</v>
      </c>
      <c r="G147" s="9">
        <v>3</v>
      </c>
      <c r="H147" s="10" t="s">
        <v>59</v>
      </c>
      <c r="I147" s="9">
        <v>1</v>
      </c>
      <c r="J147" s="9">
        <v>0.51854425000783499</v>
      </c>
      <c r="K147" s="10" t="s">
        <v>51</v>
      </c>
      <c r="L147" s="9">
        <v>3</v>
      </c>
      <c r="M147" s="9">
        <v>186</v>
      </c>
      <c r="N147" s="9">
        <v>186</v>
      </c>
      <c r="O147" s="9">
        <v>28</v>
      </c>
      <c r="P147" s="9">
        <v>203.627574875005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9">
        <v>203.618522041012</v>
      </c>
      <c r="AC147" s="9">
        <v>203.627574875005</v>
      </c>
      <c r="AD147" s="9">
        <v>204.11085554100299</v>
      </c>
      <c r="AE147" s="9">
        <v>204.11085554100299</v>
      </c>
      <c r="AF147" s="9">
        <v>204.11085554100299</v>
      </c>
      <c r="AG147" s="9">
        <v>204.63575587500199</v>
      </c>
      <c r="AH147" s="10" t="s">
        <v>59</v>
      </c>
      <c r="AI147" s="9">
        <v>1</v>
      </c>
      <c r="AJ147" s="9">
        <v>0.51854425000783499</v>
      </c>
      <c r="AK147" s="10" t="s">
        <v>51</v>
      </c>
      <c r="AL147" s="8"/>
      <c r="AM147" s="8"/>
      <c r="AN147" s="8"/>
      <c r="AO147" s="9">
        <v>1</v>
      </c>
      <c r="AP147" s="9">
        <v>1</v>
      </c>
      <c r="AQ147" s="10" t="s">
        <v>96</v>
      </c>
      <c r="AR147" s="10" t="s">
        <v>53</v>
      </c>
      <c r="AS147" s="8"/>
      <c r="AT147" s="10" t="s">
        <v>54</v>
      </c>
      <c r="AU147" s="10" t="s">
        <v>51</v>
      </c>
      <c r="AV147" s="10" t="s">
        <v>97</v>
      </c>
      <c r="AW147" s="8"/>
    </row>
    <row r="148" spans="1:49" x14ac:dyDescent="0.15">
      <c r="A148" s="11" t="s">
        <v>78</v>
      </c>
      <c r="B148" s="12" t="s">
        <v>57</v>
      </c>
      <c r="C148" s="10" t="s">
        <v>58</v>
      </c>
      <c r="D148" s="10" t="s">
        <v>59</v>
      </c>
      <c r="E148" s="9">
        <v>192</v>
      </c>
      <c r="F148" s="9">
        <v>192</v>
      </c>
      <c r="G148" s="9">
        <v>2</v>
      </c>
      <c r="H148" s="10" t="s">
        <v>63</v>
      </c>
      <c r="I148" s="9">
        <v>0</v>
      </c>
      <c r="J148" s="9">
        <v>0.48992470798839399</v>
      </c>
      <c r="K148" s="10" t="s">
        <v>51</v>
      </c>
      <c r="L148" s="9">
        <v>2</v>
      </c>
      <c r="M148" s="9">
        <v>192</v>
      </c>
      <c r="N148" s="9">
        <v>192</v>
      </c>
      <c r="O148" s="9">
        <v>26</v>
      </c>
      <c r="P148" s="9">
        <v>209.778220083012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9">
        <v>209.754582708003</v>
      </c>
      <c r="AC148" s="9">
        <v>209.778220083012</v>
      </c>
      <c r="AD148" s="9">
        <v>210.24457995800199</v>
      </c>
      <c r="AE148" s="9">
        <v>210.24457995800199</v>
      </c>
      <c r="AF148" s="9">
        <v>210.24457995800199</v>
      </c>
      <c r="AG148" s="9">
        <v>210.737343541012</v>
      </c>
      <c r="AH148" s="10" t="s">
        <v>63</v>
      </c>
      <c r="AI148" s="9">
        <v>0</v>
      </c>
      <c r="AJ148" s="9">
        <v>0.48992470798839399</v>
      </c>
      <c r="AK148" s="10" t="s">
        <v>51</v>
      </c>
      <c r="AL148" s="8"/>
      <c r="AM148" s="8"/>
      <c r="AN148" s="8"/>
      <c r="AO148" s="9">
        <v>1</v>
      </c>
      <c r="AP148" s="9">
        <v>1</v>
      </c>
      <c r="AQ148" s="10" t="s">
        <v>96</v>
      </c>
      <c r="AR148" s="10" t="s">
        <v>53</v>
      </c>
      <c r="AS148" s="8"/>
      <c r="AT148" s="10" t="s">
        <v>54</v>
      </c>
      <c r="AU148" s="10" t="s">
        <v>51</v>
      </c>
      <c r="AV148" s="10" t="s">
        <v>97</v>
      </c>
      <c r="AW148" s="8"/>
    </row>
    <row r="149" spans="1:49" x14ac:dyDescent="0.15">
      <c r="A149" s="11" t="s">
        <v>78</v>
      </c>
      <c r="B149" s="12" t="s">
        <v>57</v>
      </c>
      <c r="C149" s="10" t="s">
        <v>58</v>
      </c>
      <c r="D149" s="10" t="s">
        <v>59</v>
      </c>
      <c r="E149" s="9">
        <v>200</v>
      </c>
      <c r="F149" s="9">
        <v>200</v>
      </c>
      <c r="G149" s="9">
        <v>3</v>
      </c>
      <c r="H149" s="10" t="s">
        <v>59</v>
      </c>
      <c r="I149" s="9">
        <v>1</v>
      </c>
      <c r="J149" s="9">
        <v>0.39965062499686599</v>
      </c>
      <c r="K149" s="10" t="s">
        <v>51</v>
      </c>
      <c r="L149" s="9">
        <v>3</v>
      </c>
      <c r="M149" s="9">
        <v>200</v>
      </c>
      <c r="N149" s="9">
        <v>200</v>
      </c>
      <c r="O149" s="9">
        <v>26</v>
      </c>
      <c r="P149" s="9">
        <v>217.67702479100299</v>
      </c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9">
        <v>217.66744662501199</v>
      </c>
      <c r="AC149" s="9">
        <v>217.67702479100299</v>
      </c>
      <c r="AD149" s="9">
        <v>218.161099625009</v>
      </c>
      <c r="AE149" s="9">
        <v>218.161099625009</v>
      </c>
      <c r="AF149" s="9">
        <v>218.161099625009</v>
      </c>
      <c r="AG149" s="9">
        <v>218.56336170800199</v>
      </c>
      <c r="AH149" s="10" t="s">
        <v>59</v>
      </c>
      <c r="AI149" s="9">
        <v>1</v>
      </c>
      <c r="AJ149" s="9">
        <v>0.39965062499686599</v>
      </c>
      <c r="AK149" s="10" t="s">
        <v>51</v>
      </c>
      <c r="AL149" s="8"/>
      <c r="AM149" s="8"/>
      <c r="AN149" s="8"/>
      <c r="AO149" s="9">
        <v>1</v>
      </c>
      <c r="AP149" s="9">
        <v>1</v>
      </c>
      <c r="AQ149" s="10" t="s">
        <v>96</v>
      </c>
      <c r="AR149" s="10" t="s">
        <v>53</v>
      </c>
      <c r="AS149" s="8"/>
      <c r="AT149" s="10" t="s">
        <v>54</v>
      </c>
      <c r="AU149" s="10" t="s">
        <v>51</v>
      </c>
      <c r="AV149" s="10" t="s">
        <v>97</v>
      </c>
      <c r="AW149" s="8"/>
    </row>
    <row r="150" spans="1:49" x14ac:dyDescent="0.15">
      <c r="A150" s="11" t="s">
        <v>56</v>
      </c>
      <c r="B150" s="12" t="s">
        <v>57</v>
      </c>
      <c r="C150" s="10" t="s">
        <v>58</v>
      </c>
      <c r="D150" s="10" t="s">
        <v>59</v>
      </c>
      <c r="E150" s="9">
        <v>204</v>
      </c>
      <c r="F150" s="9">
        <v>204</v>
      </c>
      <c r="G150" s="9">
        <v>4</v>
      </c>
      <c r="H150" s="10" t="s">
        <v>59</v>
      </c>
      <c r="I150" s="9">
        <v>1</v>
      </c>
      <c r="J150" s="9">
        <v>0.43440433299110698</v>
      </c>
      <c r="K150" s="10" t="s">
        <v>51</v>
      </c>
      <c r="L150" s="9">
        <v>4</v>
      </c>
      <c r="M150" s="9">
        <v>204</v>
      </c>
      <c r="N150" s="9">
        <v>204</v>
      </c>
      <c r="O150" s="9">
        <v>16</v>
      </c>
      <c r="P150" s="9">
        <v>221.32854425000599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9">
        <v>221.31906158301001</v>
      </c>
      <c r="AC150" s="9">
        <v>221.32854425000599</v>
      </c>
      <c r="AD150" s="9">
        <v>221.811301458001</v>
      </c>
      <c r="AE150" s="9">
        <v>221.811301458001</v>
      </c>
      <c r="AF150" s="9">
        <v>221.811301458001</v>
      </c>
      <c r="AG150" s="9">
        <v>222.25293508300101</v>
      </c>
      <c r="AH150" s="10" t="s">
        <v>59</v>
      </c>
      <c r="AI150" s="9">
        <v>1</v>
      </c>
      <c r="AJ150" s="9">
        <v>0.43440433299110698</v>
      </c>
      <c r="AK150" s="10" t="s">
        <v>51</v>
      </c>
      <c r="AL150" s="8"/>
      <c r="AM150" s="8"/>
      <c r="AN150" s="8"/>
      <c r="AO150" s="9">
        <v>1</v>
      </c>
      <c r="AP150" s="9">
        <v>1</v>
      </c>
      <c r="AQ150" s="10" t="s">
        <v>96</v>
      </c>
      <c r="AR150" s="10" t="s">
        <v>53</v>
      </c>
      <c r="AS150" s="8"/>
      <c r="AT150" s="10" t="s">
        <v>54</v>
      </c>
      <c r="AU150" s="10" t="s">
        <v>51</v>
      </c>
      <c r="AV150" s="10" t="s">
        <v>97</v>
      </c>
      <c r="AW150" s="8"/>
    </row>
    <row r="151" spans="1:49" x14ac:dyDescent="0.15">
      <c r="A151" s="11" t="s">
        <v>84</v>
      </c>
      <c r="B151" s="12" t="s">
        <v>57</v>
      </c>
      <c r="C151" s="10" t="s">
        <v>62</v>
      </c>
      <c r="D151" s="10" t="s">
        <v>63</v>
      </c>
      <c r="E151" s="9">
        <v>206</v>
      </c>
      <c r="F151" s="9">
        <v>206</v>
      </c>
      <c r="G151" s="9">
        <v>4</v>
      </c>
      <c r="H151" s="10" t="s">
        <v>63</v>
      </c>
      <c r="I151" s="9">
        <v>1</v>
      </c>
      <c r="J151" s="9">
        <v>0.44094341700838402</v>
      </c>
      <c r="K151" s="10" t="s">
        <v>51</v>
      </c>
      <c r="L151" s="9">
        <v>4</v>
      </c>
      <c r="M151" s="9">
        <v>206</v>
      </c>
      <c r="N151" s="9">
        <v>206</v>
      </c>
      <c r="O151" s="9">
        <v>21</v>
      </c>
      <c r="P151" s="9">
        <v>223.32830416600299</v>
      </c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9">
        <v>223.31902887500499</v>
      </c>
      <c r="AC151" s="9">
        <v>223.32830416600299</v>
      </c>
      <c r="AD151" s="9">
        <v>223.81179175000599</v>
      </c>
      <c r="AE151" s="9">
        <v>223.81179175000599</v>
      </c>
      <c r="AF151" s="9">
        <v>223.81179175000599</v>
      </c>
      <c r="AG151" s="9">
        <v>224.26352879100901</v>
      </c>
      <c r="AH151" s="10" t="s">
        <v>63</v>
      </c>
      <c r="AI151" s="9">
        <v>1</v>
      </c>
      <c r="AJ151" s="9">
        <v>0.44094341700838402</v>
      </c>
      <c r="AK151" s="10" t="s">
        <v>51</v>
      </c>
      <c r="AL151" s="8"/>
      <c r="AM151" s="8"/>
      <c r="AN151" s="8"/>
      <c r="AO151" s="9">
        <v>1</v>
      </c>
      <c r="AP151" s="9">
        <v>1</v>
      </c>
      <c r="AQ151" s="10" t="s">
        <v>96</v>
      </c>
      <c r="AR151" s="10" t="s">
        <v>53</v>
      </c>
      <c r="AS151" s="8"/>
      <c r="AT151" s="10" t="s">
        <v>54</v>
      </c>
      <c r="AU151" s="10" t="s">
        <v>51</v>
      </c>
      <c r="AV151" s="10" t="s">
        <v>97</v>
      </c>
      <c r="AW151" s="8"/>
    </row>
    <row r="152" spans="1:49" x14ac:dyDescent="0.15">
      <c r="A152" s="11" t="s">
        <v>78</v>
      </c>
      <c r="B152" s="12" t="s">
        <v>57</v>
      </c>
      <c r="C152" s="10" t="s">
        <v>58</v>
      </c>
      <c r="D152" s="10" t="s">
        <v>59</v>
      </c>
      <c r="E152" s="9">
        <v>207</v>
      </c>
      <c r="F152" s="9">
        <v>207</v>
      </c>
      <c r="G152" s="9">
        <v>4</v>
      </c>
      <c r="H152" s="10" t="s">
        <v>59</v>
      </c>
      <c r="I152" s="9">
        <v>1</v>
      </c>
      <c r="J152" s="9">
        <v>0.38833454099949499</v>
      </c>
      <c r="K152" s="10" t="s">
        <v>51</v>
      </c>
      <c r="L152" s="9">
        <v>4</v>
      </c>
      <c r="M152" s="9">
        <v>207</v>
      </c>
      <c r="N152" s="9">
        <v>207</v>
      </c>
      <c r="O152" s="9">
        <v>26</v>
      </c>
      <c r="P152" s="9">
        <v>224.277059166008</v>
      </c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9">
        <v>224.26814687500899</v>
      </c>
      <c r="AC152" s="9">
        <v>224.277059166008</v>
      </c>
      <c r="AD152" s="9">
        <v>224.761376958006</v>
      </c>
      <c r="AE152" s="9">
        <v>224.761376958006</v>
      </c>
      <c r="AF152" s="9">
        <v>224.761376958006</v>
      </c>
      <c r="AG152" s="9">
        <v>225.15254412501201</v>
      </c>
      <c r="AH152" s="10" t="s">
        <v>59</v>
      </c>
      <c r="AI152" s="9">
        <v>1</v>
      </c>
      <c r="AJ152" s="9">
        <v>0.38833454099949499</v>
      </c>
      <c r="AK152" s="10" t="s">
        <v>51</v>
      </c>
      <c r="AL152" s="8"/>
      <c r="AM152" s="8"/>
      <c r="AN152" s="8"/>
      <c r="AO152" s="9">
        <v>1</v>
      </c>
      <c r="AP152" s="9">
        <v>1</v>
      </c>
      <c r="AQ152" s="10" t="s">
        <v>96</v>
      </c>
      <c r="AR152" s="10" t="s">
        <v>53</v>
      </c>
      <c r="AS152" s="8"/>
      <c r="AT152" s="10" t="s">
        <v>54</v>
      </c>
      <c r="AU152" s="10" t="s">
        <v>51</v>
      </c>
      <c r="AV152" s="10" t="s">
        <v>97</v>
      </c>
      <c r="AW152" s="8"/>
    </row>
    <row r="153" spans="1:49" x14ac:dyDescent="0.15">
      <c r="A153" s="11" t="s">
        <v>78</v>
      </c>
      <c r="B153" s="12" t="s">
        <v>57</v>
      </c>
      <c r="C153" s="10" t="s">
        <v>62</v>
      </c>
      <c r="D153" s="10" t="s">
        <v>63</v>
      </c>
      <c r="E153" s="9">
        <v>208</v>
      </c>
      <c r="F153" s="9">
        <v>208</v>
      </c>
      <c r="G153" s="9">
        <v>3</v>
      </c>
      <c r="H153" s="10" t="s">
        <v>63</v>
      </c>
      <c r="I153" s="9">
        <v>1</v>
      </c>
      <c r="J153" s="9">
        <v>0.50952595799753897</v>
      </c>
      <c r="K153" s="10" t="s">
        <v>51</v>
      </c>
      <c r="L153" s="9">
        <v>3</v>
      </c>
      <c r="M153" s="9">
        <v>208</v>
      </c>
      <c r="N153" s="9">
        <v>208</v>
      </c>
      <c r="O153" s="9">
        <v>27</v>
      </c>
      <c r="P153" s="9">
        <v>225.161196083005</v>
      </c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9">
        <v>225.153513041005</v>
      </c>
      <c r="AC153" s="9">
        <v>225.161196083005</v>
      </c>
      <c r="AD153" s="9">
        <v>225.650523416</v>
      </c>
      <c r="AE153" s="9">
        <v>225.650523416</v>
      </c>
      <c r="AF153" s="9">
        <v>225.650523416</v>
      </c>
      <c r="AG153" s="9">
        <v>226.16403275000599</v>
      </c>
      <c r="AH153" s="10" t="s">
        <v>63</v>
      </c>
      <c r="AI153" s="9">
        <v>1</v>
      </c>
      <c r="AJ153" s="9">
        <v>0.50952595799753897</v>
      </c>
      <c r="AK153" s="10" t="s">
        <v>51</v>
      </c>
      <c r="AL153" s="8"/>
      <c r="AM153" s="8"/>
      <c r="AN153" s="8"/>
      <c r="AO153" s="9">
        <v>1</v>
      </c>
      <c r="AP153" s="9">
        <v>1</v>
      </c>
      <c r="AQ153" s="10" t="s">
        <v>96</v>
      </c>
      <c r="AR153" s="10" t="s">
        <v>53</v>
      </c>
      <c r="AS153" s="8"/>
      <c r="AT153" s="10" t="s">
        <v>54</v>
      </c>
      <c r="AU153" s="10" t="s">
        <v>51</v>
      </c>
      <c r="AV153" s="10" t="s">
        <v>97</v>
      </c>
      <c r="AW153" s="8"/>
    </row>
    <row r="154" spans="1:49" x14ac:dyDescent="0.15">
      <c r="A154" s="11" t="s">
        <v>56</v>
      </c>
      <c r="B154" s="12" t="s">
        <v>57</v>
      </c>
      <c r="C154" s="10" t="s">
        <v>62</v>
      </c>
      <c r="D154" s="10" t="s">
        <v>63</v>
      </c>
      <c r="E154" s="9">
        <v>209</v>
      </c>
      <c r="F154" s="9">
        <v>209</v>
      </c>
      <c r="G154" s="9">
        <v>4</v>
      </c>
      <c r="H154" s="10" t="s">
        <v>63</v>
      </c>
      <c r="I154" s="9">
        <v>1</v>
      </c>
      <c r="J154" s="9">
        <v>0.50425045800511703</v>
      </c>
      <c r="K154" s="10" t="s">
        <v>51</v>
      </c>
      <c r="L154" s="9">
        <v>4</v>
      </c>
      <c r="M154" s="9">
        <v>209</v>
      </c>
      <c r="N154" s="9">
        <v>209</v>
      </c>
      <c r="O154" s="9">
        <v>17</v>
      </c>
      <c r="P154" s="9">
        <v>226.17796420800701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9">
        <v>226.16873312499999</v>
      </c>
      <c r="AC154" s="9">
        <v>226.17796420800701</v>
      </c>
      <c r="AD154" s="9">
        <v>226.661513416009</v>
      </c>
      <c r="AE154" s="9">
        <v>226.661513416009</v>
      </c>
      <c r="AF154" s="9">
        <v>226.661513416009</v>
      </c>
      <c r="AG154" s="9">
        <v>227.169809458006</v>
      </c>
      <c r="AH154" s="10" t="s">
        <v>63</v>
      </c>
      <c r="AI154" s="9">
        <v>1</v>
      </c>
      <c r="AJ154" s="9">
        <v>0.50425045800511703</v>
      </c>
      <c r="AK154" s="10" t="s">
        <v>51</v>
      </c>
      <c r="AL154" s="8"/>
      <c r="AM154" s="8"/>
      <c r="AN154" s="8"/>
      <c r="AO154" s="9">
        <v>1</v>
      </c>
      <c r="AP154" s="9">
        <v>1</v>
      </c>
      <c r="AQ154" s="10" t="s">
        <v>96</v>
      </c>
      <c r="AR154" s="10" t="s">
        <v>53</v>
      </c>
      <c r="AS154" s="8"/>
      <c r="AT154" s="10" t="s">
        <v>54</v>
      </c>
      <c r="AU154" s="10" t="s">
        <v>51</v>
      </c>
      <c r="AV154" s="10" t="s">
        <v>97</v>
      </c>
      <c r="AW154" s="8"/>
    </row>
    <row r="155" spans="1:49" x14ac:dyDescent="0.15">
      <c r="A155" s="11" t="s">
        <v>65</v>
      </c>
      <c r="B155" s="12" t="s">
        <v>57</v>
      </c>
      <c r="C155" s="10" t="s">
        <v>62</v>
      </c>
      <c r="D155" s="10" t="s">
        <v>63</v>
      </c>
      <c r="E155" s="9">
        <v>210</v>
      </c>
      <c r="F155" s="9">
        <v>210</v>
      </c>
      <c r="G155" s="9">
        <v>4</v>
      </c>
      <c r="H155" s="10" t="s">
        <v>63</v>
      </c>
      <c r="I155" s="9">
        <v>1</v>
      </c>
      <c r="J155" s="9">
        <v>0.34868908299540602</v>
      </c>
      <c r="K155" s="10" t="s">
        <v>51</v>
      </c>
      <c r="L155" s="9">
        <v>4</v>
      </c>
      <c r="M155" s="9">
        <v>210</v>
      </c>
      <c r="N155" s="9">
        <v>210</v>
      </c>
      <c r="O155" s="9">
        <v>31</v>
      </c>
      <c r="P155" s="9">
        <v>227.18370033299999</v>
      </c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9">
        <v>227.17421725000901</v>
      </c>
      <c r="AC155" s="9">
        <v>227.18370033299999</v>
      </c>
      <c r="AD155" s="9">
        <v>227.67109750000199</v>
      </c>
      <c r="AE155" s="9">
        <v>227.67109750000199</v>
      </c>
      <c r="AF155" s="9">
        <v>227.67109750000199</v>
      </c>
      <c r="AG155" s="9">
        <v>228.03005883301401</v>
      </c>
      <c r="AH155" s="10" t="s">
        <v>63</v>
      </c>
      <c r="AI155" s="9">
        <v>1</v>
      </c>
      <c r="AJ155" s="9">
        <v>0.34868908299540602</v>
      </c>
      <c r="AK155" s="10" t="s">
        <v>51</v>
      </c>
      <c r="AL155" s="8"/>
      <c r="AM155" s="8"/>
      <c r="AN155" s="8"/>
      <c r="AO155" s="9">
        <v>1</v>
      </c>
      <c r="AP155" s="9">
        <v>1</v>
      </c>
      <c r="AQ155" s="10" t="s">
        <v>96</v>
      </c>
      <c r="AR155" s="10" t="s">
        <v>53</v>
      </c>
      <c r="AS155" s="8"/>
      <c r="AT155" s="10" t="s">
        <v>54</v>
      </c>
      <c r="AU155" s="10" t="s">
        <v>51</v>
      </c>
      <c r="AV155" s="10" t="s">
        <v>97</v>
      </c>
      <c r="AW155" s="8"/>
    </row>
    <row r="156" spans="1:49" x14ac:dyDescent="0.15">
      <c r="A156" s="11" t="s">
        <v>71</v>
      </c>
      <c r="B156" s="12" t="s">
        <v>57</v>
      </c>
      <c r="C156" s="10" t="s">
        <v>62</v>
      </c>
      <c r="D156" s="10" t="s">
        <v>63</v>
      </c>
      <c r="E156" s="9">
        <v>212</v>
      </c>
      <c r="F156" s="9">
        <v>212</v>
      </c>
      <c r="G156" s="9">
        <v>3</v>
      </c>
      <c r="H156" s="10" t="s">
        <v>63</v>
      </c>
      <c r="I156" s="9">
        <v>1</v>
      </c>
      <c r="J156" s="9">
        <v>0.39560429200355401</v>
      </c>
      <c r="K156" s="10" t="s">
        <v>51</v>
      </c>
      <c r="L156" s="9">
        <v>3</v>
      </c>
      <c r="M156" s="9">
        <v>212</v>
      </c>
      <c r="N156" s="9">
        <v>212</v>
      </c>
      <c r="O156" s="9">
        <v>29</v>
      </c>
      <c r="P156" s="9">
        <v>228.94377666601201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9">
        <v>228.934713041002</v>
      </c>
      <c r="AC156" s="9">
        <v>228.94377666601201</v>
      </c>
      <c r="AD156" s="9">
        <v>229.42837425001201</v>
      </c>
      <c r="AE156" s="9">
        <v>229.42837425001201</v>
      </c>
      <c r="AF156" s="9">
        <v>229.42837425001201</v>
      </c>
      <c r="AG156" s="9">
        <v>229.83022520800299</v>
      </c>
      <c r="AH156" s="10" t="s">
        <v>63</v>
      </c>
      <c r="AI156" s="9">
        <v>1</v>
      </c>
      <c r="AJ156" s="9">
        <v>0.39560429200355401</v>
      </c>
      <c r="AK156" s="10" t="s">
        <v>51</v>
      </c>
      <c r="AL156" s="8"/>
      <c r="AM156" s="8"/>
      <c r="AN156" s="8"/>
      <c r="AO156" s="9">
        <v>1</v>
      </c>
      <c r="AP156" s="9">
        <v>1</v>
      </c>
      <c r="AQ156" s="10" t="s">
        <v>96</v>
      </c>
      <c r="AR156" s="10" t="s">
        <v>53</v>
      </c>
      <c r="AS156" s="8"/>
      <c r="AT156" s="10" t="s">
        <v>54</v>
      </c>
      <c r="AU156" s="10" t="s">
        <v>51</v>
      </c>
      <c r="AV156" s="10" t="s">
        <v>97</v>
      </c>
      <c r="AW156" s="8"/>
    </row>
    <row r="157" spans="1:49" x14ac:dyDescent="0.15">
      <c r="A157" s="11" t="s">
        <v>84</v>
      </c>
      <c r="B157" s="12" t="s">
        <v>57</v>
      </c>
      <c r="C157" s="10" t="s">
        <v>58</v>
      </c>
      <c r="D157" s="10" t="s">
        <v>59</v>
      </c>
      <c r="E157" s="9">
        <v>213</v>
      </c>
      <c r="F157" s="9">
        <v>213</v>
      </c>
      <c r="G157" s="9">
        <v>4</v>
      </c>
      <c r="H157" s="10" t="s">
        <v>59</v>
      </c>
      <c r="I157" s="9">
        <v>1</v>
      </c>
      <c r="J157" s="9">
        <v>0.45679187499627</v>
      </c>
      <c r="K157" s="10" t="s">
        <v>51</v>
      </c>
      <c r="L157" s="9">
        <v>4</v>
      </c>
      <c r="M157" s="9">
        <v>213</v>
      </c>
      <c r="N157" s="9">
        <v>213</v>
      </c>
      <c r="O157" s="9">
        <v>20</v>
      </c>
      <c r="P157" s="9">
        <v>229.84385362500299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9">
        <v>229.83482987500599</v>
      </c>
      <c r="AC157" s="9">
        <v>229.84385362500299</v>
      </c>
      <c r="AD157" s="9">
        <v>230.328160416</v>
      </c>
      <c r="AE157" s="9">
        <v>230.328160416</v>
      </c>
      <c r="AF157" s="9">
        <v>230.328160416</v>
      </c>
      <c r="AG157" s="9">
        <v>230.786271291014</v>
      </c>
      <c r="AH157" s="10" t="s">
        <v>59</v>
      </c>
      <c r="AI157" s="9">
        <v>1</v>
      </c>
      <c r="AJ157" s="9">
        <v>0.45679187499627</v>
      </c>
      <c r="AK157" s="10" t="s">
        <v>51</v>
      </c>
      <c r="AL157" s="8"/>
      <c r="AM157" s="8"/>
      <c r="AN157" s="8"/>
      <c r="AO157" s="9">
        <v>1</v>
      </c>
      <c r="AP157" s="9">
        <v>1</v>
      </c>
      <c r="AQ157" s="10" t="s">
        <v>96</v>
      </c>
      <c r="AR157" s="10" t="s">
        <v>53</v>
      </c>
      <c r="AS157" s="8"/>
      <c r="AT157" s="10" t="s">
        <v>54</v>
      </c>
      <c r="AU157" s="10" t="s">
        <v>51</v>
      </c>
      <c r="AV157" s="10" t="s">
        <v>97</v>
      </c>
      <c r="AW157" s="8"/>
    </row>
    <row r="158" spans="1:49" x14ac:dyDescent="0.15">
      <c r="A158" s="11" t="s">
        <v>71</v>
      </c>
      <c r="B158" s="12" t="s">
        <v>57</v>
      </c>
      <c r="C158" s="10" t="s">
        <v>58</v>
      </c>
      <c r="D158" s="10" t="s">
        <v>59</v>
      </c>
      <c r="E158" s="9">
        <v>217</v>
      </c>
      <c r="F158" s="9">
        <v>217</v>
      </c>
      <c r="G158" s="9">
        <v>4</v>
      </c>
      <c r="H158" s="10" t="s">
        <v>59</v>
      </c>
      <c r="I158" s="9">
        <v>1</v>
      </c>
      <c r="J158" s="9">
        <v>0.36970654100878197</v>
      </c>
      <c r="K158" s="10" t="s">
        <v>51</v>
      </c>
      <c r="L158" s="9">
        <v>4</v>
      </c>
      <c r="M158" s="9">
        <v>217</v>
      </c>
      <c r="N158" s="9">
        <v>217</v>
      </c>
      <c r="O158" s="9">
        <v>28</v>
      </c>
      <c r="P158" s="9">
        <v>233.61111991600799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9">
        <v>233.60236004101199</v>
      </c>
      <c r="AC158" s="9">
        <v>233.61111991600799</v>
      </c>
      <c r="AD158" s="9">
        <v>234.095144791005</v>
      </c>
      <c r="AE158" s="9">
        <v>234.095144791005</v>
      </c>
      <c r="AF158" s="9">
        <v>234.095144791005</v>
      </c>
      <c r="AG158" s="9">
        <v>234.47006508300501</v>
      </c>
      <c r="AH158" s="10" t="s">
        <v>59</v>
      </c>
      <c r="AI158" s="9">
        <v>1</v>
      </c>
      <c r="AJ158" s="9">
        <v>0.36970654100878197</v>
      </c>
      <c r="AK158" s="10" t="s">
        <v>51</v>
      </c>
      <c r="AL158" s="8"/>
      <c r="AM158" s="8"/>
      <c r="AN158" s="8"/>
      <c r="AO158" s="9">
        <v>1</v>
      </c>
      <c r="AP158" s="9">
        <v>1</v>
      </c>
      <c r="AQ158" s="10" t="s">
        <v>96</v>
      </c>
      <c r="AR158" s="10" t="s">
        <v>53</v>
      </c>
      <c r="AS158" s="8"/>
      <c r="AT158" s="10" t="s">
        <v>54</v>
      </c>
      <c r="AU158" s="10" t="s">
        <v>51</v>
      </c>
      <c r="AV158" s="10" t="s">
        <v>97</v>
      </c>
      <c r="AW158" s="8"/>
    </row>
    <row r="159" spans="1:49" x14ac:dyDescent="0.15">
      <c r="A159" s="11" t="s">
        <v>72</v>
      </c>
      <c r="B159" s="12" t="s">
        <v>57</v>
      </c>
      <c r="C159" s="10" t="s">
        <v>58</v>
      </c>
      <c r="D159" s="10" t="s">
        <v>59</v>
      </c>
      <c r="E159" s="9">
        <v>218</v>
      </c>
      <c r="F159" s="9">
        <v>218</v>
      </c>
      <c r="G159" s="9">
        <v>4</v>
      </c>
      <c r="H159" s="10" t="s">
        <v>59</v>
      </c>
      <c r="I159" s="9">
        <v>1</v>
      </c>
      <c r="J159" s="9">
        <v>0.53360512500512403</v>
      </c>
      <c r="K159" s="10" t="s">
        <v>51</v>
      </c>
      <c r="L159" s="9">
        <v>4</v>
      </c>
      <c r="M159" s="9">
        <v>218</v>
      </c>
      <c r="N159" s="9">
        <v>218</v>
      </c>
      <c r="O159" s="9">
        <v>24</v>
      </c>
      <c r="P159" s="9">
        <v>234.48337187500101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9">
        <v>234.474207833002</v>
      </c>
      <c r="AC159" s="9">
        <v>234.48337187500101</v>
      </c>
      <c r="AD159" s="9">
        <v>234.97139841600401</v>
      </c>
      <c r="AE159" s="9">
        <v>234.97139841600401</v>
      </c>
      <c r="AF159" s="9">
        <v>234.97139841600401</v>
      </c>
      <c r="AG159" s="9">
        <v>235.51379512500699</v>
      </c>
      <c r="AH159" s="10" t="s">
        <v>59</v>
      </c>
      <c r="AI159" s="9">
        <v>1</v>
      </c>
      <c r="AJ159" s="9">
        <v>0.53360512500512403</v>
      </c>
      <c r="AK159" s="10" t="s">
        <v>51</v>
      </c>
      <c r="AL159" s="8"/>
      <c r="AM159" s="8"/>
      <c r="AN159" s="8"/>
      <c r="AO159" s="9">
        <v>1</v>
      </c>
      <c r="AP159" s="9">
        <v>1</v>
      </c>
      <c r="AQ159" s="10" t="s">
        <v>96</v>
      </c>
      <c r="AR159" s="10" t="s">
        <v>53</v>
      </c>
      <c r="AS159" s="8"/>
      <c r="AT159" s="10" t="s">
        <v>54</v>
      </c>
      <c r="AU159" s="10" t="s">
        <v>51</v>
      </c>
      <c r="AV159" s="10" t="s">
        <v>97</v>
      </c>
      <c r="AW159" s="8"/>
    </row>
    <row r="160" spans="1:49" x14ac:dyDescent="0.15">
      <c r="A160" s="11" t="s">
        <v>71</v>
      </c>
      <c r="B160" s="12" t="s">
        <v>57</v>
      </c>
      <c r="C160" s="10" t="s">
        <v>62</v>
      </c>
      <c r="D160" s="10" t="s">
        <v>63</v>
      </c>
      <c r="E160" s="9">
        <v>230</v>
      </c>
      <c r="F160" s="9">
        <v>230</v>
      </c>
      <c r="G160" s="9">
        <v>4</v>
      </c>
      <c r="H160" s="10" t="s">
        <v>63</v>
      </c>
      <c r="I160" s="9">
        <v>1</v>
      </c>
      <c r="J160" s="9">
        <v>0.55110741600219604</v>
      </c>
      <c r="K160" s="10" t="s">
        <v>51</v>
      </c>
      <c r="L160" s="9">
        <v>4</v>
      </c>
      <c r="M160" s="9">
        <v>230</v>
      </c>
      <c r="N160" s="9">
        <v>230</v>
      </c>
      <c r="O160" s="9">
        <v>29</v>
      </c>
      <c r="P160" s="9">
        <v>247.90115350000301</v>
      </c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9">
        <v>247.89182733300601</v>
      </c>
      <c r="AC160" s="9">
        <v>247.90115350000301</v>
      </c>
      <c r="AD160" s="9">
        <v>248.38909916600099</v>
      </c>
      <c r="AE160" s="9">
        <v>248.38909916600099</v>
      </c>
      <c r="AF160" s="9">
        <v>248.38909916600099</v>
      </c>
      <c r="AG160" s="9">
        <v>248.94776866601001</v>
      </c>
      <c r="AH160" s="10" t="s">
        <v>63</v>
      </c>
      <c r="AI160" s="9">
        <v>1</v>
      </c>
      <c r="AJ160" s="9">
        <v>0.55110741600219604</v>
      </c>
      <c r="AK160" s="10" t="s">
        <v>51</v>
      </c>
      <c r="AL160" s="8"/>
      <c r="AM160" s="8"/>
      <c r="AN160" s="8"/>
      <c r="AO160" s="9">
        <v>1</v>
      </c>
      <c r="AP160" s="9">
        <v>1</v>
      </c>
      <c r="AQ160" s="10" t="s">
        <v>96</v>
      </c>
      <c r="AR160" s="10" t="s">
        <v>53</v>
      </c>
      <c r="AS160" s="8"/>
      <c r="AT160" s="10" t="s">
        <v>54</v>
      </c>
      <c r="AU160" s="10" t="s">
        <v>51</v>
      </c>
      <c r="AV160" s="10" t="s">
        <v>97</v>
      </c>
      <c r="AW160" s="8"/>
    </row>
    <row r="161" spans="1:49" x14ac:dyDescent="0.15">
      <c r="A161" s="11" t="s">
        <v>78</v>
      </c>
      <c r="B161" s="12" t="s">
        <v>57</v>
      </c>
      <c r="C161" s="10" t="s">
        <v>62</v>
      </c>
      <c r="D161" s="10" t="s">
        <v>63</v>
      </c>
      <c r="E161" s="9">
        <v>235</v>
      </c>
      <c r="F161" s="9">
        <v>235</v>
      </c>
      <c r="G161" s="9">
        <v>4</v>
      </c>
      <c r="H161" s="10" t="s">
        <v>63</v>
      </c>
      <c r="I161" s="9">
        <v>1</v>
      </c>
      <c r="J161" s="9">
        <v>0.59620108301169195</v>
      </c>
      <c r="K161" s="10" t="s">
        <v>51</v>
      </c>
      <c r="L161" s="9">
        <v>4</v>
      </c>
      <c r="M161" s="9">
        <v>235</v>
      </c>
      <c r="N161" s="9">
        <v>235</v>
      </c>
      <c r="O161" s="9">
        <v>27</v>
      </c>
      <c r="P161" s="9">
        <v>253.745398875006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9">
        <v>253.736391583006</v>
      </c>
      <c r="AC161" s="9">
        <v>253.745398875006</v>
      </c>
      <c r="AD161" s="9">
        <v>254.229155875</v>
      </c>
      <c r="AE161" s="9">
        <v>254.229155875</v>
      </c>
      <c r="AF161" s="9">
        <v>254.229155875</v>
      </c>
      <c r="AG161" s="9">
        <v>254.83128437500301</v>
      </c>
      <c r="AH161" s="10" t="s">
        <v>63</v>
      </c>
      <c r="AI161" s="9">
        <v>1</v>
      </c>
      <c r="AJ161" s="9">
        <v>0.59620108301169195</v>
      </c>
      <c r="AK161" s="10" t="s">
        <v>51</v>
      </c>
      <c r="AL161" s="8"/>
      <c r="AM161" s="8"/>
      <c r="AN161" s="8"/>
      <c r="AO161" s="9">
        <v>1</v>
      </c>
      <c r="AP161" s="9">
        <v>1</v>
      </c>
      <c r="AQ161" s="10" t="s">
        <v>96</v>
      </c>
      <c r="AR161" s="10" t="s">
        <v>53</v>
      </c>
      <c r="AS161" s="8"/>
      <c r="AT161" s="10" t="s">
        <v>54</v>
      </c>
      <c r="AU161" s="10" t="s">
        <v>51</v>
      </c>
      <c r="AV161" s="10" t="s">
        <v>97</v>
      </c>
      <c r="AW161" s="8"/>
    </row>
    <row r="162" spans="1:49" x14ac:dyDescent="0.15">
      <c r="A162" s="11" t="s">
        <v>69</v>
      </c>
      <c r="B162" s="12" t="s">
        <v>67</v>
      </c>
      <c r="C162" s="10" t="s">
        <v>62</v>
      </c>
      <c r="D162" s="10" t="s">
        <v>63</v>
      </c>
      <c r="E162" s="9">
        <v>5</v>
      </c>
      <c r="F162" s="9">
        <v>5</v>
      </c>
      <c r="G162" s="9">
        <v>0</v>
      </c>
      <c r="H162" s="10" t="s">
        <v>63</v>
      </c>
      <c r="I162" s="9">
        <v>1</v>
      </c>
      <c r="J162" s="9">
        <v>0.45078512499458201</v>
      </c>
      <c r="K162" s="10" t="s">
        <v>51</v>
      </c>
      <c r="L162" s="9">
        <v>0</v>
      </c>
      <c r="M162" s="9">
        <v>5</v>
      </c>
      <c r="N162" s="9">
        <v>5</v>
      </c>
      <c r="O162" s="9">
        <v>39</v>
      </c>
      <c r="P162" s="9">
        <v>28.492828500005999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9">
        <v>28.483747333011699</v>
      </c>
      <c r="AC162" s="9">
        <v>28.492828500005999</v>
      </c>
      <c r="AD162" s="9">
        <v>28.980662916001201</v>
      </c>
      <c r="AE162" s="9">
        <v>28.980662916001201</v>
      </c>
      <c r="AF162" s="9">
        <v>28.980662916001201</v>
      </c>
      <c r="AG162" s="9">
        <v>29.4400744160084</v>
      </c>
      <c r="AH162" s="10" t="s">
        <v>63</v>
      </c>
      <c r="AI162" s="9">
        <v>1</v>
      </c>
      <c r="AJ162" s="9">
        <v>0.45078512499458201</v>
      </c>
      <c r="AK162" s="10" t="s">
        <v>51</v>
      </c>
      <c r="AL162" s="8"/>
      <c r="AM162" s="8"/>
      <c r="AN162" s="8"/>
      <c r="AO162" s="9">
        <v>1</v>
      </c>
      <c r="AP162" s="9">
        <v>1</v>
      </c>
      <c r="AQ162" s="10" t="s">
        <v>96</v>
      </c>
      <c r="AR162" s="10" t="s">
        <v>53</v>
      </c>
      <c r="AS162" s="8"/>
      <c r="AT162" s="10" t="s">
        <v>54</v>
      </c>
      <c r="AU162" s="10" t="s">
        <v>51</v>
      </c>
      <c r="AV162" s="10" t="s">
        <v>97</v>
      </c>
      <c r="AW162" s="8"/>
    </row>
    <row r="163" spans="1:49" x14ac:dyDescent="0.15">
      <c r="A163" s="11" t="s">
        <v>69</v>
      </c>
      <c r="B163" s="12" t="s">
        <v>67</v>
      </c>
      <c r="C163" s="10" t="s">
        <v>62</v>
      </c>
      <c r="D163" s="10" t="s">
        <v>63</v>
      </c>
      <c r="E163" s="9">
        <v>10</v>
      </c>
      <c r="F163" s="9">
        <v>10</v>
      </c>
      <c r="G163" s="9">
        <v>1</v>
      </c>
      <c r="H163" s="10" t="s">
        <v>63</v>
      </c>
      <c r="I163" s="9">
        <v>1</v>
      </c>
      <c r="J163" s="9">
        <v>0.34687687399855399</v>
      </c>
      <c r="K163" s="10" t="s">
        <v>51</v>
      </c>
      <c r="L163" s="9">
        <v>1</v>
      </c>
      <c r="M163" s="9">
        <v>10</v>
      </c>
      <c r="N163" s="9">
        <v>10</v>
      </c>
      <c r="O163" s="9">
        <v>39</v>
      </c>
      <c r="P163" s="9">
        <v>32.826924791006597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9">
        <v>32.817805708007697</v>
      </c>
      <c r="AC163" s="9">
        <v>32.826924791006597</v>
      </c>
      <c r="AD163" s="9">
        <v>33.314545208006201</v>
      </c>
      <c r="AE163" s="9">
        <v>33.314545208006201</v>
      </c>
      <c r="AF163" s="9">
        <v>33.314545208006201</v>
      </c>
      <c r="AG163" s="9">
        <v>33.673436583005198</v>
      </c>
      <c r="AH163" s="10" t="s">
        <v>63</v>
      </c>
      <c r="AI163" s="9">
        <v>1</v>
      </c>
      <c r="AJ163" s="9">
        <v>0.34687687399855399</v>
      </c>
      <c r="AK163" s="10" t="s">
        <v>51</v>
      </c>
      <c r="AL163" s="8"/>
      <c r="AM163" s="8"/>
      <c r="AN163" s="8"/>
      <c r="AO163" s="9">
        <v>1</v>
      </c>
      <c r="AP163" s="9">
        <v>1</v>
      </c>
      <c r="AQ163" s="10" t="s">
        <v>96</v>
      </c>
      <c r="AR163" s="10" t="s">
        <v>53</v>
      </c>
      <c r="AS163" s="8"/>
      <c r="AT163" s="10" t="s">
        <v>54</v>
      </c>
      <c r="AU163" s="10" t="s">
        <v>51</v>
      </c>
      <c r="AV163" s="10" t="s">
        <v>97</v>
      </c>
      <c r="AW163" s="8"/>
    </row>
    <row r="164" spans="1:49" x14ac:dyDescent="0.15">
      <c r="A164" s="11" t="s">
        <v>82</v>
      </c>
      <c r="B164" s="12" t="s">
        <v>67</v>
      </c>
      <c r="C164" s="10" t="s">
        <v>62</v>
      </c>
      <c r="D164" s="10" t="s">
        <v>63</v>
      </c>
      <c r="E164" s="9">
        <v>24</v>
      </c>
      <c r="F164" s="9">
        <v>24</v>
      </c>
      <c r="G164" s="9">
        <v>0</v>
      </c>
      <c r="H164" s="10" t="s">
        <v>63</v>
      </c>
      <c r="I164" s="9">
        <v>1</v>
      </c>
      <c r="J164" s="9">
        <v>0.34089979100099299</v>
      </c>
      <c r="K164" s="10" t="s">
        <v>51</v>
      </c>
      <c r="L164" s="9">
        <v>0</v>
      </c>
      <c r="M164" s="9">
        <v>24</v>
      </c>
      <c r="N164" s="9">
        <v>24</v>
      </c>
      <c r="O164" s="9">
        <v>37</v>
      </c>
      <c r="P164" s="9">
        <v>45.537874541012599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9">
        <v>45.5290193750116</v>
      </c>
      <c r="AC164" s="9">
        <v>45.537874541012599</v>
      </c>
      <c r="AD164" s="9">
        <v>46.021691250003599</v>
      </c>
      <c r="AE164" s="9">
        <v>46.021691250003599</v>
      </c>
      <c r="AF164" s="9">
        <v>46.021691250003599</v>
      </c>
      <c r="AG164" s="9">
        <v>46.3738791250071</v>
      </c>
      <c r="AH164" s="10" t="s">
        <v>63</v>
      </c>
      <c r="AI164" s="9">
        <v>1</v>
      </c>
      <c r="AJ164" s="9">
        <v>0.34089979100099299</v>
      </c>
      <c r="AK164" s="10" t="s">
        <v>51</v>
      </c>
      <c r="AL164" s="8"/>
      <c r="AM164" s="8"/>
      <c r="AN164" s="8"/>
      <c r="AO164" s="9">
        <v>1</v>
      </c>
      <c r="AP164" s="9">
        <v>1</v>
      </c>
      <c r="AQ164" s="10" t="s">
        <v>96</v>
      </c>
      <c r="AR164" s="10" t="s">
        <v>53</v>
      </c>
      <c r="AS164" s="8"/>
      <c r="AT164" s="10" t="s">
        <v>54</v>
      </c>
      <c r="AU164" s="10" t="s">
        <v>51</v>
      </c>
      <c r="AV164" s="10" t="s">
        <v>97</v>
      </c>
      <c r="AW164" s="8"/>
    </row>
    <row r="165" spans="1:49" x14ac:dyDescent="0.15">
      <c r="A165" s="11" t="s">
        <v>82</v>
      </c>
      <c r="B165" s="12" t="s">
        <v>67</v>
      </c>
      <c r="C165" s="10" t="s">
        <v>58</v>
      </c>
      <c r="D165" s="10" t="s">
        <v>59</v>
      </c>
      <c r="E165" s="9">
        <v>25</v>
      </c>
      <c r="F165" s="9">
        <v>25</v>
      </c>
      <c r="G165" s="9">
        <v>0</v>
      </c>
      <c r="H165" s="10" t="s">
        <v>59</v>
      </c>
      <c r="I165" s="9">
        <v>1</v>
      </c>
      <c r="J165" s="9">
        <v>0.47882245799701201</v>
      </c>
      <c r="K165" s="10" t="s">
        <v>51</v>
      </c>
      <c r="L165" s="9">
        <v>0</v>
      </c>
      <c r="M165" s="9">
        <v>25</v>
      </c>
      <c r="N165" s="9">
        <v>25</v>
      </c>
      <c r="O165" s="9">
        <v>36</v>
      </c>
      <c r="P165" s="9">
        <v>46.384675125009402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9">
        <v>46.374981708009699</v>
      </c>
      <c r="AC165" s="9">
        <v>46.384675125009402</v>
      </c>
      <c r="AD165" s="9">
        <v>46.871957625000498</v>
      </c>
      <c r="AE165" s="9">
        <v>46.871957625000498</v>
      </c>
      <c r="AF165" s="9">
        <v>46.871957625000498</v>
      </c>
      <c r="AG165" s="9">
        <v>47.356994166009798</v>
      </c>
      <c r="AH165" s="10" t="s">
        <v>59</v>
      </c>
      <c r="AI165" s="9">
        <v>1</v>
      </c>
      <c r="AJ165" s="9">
        <v>0.47882245799701201</v>
      </c>
      <c r="AK165" s="10" t="s">
        <v>51</v>
      </c>
      <c r="AL165" s="8"/>
      <c r="AM165" s="8"/>
      <c r="AN165" s="8"/>
      <c r="AO165" s="9">
        <v>1</v>
      </c>
      <c r="AP165" s="9">
        <v>1</v>
      </c>
      <c r="AQ165" s="10" t="s">
        <v>96</v>
      </c>
      <c r="AR165" s="10" t="s">
        <v>53</v>
      </c>
      <c r="AS165" s="8"/>
      <c r="AT165" s="10" t="s">
        <v>54</v>
      </c>
      <c r="AU165" s="10" t="s">
        <v>51</v>
      </c>
      <c r="AV165" s="10" t="s">
        <v>97</v>
      </c>
      <c r="AW165" s="8"/>
    </row>
    <row r="166" spans="1:49" x14ac:dyDescent="0.15">
      <c r="A166" s="11" t="s">
        <v>77</v>
      </c>
      <c r="B166" s="12" t="s">
        <v>67</v>
      </c>
      <c r="C166" s="10" t="s">
        <v>62</v>
      </c>
      <c r="D166" s="10" t="s">
        <v>63</v>
      </c>
      <c r="E166" s="9">
        <v>32</v>
      </c>
      <c r="F166" s="9">
        <v>32</v>
      </c>
      <c r="G166" s="9">
        <v>0</v>
      </c>
      <c r="H166" s="10" t="s">
        <v>63</v>
      </c>
      <c r="I166" s="9">
        <v>1</v>
      </c>
      <c r="J166" s="9">
        <v>0.39690766599960597</v>
      </c>
      <c r="K166" s="10" t="s">
        <v>51</v>
      </c>
      <c r="L166" s="9">
        <v>0</v>
      </c>
      <c r="M166" s="9">
        <v>32</v>
      </c>
      <c r="N166" s="9">
        <v>32</v>
      </c>
      <c r="O166" s="9">
        <v>41</v>
      </c>
      <c r="P166" s="9">
        <v>53.043998458000701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9">
        <v>53.034327250003102</v>
      </c>
      <c r="AC166" s="9">
        <v>53.043998458000701</v>
      </c>
      <c r="AD166" s="9">
        <v>53.5319557500043</v>
      </c>
      <c r="AE166" s="9">
        <v>53.5319557500043</v>
      </c>
      <c r="AF166" s="9">
        <v>53.5319557500043</v>
      </c>
      <c r="AG166" s="9">
        <v>53.930153791006902</v>
      </c>
      <c r="AH166" s="10" t="s">
        <v>63</v>
      </c>
      <c r="AI166" s="9">
        <v>1</v>
      </c>
      <c r="AJ166" s="9">
        <v>0.39690766599960597</v>
      </c>
      <c r="AK166" s="10" t="s">
        <v>51</v>
      </c>
      <c r="AL166" s="8"/>
      <c r="AM166" s="8"/>
      <c r="AN166" s="8"/>
      <c r="AO166" s="9">
        <v>1</v>
      </c>
      <c r="AP166" s="9">
        <v>1</v>
      </c>
      <c r="AQ166" s="10" t="s">
        <v>96</v>
      </c>
      <c r="AR166" s="10" t="s">
        <v>53</v>
      </c>
      <c r="AS166" s="8"/>
      <c r="AT166" s="10" t="s">
        <v>54</v>
      </c>
      <c r="AU166" s="10" t="s">
        <v>51</v>
      </c>
      <c r="AV166" s="10" t="s">
        <v>97</v>
      </c>
      <c r="AW166" s="8"/>
    </row>
    <row r="167" spans="1:49" x14ac:dyDescent="0.15">
      <c r="A167" s="11" t="s">
        <v>81</v>
      </c>
      <c r="B167" s="12" t="s">
        <v>67</v>
      </c>
      <c r="C167" s="10" t="s">
        <v>62</v>
      </c>
      <c r="D167" s="10" t="s">
        <v>63</v>
      </c>
      <c r="E167" s="9">
        <v>39</v>
      </c>
      <c r="F167" s="9">
        <v>39</v>
      </c>
      <c r="G167" s="9">
        <v>0</v>
      </c>
      <c r="H167" s="10" t="s">
        <v>63</v>
      </c>
      <c r="I167" s="9">
        <v>1</v>
      </c>
      <c r="J167" s="9">
        <v>0.47543104199576203</v>
      </c>
      <c r="K167" s="10" t="s">
        <v>51</v>
      </c>
      <c r="L167" s="9">
        <v>0</v>
      </c>
      <c r="M167" s="9">
        <v>39</v>
      </c>
      <c r="N167" s="9">
        <v>39</v>
      </c>
      <c r="O167" s="9">
        <v>45</v>
      </c>
      <c r="P167" s="9">
        <v>59.320915625008602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9">
        <v>59.311952166011899</v>
      </c>
      <c r="AC167" s="9">
        <v>59.320915625008602</v>
      </c>
      <c r="AD167" s="9">
        <v>59.805513083003497</v>
      </c>
      <c r="AE167" s="9">
        <v>59.805513083003497</v>
      </c>
      <c r="AF167" s="9">
        <v>59.805513083003497</v>
      </c>
      <c r="AG167" s="9">
        <v>60.290626083005897</v>
      </c>
      <c r="AH167" s="10" t="s">
        <v>63</v>
      </c>
      <c r="AI167" s="9">
        <v>1</v>
      </c>
      <c r="AJ167" s="9">
        <v>0.47543104199576203</v>
      </c>
      <c r="AK167" s="10" t="s">
        <v>51</v>
      </c>
      <c r="AL167" s="8"/>
      <c r="AM167" s="8"/>
      <c r="AN167" s="8"/>
      <c r="AO167" s="9">
        <v>1</v>
      </c>
      <c r="AP167" s="9">
        <v>1</v>
      </c>
      <c r="AQ167" s="10" t="s">
        <v>96</v>
      </c>
      <c r="AR167" s="10" t="s">
        <v>53</v>
      </c>
      <c r="AS167" s="8"/>
      <c r="AT167" s="10" t="s">
        <v>54</v>
      </c>
      <c r="AU167" s="10" t="s">
        <v>51</v>
      </c>
      <c r="AV167" s="10" t="s">
        <v>97</v>
      </c>
      <c r="AW167" s="8"/>
    </row>
    <row r="168" spans="1:49" x14ac:dyDescent="0.15">
      <c r="A168" s="11" t="s">
        <v>80</v>
      </c>
      <c r="B168" s="12" t="s">
        <v>67</v>
      </c>
      <c r="C168" s="10" t="s">
        <v>58</v>
      </c>
      <c r="D168" s="10" t="s">
        <v>59</v>
      </c>
      <c r="E168" s="9">
        <v>40</v>
      </c>
      <c r="F168" s="9">
        <v>40</v>
      </c>
      <c r="G168" s="9">
        <v>0</v>
      </c>
      <c r="H168" s="10" t="s">
        <v>59</v>
      </c>
      <c r="I168" s="9">
        <v>1</v>
      </c>
      <c r="J168" s="9">
        <v>0.35883916600141702</v>
      </c>
      <c r="K168" s="10" t="s">
        <v>51</v>
      </c>
      <c r="L168" s="9">
        <v>0</v>
      </c>
      <c r="M168" s="9">
        <v>40</v>
      </c>
      <c r="N168" s="9">
        <v>40</v>
      </c>
      <c r="O168" s="9">
        <v>32</v>
      </c>
      <c r="P168" s="9">
        <v>60.304528541004402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9">
        <v>60.295683208009002</v>
      </c>
      <c r="AC168" s="9">
        <v>60.304528541004402</v>
      </c>
      <c r="AD168" s="9">
        <v>60.789168416013098</v>
      </c>
      <c r="AE168" s="9">
        <v>60.789168416013098</v>
      </c>
      <c r="AF168" s="9">
        <v>60.789168416013098</v>
      </c>
      <c r="AG168" s="9">
        <v>61.1579175410006</v>
      </c>
      <c r="AH168" s="10" t="s">
        <v>59</v>
      </c>
      <c r="AI168" s="9">
        <v>1</v>
      </c>
      <c r="AJ168" s="9">
        <v>0.35883916600141702</v>
      </c>
      <c r="AK168" s="10" t="s">
        <v>51</v>
      </c>
      <c r="AL168" s="8"/>
      <c r="AM168" s="8"/>
      <c r="AN168" s="8"/>
      <c r="AO168" s="9">
        <v>1</v>
      </c>
      <c r="AP168" s="9">
        <v>1</v>
      </c>
      <c r="AQ168" s="10" t="s">
        <v>96</v>
      </c>
      <c r="AR168" s="10" t="s">
        <v>53</v>
      </c>
      <c r="AS168" s="8"/>
      <c r="AT168" s="10" t="s">
        <v>54</v>
      </c>
      <c r="AU168" s="10" t="s">
        <v>51</v>
      </c>
      <c r="AV168" s="10" t="s">
        <v>97</v>
      </c>
      <c r="AW168" s="8"/>
    </row>
    <row r="169" spans="1:49" x14ac:dyDescent="0.15">
      <c r="A169" s="11" t="s">
        <v>80</v>
      </c>
      <c r="B169" s="12" t="s">
        <v>67</v>
      </c>
      <c r="C169" s="10" t="s">
        <v>62</v>
      </c>
      <c r="D169" s="10" t="s">
        <v>63</v>
      </c>
      <c r="E169" s="9">
        <v>46</v>
      </c>
      <c r="F169" s="9">
        <v>46</v>
      </c>
      <c r="G169" s="9">
        <v>0</v>
      </c>
      <c r="H169" s="10" t="s">
        <v>63</v>
      </c>
      <c r="I169" s="9">
        <v>1</v>
      </c>
      <c r="J169" s="9">
        <v>0.36302308300218999</v>
      </c>
      <c r="K169" s="10" t="s">
        <v>51</v>
      </c>
      <c r="L169" s="9">
        <v>0</v>
      </c>
      <c r="M169" s="9">
        <v>46</v>
      </c>
      <c r="N169" s="9">
        <v>46</v>
      </c>
      <c r="O169" s="9">
        <v>33</v>
      </c>
      <c r="P169" s="9">
        <v>65.954836416000006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9">
        <v>65.946089916003999</v>
      </c>
      <c r="AC169" s="9">
        <v>65.954836416000006</v>
      </c>
      <c r="AD169" s="9">
        <v>66.439155125000994</v>
      </c>
      <c r="AE169" s="9">
        <v>66.439155125000994</v>
      </c>
      <c r="AF169" s="9">
        <v>66.439155125000994</v>
      </c>
      <c r="AG169" s="9">
        <v>66.807981916004806</v>
      </c>
      <c r="AH169" s="10" t="s">
        <v>63</v>
      </c>
      <c r="AI169" s="9">
        <v>1</v>
      </c>
      <c r="AJ169" s="9">
        <v>0.36302308300218999</v>
      </c>
      <c r="AK169" s="10" t="s">
        <v>51</v>
      </c>
      <c r="AL169" s="8"/>
      <c r="AM169" s="8"/>
      <c r="AN169" s="8"/>
      <c r="AO169" s="9">
        <v>1</v>
      </c>
      <c r="AP169" s="9">
        <v>1</v>
      </c>
      <c r="AQ169" s="10" t="s">
        <v>96</v>
      </c>
      <c r="AR169" s="10" t="s">
        <v>53</v>
      </c>
      <c r="AS169" s="8"/>
      <c r="AT169" s="10" t="s">
        <v>54</v>
      </c>
      <c r="AU169" s="10" t="s">
        <v>51</v>
      </c>
      <c r="AV169" s="10" t="s">
        <v>97</v>
      </c>
      <c r="AW169" s="8"/>
    </row>
    <row r="170" spans="1:49" x14ac:dyDescent="0.15">
      <c r="A170" s="11" t="s">
        <v>80</v>
      </c>
      <c r="B170" s="12" t="s">
        <v>67</v>
      </c>
      <c r="C170" s="10" t="s">
        <v>62</v>
      </c>
      <c r="D170" s="10" t="s">
        <v>63</v>
      </c>
      <c r="E170" s="9">
        <v>49</v>
      </c>
      <c r="F170" s="9">
        <v>49</v>
      </c>
      <c r="G170" s="9">
        <v>1</v>
      </c>
      <c r="H170" s="10" t="s">
        <v>63</v>
      </c>
      <c r="I170" s="9">
        <v>1</v>
      </c>
      <c r="J170" s="9">
        <v>0.55502283301029798</v>
      </c>
      <c r="K170" s="10" t="s">
        <v>51</v>
      </c>
      <c r="L170" s="9">
        <v>1</v>
      </c>
      <c r="M170" s="9">
        <v>49</v>
      </c>
      <c r="N170" s="9">
        <v>49</v>
      </c>
      <c r="O170" s="9">
        <v>33</v>
      </c>
      <c r="P170" s="9">
        <v>68.588444041000898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9">
        <v>68.579356541013098</v>
      </c>
      <c r="AC170" s="9">
        <v>68.588444041000898</v>
      </c>
      <c r="AD170" s="9">
        <v>69.073079833004201</v>
      </c>
      <c r="AE170" s="9">
        <v>69.073079833004201</v>
      </c>
      <c r="AF170" s="9">
        <v>69.073079833004201</v>
      </c>
      <c r="AG170" s="9">
        <v>69.631156041010399</v>
      </c>
      <c r="AH170" s="10" t="s">
        <v>63</v>
      </c>
      <c r="AI170" s="9">
        <v>1</v>
      </c>
      <c r="AJ170" s="9">
        <v>0.55502283301029798</v>
      </c>
      <c r="AK170" s="10" t="s">
        <v>51</v>
      </c>
      <c r="AL170" s="8"/>
      <c r="AM170" s="8"/>
      <c r="AN170" s="8"/>
      <c r="AO170" s="9">
        <v>1</v>
      </c>
      <c r="AP170" s="9">
        <v>1</v>
      </c>
      <c r="AQ170" s="10" t="s">
        <v>96</v>
      </c>
      <c r="AR170" s="10" t="s">
        <v>53</v>
      </c>
      <c r="AS170" s="8"/>
      <c r="AT170" s="10" t="s">
        <v>54</v>
      </c>
      <c r="AU170" s="10" t="s">
        <v>51</v>
      </c>
      <c r="AV170" s="10" t="s">
        <v>97</v>
      </c>
      <c r="AW170" s="8"/>
    </row>
    <row r="171" spans="1:49" x14ac:dyDescent="0.15">
      <c r="A171" s="11" t="s">
        <v>81</v>
      </c>
      <c r="B171" s="12" t="s">
        <v>67</v>
      </c>
      <c r="C171" s="10" t="s">
        <v>62</v>
      </c>
      <c r="D171" s="10" t="s">
        <v>63</v>
      </c>
      <c r="E171" s="9">
        <v>50</v>
      </c>
      <c r="F171" s="9">
        <v>50</v>
      </c>
      <c r="G171" s="9">
        <v>1</v>
      </c>
      <c r="H171" s="10" t="s">
        <v>63</v>
      </c>
      <c r="I171" s="9">
        <v>1</v>
      </c>
      <c r="J171" s="9">
        <v>0.40151120800874202</v>
      </c>
      <c r="K171" s="10" t="s">
        <v>51</v>
      </c>
      <c r="L171" s="9">
        <v>1</v>
      </c>
      <c r="M171" s="9">
        <v>50</v>
      </c>
      <c r="N171" s="9">
        <v>50</v>
      </c>
      <c r="O171" s="9">
        <v>45</v>
      </c>
      <c r="P171" s="9">
        <v>69.644473333013593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9">
        <v>69.635017208012897</v>
      </c>
      <c r="AC171" s="9">
        <v>69.644473333013593</v>
      </c>
      <c r="AD171" s="9">
        <v>70.131683541010702</v>
      </c>
      <c r="AE171" s="9">
        <v>70.131683541010702</v>
      </c>
      <c r="AF171" s="9">
        <v>70.131683541010702</v>
      </c>
      <c r="AG171" s="9">
        <v>70.541412666003495</v>
      </c>
      <c r="AH171" s="10" t="s">
        <v>63</v>
      </c>
      <c r="AI171" s="9">
        <v>1</v>
      </c>
      <c r="AJ171" s="9">
        <v>0.40151120800874202</v>
      </c>
      <c r="AK171" s="10" t="s">
        <v>51</v>
      </c>
      <c r="AL171" s="8"/>
      <c r="AM171" s="8"/>
      <c r="AN171" s="8"/>
      <c r="AO171" s="9">
        <v>1</v>
      </c>
      <c r="AP171" s="9">
        <v>1</v>
      </c>
      <c r="AQ171" s="10" t="s">
        <v>96</v>
      </c>
      <c r="AR171" s="10" t="s">
        <v>53</v>
      </c>
      <c r="AS171" s="8"/>
      <c r="AT171" s="10" t="s">
        <v>54</v>
      </c>
      <c r="AU171" s="10" t="s">
        <v>51</v>
      </c>
      <c r="AV171" s="10" t="s">
        <v>97</v>
      </c>
      <c r="AW171" s="8"/>
    </row>
    <row r="172" spans="1:49" x14ac:dyDescent="0.15">
      <c r="A172" s="11" t="s">
        <v>86</v>
      </c>
      <c r="B172" s="12" t="s">
        <v>67</v>
      </c>
      <c r="C172" s="10" t="s">
        <v>62</v>
      </c>
      <c r="D172" s="10" t="s">
        <v>63</v>
      </c>
      <c r="E172" s="9">
        <v>52</v>
      </c>
      <c r="F172" s="9">
        <v>52</v>
      </c>
      <c r="G172" s="9">
        <v>0</v>
      </c>
      <c r="H172" s="10" t="s">
        <v>63</v>
      </c>
      <c r="I172" s="9">
        <v>1</v>
      </c>
      <c r="J172" s="9">
        <v>0.39444725000066699</v>
      </c>
      <c r="K172" s="10" t="s">
        <v>51</v>
      </c>
      <c r="L172" s="9">
        <v>0</v>
      </c>
      <c r="M172" s="9">
        <v>52</v>
      </c>
      <c r="N172" s="9">
        <v>52</v>
      </c>
      <c r="O172" s="9">
        <v>35</v>
      </c>
      <c r="P172" s="9">
        <v>71.455528416001499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9">
        <v>71.446647500008098</v>
      </c>
      <c r="AC172" s="9">
        <v>71.455528416001499</v>
      </c>
      <c r="AD172" s="9">
        <v>71.939748958000607</v>
      </c>
      <c r="AE172" s="9">
        <v>71.939748958000607</v>
      </c>
      <c r="AF172" s="9">
        <v>71.939748958000607</v>
      </c>
      <c r="AG172" s="9">
        <v>72.341446333011902</v>
      </c>
      <c r="AH172" s="10" t="s">
        <v>63</v>
      </c>
      <c r="AI172" s="9">
        <v>1</v>
      </c>
      <c r="AJ172" s="9">
        <v>0.39444725000066699</v>
      </c>
      <c r="AK172" s="10" t="s">
        <v>51</v>
      </c>
      <c r="AL172" s="8"/>
      <c r="AM172" s="8"/>
      <c r="AN172" s="8"/>
      <c r="AO172" s="9">
        <v>1</v>
      </c>
      <c r="AP172" s="9">
        <v>1</v>
      </c>
      <c r="AQ172" s="10" t="s">
        <v>96</v>
      </c>
      <c r="AR172" s="10" t="s">
        <v>53</v>
      </c>
      <c r="AS172" s="8"/>
      <c r="AT172" s="10" t="s">
        <v>54</v>
      </c>
      <c r="AU172" s="10" t="s">
        <v>51</v>
      </c>
      <c r="AV172" s="10" t="s">
        <v>97</v>
      </c>
      <c r="AW172" s="8"/>
    </row>
    <row r="173" spans="1:49" x14ac:dyDescent="0.15">
      <c r="A173" s="11" t="s">
        <v>81</v>
      </c>
      <c r="B173" s="12" t="s">
        <v>67</v>
      </c>
      <c r="C173" s="10" t="s">
        <v>62</v>
      </c>
      <c r="D173" s="10" t="s">
        <v>63</v>
      </c>
      <c r="E173" s="9">
        <v>54</v>
      </c>
      <c r="F173" s="9">
        <v>54</v>
      </c>
      <c r="G173" s="9">
        <v>2</v>
      </c>
      <c r="H173" s="10" t="s">
        <v>63</v>
      </c>
      <c r="I173" s="9">
        <v>1</v>
      </c>
      <c r="J173" s="9">
        <v>0.36325262399623198</v>
      </c>
      <c r="K173" s="10" t="s">
        <v>51</v>
      </c>
      <c r="L173" s="9">
        <v>2</v>
      </c>
      <c r="M173" s="9">
        <v>54</v>
      </c>
      <c r="N173" s="9">
        <v>54</v>
      </c>
      <c r="O173" s="9">
        <v>45</v>
      </c>
      <c r="P173" s="9">
        <v>73.244969250008594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9">
        <v>73.235257874999704</v>
      </c>
      <c r="AC173" s="9">
        <v>73.244969250008594</v>
      </c>
      <c r="AD173" s="9">
        <v>73.732022791009499</v>
      </c>
      <c r="AE173" s="9">
        <v>73.732022791009499</v>
      </c>
      <c r="AF173" s="9">
        <v>73.732022791009499</v>
      </c>
      <c r="AG173" s="9">
        <v>74.097628540999693</v>
      </c>
      <c r="AH173" s="10" t="s">
        <v>63</v>
      </c>
      <c r="AI173" s="9">
        <v>1</v>
      </c>
      <c r="AJ173" s="9">
        <v>0.36325262399623198</v>
      </c>
      <c r="AK173" s="10" t="s">
        <v>51</v>
      </c>
      <c r="AL173" s="8"/>
      <c r="AM173" s="8"/>
      <c r="AN173" s="8"/>
      <c r="AO173" s="9">
        <v>1</v>
      </c>
      <c r="AP173" s="9">
        <v>1</v>
      </c>
      <c r="AQ173" s="10" t="s">
        <v>96</v>
      </c>
      <c r="AR173" s="10" t="s">
        <v>53</v>
      </c>
      <c r="AS173" s="8"/>
      <c r="AT173" s="10" t="s">
        <v>54</v>
      </c>
      <c r="AU173" s="10" t="s">
        <v>51</v>
      </c>
      <c r="AV173" s="10" t="s">
        <v>97</v>
      </c>
      <c r="AW173" s="8"/>
    </row>
    <row r="174" spans="1:49" x14ac:dyDescent="0.15">
      <c r="A174" s="11" t="s">
        <v>80</v>
      </c>
      <c r="B174" s="12" t="s">
        <v>67</v>
      </c>
      <c r="C174" s="10" t="s">
        <v>58</v>
      </c>
      <c r="D174" s="10" t="s">
        <v>59</v>
      </c>
      <c r="E174" s="9">
        <v>57</v>
      </c>
      <c r="F174" s="9">
        <v>57</v>
      </c>
      <c r="G174" s="9">
        <v>1</v>
      </c>
      <c r="H174" s="10" t="s">
        <v>59</v>
      </c>
      <c r="I174" s="9">
        <v>1</v>
      </c>
      <c r="J174" s="9">
        <v>0.58594029099913303</v>
      </c>
      <c r="K174" s="10" t="s">
        <v>51</v>
      </c>
      <c r="L174" s="9">
        <v>1</v>
      </c>
      <c r="M174" s="9">
        <v>57</v>
      </c>
      <c r="N174" s="9">
        <v>57</v>
      </c>
      <c r="O174" s="9">
        <v>32</v>
      </c>
      <c r="P174" s="9">
        <v>75.971887208012106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9">
        <v>75.962898041005303</v>
      </c>
      <c r="AC174" s="9">
        <v>75.971887208012106</v>
      </c>
      <c r="AD174" s="9">
        <v>76.4494252500008</v>
      </c>
      <c r="AE174" s="9">
        <v>76.4494252500008</v>
      </c>
      <c r="AF174" s="9">
        <v>76.4494252500008</v>
      </c>
      <c r="AG174" s="9">
        <v>77.041462875000406</v>
      </c>
      <c r="AH174" s="10" t="s">
        <v>59</v>
      </c>
      <c r="AI174" s="9">
        <v>1</v>
      </c>
      <c r="AJ174" s="9">
        <v>0.58594029099913303</v>
      </c>
      <c r="AK174" s="10" t="s">
        <v>51</v>
      </c>
      <c r="AL174" s="8"/>
      <c r="AM174" s="8"/>
      <c r="AN174" s="8"/>
      <c r="AO174" s="9">
        <v>1</v>
      </c>
      <c r="AP174" s="9">
        <v>1</v>
      </c>
      <c r="AQ174" s="10" t="s">
        <v>96</v>
      </c>
      <c r="AR174" s="10" t="s">
        <v>53</v>
      </c>
      <c r="AS174" s="8"/>
      <c r="AT174" s="10" t="s">
        <v>54</v>
      </c>
      <c r="AU174" s="10" t="s">
        <v>51</v>
      </c>
      <c r="AV174" s="10" t="s">
        <v>97</v>
      </c>
      <c r="AW174" s="8"/>
    </row>
    <row r="175" spans="1:49" x14ac:dyDescent="0.15">
      <c r="A175" s="11" t="s">
        <v>81</v>
      </c>
      <c r="B175" s="12" t="s">
        <v>67</v>
      </c>
      <c r="C175" s="10" t="s">
        <v>58</v>
      </c>
      <c r="D175" s="10" t="s">
        <v>59</v>
      </c>
      <c r="E175" s="9">
        <v>59</v>
      </c>
      <c r="F175" s="9">
        <v>59</v>
      </c>
      <c r="G175" s="9">
        <v>0</v>
      </c>
      <c r="H175" s="10" t="s">
        <v>59</v>
      </c>
      <c r="I175" s="9">
        <v>1</v>
      </c>
      <c r="J175" s="9">
        <v>0.42896937500336202</v>
      </c>
      <c r="K175" s="10" t="s">
        <v>51</v>
      </c>
      <c r="L175" s="9">
        <v>0</v>
      </c>
      <c r="M175" s="9">
        <v>59</v>
      </c>
      <c r="N175" s="9">
        <v>59</v>
      </c>
      <c r="O175" s="9">
        <v>44</v>
      </c>
      <c r="P175" s="9">
        <v>78.171850666010897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9">
        <v>78.162881250013001</v>
      </c>
      <c r="AC175" s="9">
        <v>78.171850666010897</v>
      </c>
      <c r="AD175" s="9">
        <v>78.656401791013195</v>
      </c>
      <c r="AE175" s="9">
        <v>78.656401791013195</v>
      </c>
      <c r="AF175" s="9">
        <v>78.656401791013195</v>
      </c>
      <c r="AG175" s="9">
        <v>79.091718083000202</v>
      </c>
      <c r="AH175" s="10" t="s">
        <v>59</v>
      </c>
      <c r="AI175" s="9">
        <v>1</v>
      </c>
      <c r="AJ175" s="9">
        <v>0.42896937500336202</v>
      </c>
      <c r="AK175" s="10" t="s">
        <v>51</v>
      </c>
      <c r="AL175" s="8"/>
      <c r="AM175" s="8"/>
      <c r="AN175" s="8"/>
      <c r="AO175" s="9">
        <v>1</v>
      </c>
      <c r="AP175" s="9">
        <v>1</v>
      </c>
      <c r="AQ175" s="10" t="s">
        <v>96</v>
      </c>
      <c r="AR175" s="10" t="s">
        <v>53</v>
      </c>
      <c r="AS175" s="8"/>
      <c r="AT175" s="10" t="s">
        <v>54</v>
      </c>
      <c r="AU175" s="10" t="s">
        <v>51</v>
      </c>
      <c r="AV175" s="10" t="s">
        <v>97</v>
      </c>
      <c r="AW175" s="8"/>
    </row>
    <row r="176" spans="1:49" x14ac:dyDescent="0.15">
      <c r="A176" s="11" t="s">
        <v>80</v>
      </c>
      <c r="B176" s="12" t="s">
        <v>67</v>
      </c>
      <c r="C176" s="10" t="s">
        <v>58</v>
      </c>
      <c r="D176" s="10" t="s">
        <v>59</v>
      </c>
      <c r="E176" s="9">
        <v>63</v>
      </c>
      <c r="F176" s="9">
        <v>63</v>
      </c>
      <c r="G176" s="9">
        <v>2</v>
      </c>
      <c r="H176" s="10" t="s">
        <v>59</v>
      </c>
      <c r="I176" s="9">
        <v>1</v>
      </c>
      <c r="J176" s="9">
        <v>0.55720299899985604</v>
      </c>
      <c r="K176" s="10" t="s">
        <v>51</v>
      </c>
      <c r="L176" s="9">
        <v>2</v>
      </c>
      <c r="M176" s="9">
        <v>63</v>
      </c>
      <c r="N176" s="9">
        <v>63</v>
      </c>
      <c r="O176" s="9">
        <v>32</v>
      </c>
      <c r="P176" s="9">
        <v>82.212506083000306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9">
        <v>82.204127875011196</v>
      </c>
      <c r="AC176" s="9">
        <v>82.212506083000306</v>
      </c>
      <c r="AD176" s="9">
        <v>82.699250583013097</v>
      </c>
      <c r="AE176" s="9">
        <v>82.699250583013097</v>
      </c>
      <c r="AF176" s="9">
        <v>82.699250583013097</v>
      </c>
      <c r="AG176" s="9">
        <v>83.258838375011706</v>
      </c>
      <c r="AH176" s="10" t="s">
        <v>59</v>
      </c>
      <c r="AI176" s="9">
        <v>1</v>
      </c>
      <c r="AJ176" s="9">
        <v>0.55720299899985604</v>
      </c>
      <c r="AK176" s="10" t="s">
        <v>51</v>
      </c>
      <c r="AL176" s="8"/>
      <c r="AM176" s="8"/>
      <c r="AN176" s="8"/>
      <c r="AO176" s="9">
        <v>1</v>
      </c>
      <c r="AP176" s="9">
        <v>1</v>
      </c>
      <c r="AQ176" s="10" t="s">
        <v>96</v>
      </c>
      <c r="AR176" s="10" t="s">
        <v>53</v>
      </c>
      <c r="AS176" s="8"/>
      <c r="AT176" s="10" t="s">
        <v>54</v>
      </c>
      <c r="AU176" s="10" t="s">
        <v>51</v>
      </c>
      <c r="AV176" s="10" t="s">
        <v>97</v>
      </c>
      <c r="AW176" s="8"/>
    </row>
    <row r="177" spans="1:49" x14ac:dyDescent="0.15">
      <c r="A177" s="11" t="s">
        <v>80</v>
      </c>
      <c r="B177" s="12" t="s">
        <v>67</v>
      </c>
      <c r="C177" s="10" t="s">
        <v>62</v>
      </c>
      <c r="D177" s="10" t="s">
        <v>63</v>
      </c>
      <c r="E177" s="9">
        <v>69</v>
      </c>
      <c r="F177" s="9">
        <v>69</v>
      </c>
      <c r="G177" s="9">
        <v>2</v>
      </c>
      <c r="H177" s="10" t="s">
        <v>63</v>
      </c>
      <c r="I177" s="9">
        <v>1</v>
      </c>
      <c r="J177" s="9">
        <v>0.64104041599785</v>
      </c>
      <c r="K177" s="10" t="s">
        <v>51</v>
      </c>
      <c r="L177" s="9">
        <v>2</v>
      </c>
      <c r="M177" s="9">
        <v>69</v>
      </c>
      <c r="N177" s="9">
        <v>69</v>
      </c>
      <c r="O177" s="9">
        <v>33</v>
      </c>
      <c r="P177" s="9">
        <v>87.939127250007004</v>
      </c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9">
        <v>87.930214958003504</v>
      </c>
      <c r="AC177" s="9">
        <v>87.939127250007004</v>
      </c>
      <c r="AD177" s="9">
        <v>88.423327500000596</v>
      </c>
      <c r="AE177" s="9">
        <v>88.423327500000596</v>
      </c>
      <c r="AF177" s="9">
        <v>88.423327500000596</v>
      </c>
      <c r="AG177" s="9">
        <v>89.0752949580055</v>
      </c>
      <c r="AH177" s="10" t="s">
        <v>63</v>
      </c>
      <c r="AI177" s="9">
        <v>1</v>
      </c>
      <c r="AJ177" s="9">
        <v>0.64104041599785</v>
      </c>
      <c r="AK177" s="10" t="s">
        <v>51</v>
      </c>
      <c r="AL177" s="8"/>
      <c r="AM177" s="8"/>
      <c r="AN177" s="8"/>
      <c r="AO177" s="9">
        <v>1</v>
      </c>
      <c r="AP177" s="9">
        <v>1</v>
      </c>
      <c r="AQ177" s="10" t="s">
        <v>96</v>
      </c>
      <c r="AR177" s="10" t="s">
        <v>53</v>
      </c>
      <c r="AS177" s="8"/>
      <c r="AT177" s="10" t="s">
        <v>54</v>
      </c>
      <c r="AU177" s="10" t="s">
        <v>51</v>
      </c>
      <c r="AV177" s="10" t="s">
        <v>97</v>
      </c>
      <c r="AW177" s="8"/>
    </row>
    <row r="178" spans="1:49" x14ac:dyDescent="0.15">
      <c r="A178" s="11" t="s">
        <v>69</v>
      </c>
      <c r="B178" s="12" t="s">
        <v>67</v>
      </c>
      <c r="C178" s="10" t="s">
        <v>58</v>
      </c>
      <c r="D178" s="10" t="s">
        <v>59</v>
      </c>
      <c r="E178" s="9">
        <v>70</v>
      </c>
      <c r="F178" s="9">
        <v>70</v>
      </c>
      <c r="G178" s="9">
        <v>0</v>
      </c>
      <c r="H178" s="10" t="s">
        <v>59</v>
      </c>
      <c r="I178" s="9">
        <v>1</v>
      </c>
      <c r="J178" s="9">
        <v>0.51397862500743896</v>
      </c>
      <c r="K178" s="10" t="s">
        <v>51</v>
      </c>
      <c r="L178" s="9">
        <v>0</v>
      </c>
      <c r="M178" s="9">
        <v>70</v>
      </c>
      <c r="N178" s="9">
        <v>70</v>
      </c>
      <c r="O178" s="9">
        <v>38</v>
      </c>
      <c r="P178" s="9">
        <v>89.088817583004101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9">
        <v>89.079986333003006</v>
      </c>
      <c r="AC178" s="9">
        <v>89.088817583004101</v>
      </c>
      <c r="AD178" s="9">
        <v>89.573562666002502</v>
      </c>
      <c r="AE178" s="9">
        <v>89.573562666002502</v>
      </c>
      <c r="AF178" s="9">
        <v>89.573562666002502</v>
      </c>
      <c r="AG178" s="9">
        <v>90.092190333001795</v>
      </c>
      <c r="AH178" s="10" t="s">
        <v>59</v>
      </c>
      <c r="AI178" s="9">
        <v>1</v>
      </c>
      <c r="AJ178" s="9">
        <v>0.51397862500743896</v>
      </c>
      <c r="AK178" s="10" t="s">
        <v>51</v>
      </c>
      <c r="AL178" s="8"/>
      <c r="AM178" s="8"/>
      <c r="AN178" s="8"/>
      <c r="AO178" s="9">
        <v>1</v>
      </c>
      <c r="AP178" s="9">
        <v>1</v>
      </c>
      <c r="AQ178" s="10" t="s">
        <v>96</v>
      </c>
      <c r="AR178" s="10" t="s">
        <v>53</v>
      </c>
      <c r="AS178" s="8"/>
      <c r="AT178" s="10" t="s">
        <v>54</v>
      </c>
      <c r="AU178" s="10" t="s">
        <v>51</v>
      </c>
      <c r="AV178" s="10" t="s">
        <v>97</v>
      </c>
      <c r="AW178" s="8"/>
    </row>
    <row r="179" spans="1:49" x14ac:dyDescent="0.15">
      <c r="A179" s="11" t="s">
        <v>86</v>
      </c>
      <c r="B179" s="12" t="s">
        <v>67</v>
      </c>
      <c r="C179" s="10" t="s">
        <v>62</v>
      </c>
      <c r="D179" s="10" t="s">
        <v>63</v>
      </c>
      <c r="E179" s="9">
        <v>75</v>
      </c>
      <c r="F179" s="9">
        <v>75</v>
      </c>
      <c r="G179" s="9">
        <v>1</v>
      </c>
      <c r="H179" s="10" t="s">
        <v>63</v>
      </c>
      <c r="I179" s="9">
        <v>1</v>
      </c>
      <c r="J179" s="9">
        <v>0.48696320799353998</v>
      </c>
      <c r="K179" s="10" t="s">
        <v>51</v>
      </c>
      <c r="L179" s="9">
        <v>1</v>
      </c>
      <c r="M179" s="9">
        <v>75</v>
      </c>
      <c r="N179" s="9">
        <v>75</v>
      </c>
      <c r="O179" s="9">
        <v>35</v>
      </c>
      <c r="P179" s="9">
        <v>94.939140416012407</v>
      </c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9">
        <v>94.930189666003599</v>
      </c>
      <c r="AC179" s="9">
        <v>94.939140416012407</v>
      </c>
      <c r="AD179" s="9">
        <v>95.423551958010705</v>
      </c>
      <c r="AE179" s="9">
        <v>95.423551958010705</v>
      </c>
      <c r="AF179" s="9">
        <v>95.423551958010705</v>
      </c>
      <c r="AG179" s="9">
        <v>95.915361125007607</v>
      </c>
      <c r="AH179" s="10" t="s">
        <v>63</v>
      </c>
      <c r="AI179" s="9">
        <v>1</v>
      </c>
      <c r="AJ179" s="9">
        <v>0.48696320799353998</v>
      </c>
      <c r="AK179" s="10" t="s">
        <v>51</v>
      </c>
      <c r="AL179" s="8"/>
      <c r="AM179" s="8"/>
      <c r="AN179" s="8"/>
      <c r="AO179" s="9">
        <v>1</v>
      </c>
      <c r="AP179" s="9">
        <v>1</v>
      </c>
      <c r="AQ179" s="10" t="s">
        <v>96</v>
      </c>
      <c r="AR179" s="10" t="s">
        <v>53</v>
      </c>
      <c r="AS179" s="8"/>
      <c r="AT179" s="10" t="s">
        <v>54</v>
      </c>
      <c r="AU179" s="10" t="s">
        <v>51</v>
      </c>
      <c r="AV179" s="10" t="s">
        <v>97</v>
      </c>
      <c r="AW179" s="8"/>
    </row>
    <row r="180" spans="1:49" x14ac:dyDescent="0.15">
      <c r="A180" s="11" t="s">
        <v>77</v>
      </c>
      <c r="B180" s="12" t="s">
        <v>67</v>
      </c>
      <c r="C180" s="10" t="s">
        <v>58</v>
      </c>
      <c r="D180" s="10" t="s">
        <v>59</v>
      </c>
      <c r="E180" s="9">
        <v>78</v>
      </c>
      <c r="F180" s="9">
        <v>78</v>
      </c>
      <c r="G180" s="9">
        <v>0</v>
      </c>
      <c r="H180" s="10" t="s">
        <v>59</v>
      </c>
      <c r="I180" s="9">
        <v>1</v>
      </c>
      <c r="J180" s="9">
        <v>0.53480741700332202</v>
      </c>
      <c r="K180" s="10" t="s">
        <v>51</v>
      </c>
      <c r="L180" s="9">
        <v>0</v>
      </c>
      <c r="M180" s="9">
        <v>78</v>
      </c>
      <c r="N180" s="9">
        <v>78</v>
      </c>
      <c r="O180" s="9">
        <v>40</v>
      </c>
      <c r="P180" s="9">
        <v>97.795840083010305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9">
        <v>97.786511708007296</v>
      </c>
      <c r="AC180" s="9">
        <v>97.795840083010305</v>
      </c>
      <c r="AD180" s="9">
        <v>98.282929958004402</v>
      </c>
      <c r="AE180" s="9">
        <v>98.282929958004402</v>
      </c>
      <c r="AF180" s="9">
        <v>98.282929958004402</v>
      </c>
      <c r="AG180" s="9">
        <v>98.825815833013607</v>
      </c>
      <c r="AH180" s="10" t="s">
        <v>59</v>
      </c>
      <c r="AI180" s="9">
        <v>1</v>
      </c>
      <c r="AJ180" s="9">
        <v>0.53480741700332202</v>
      </c>
      <c r="AK180" s="10" t="s">
        <v>51</v>
      </c>
      <c r="AL180" s="8"/>
      <c r="AM180" s="8"/>
      <c r="AN180" s="8"/>
      <c r="AO180" s="9">
        <v>1</v>
      </c>
      <c r="AP180" s="9">
        <v>1</v>
      </c>
      <c r="AQ180" s="10" t="s">
        <v>96</v>
      </c>
      <c r="AR180" s="10" t="s">
        <v>53</v>
      </c>
      <c r="AS180" s="8"/>
      <c r="AT180" s="10" t="s">
        <v>54</v>
      </c>
      <c r="AU180" s="10" t="s">
        <v>51</v>
      </c>
      <c r="AV180" s="10" t="s">
        <v>97</v>
      </c>
      <c r="AW180" s="8"/>
    </row>
    <row r="181" spans="1:49" x14ac:dyDescent="0.15">
      <c r="A181" s="11" t="s">
        <v>76</v>
      </c>
      <c r="B181" s="12" t="s">
        <v>67</v>
      </c>
      <c r="C181" s="10" t="s">
        <v>58</v>
      </c>
      <c r="D181" s="10" t="s">
        <v>59</v>
      </c>
      <c r="E181" s="9">
        <v>83</v>
      </c>
      <c r="F181" s="9">
        <v>83</v>
      </c>
      <c r="G181" s="9">
        <v>0</v>
      </c>
      <c r="H181" s="10" t="s">
        <v>59</v>
      </c>
      <c r="I181" s="9">
        <v>1</v>
      </c>
      <c r="J181" s="9">
        <v>0.47853758299606902</v>
      </c>
      <c r="K181" s="10" t="s">
        <v>51</v>
      </c>
      <c r="L181" s="9">
        <v>0</v>
      </c>
      <c r="M181" s="9">
        <v>83</v>
      </c>
      <c r="N181" s="9">
        <v>83</v>
      </c>
      <c r="O181" s="9">
        <v>42</v>
      </c>
      <c r="P181" s="9">
        <v>102.72296712501</v>
      </c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9">
        <v>102.714041416009</v>
      </c>
      <c r="AC181" s="9">
        <v>102.72296712501</v>
      </c>
      <c r="AD181" s="9">
        <v>103.20731550001101</v>
      </c>
      <c r="AE181" s="9">
        <v>103.20731550001101</v>
      </c>
      <c r="AF181" s="9">
        <v>103.20731550001101</v>
      </c>
      <c r="AG181" s="9">
        <v>103.69301766600999</v>
      </c>
      <c r="AH181" s="10" t="s">
        <v>59</v>
      </c>
      <c r="AI181" s="9">
        <v>1</v>
      </c>
      <c r="AJ181" s="9">
        <v>0.47853758299606902</v>
      </c>
      <c r="AK181" s="10" t="s">
        <v>51</v>
      </c>
      <c r="AL181" s="8"/>
      <c r="AM181" s="8"/>
      <c r="AN181" s="8"/>
      <c r="AO181" s="9">
        <v>1</v>
      </c>
      <c r="AP181" s="9">
        <v>1</v>
      </c>
      <c r="AQ181" s="10" t="s">
        <v>96</v>
      </c>
      <c r="AR181" s="10" t="s">
        <v>53</v>
      </c>
      <c r="AS181" s="8"/>
      <c r="AT181" s="10" t="s">
        <v>54</v>
      </c>
      <c r="AU181" s="10" t="s">
        <v>51</v>
      </c>
      <c r="AV181" s="10" t="s">
        <v>97</v>
      </c>
      <c r="AW181" s="8"/>
    </row>
    <row r="182" spans="1:49" x14ac:dyDescent="0.15">
      <c r="A182" s="11" t="s">
        <v>77</v>
      </c>
      <c r="B182" s="12" t="s">
        <v>67</v>
      </c>
      <c r="C182" s="10" t="s">
        <v>62</v>
      </c>
      <c r="D182" s="10" t="s">
        <v>63</v>
      </c>
      <c r="E182" s="9">
        <v>86</v>
      </c>
      <c r="F182" s="9">
        <v>86</v>
      </c>
      <c r="G182" s="9">
        <v>1</v>
      </c>
      <c r="H182" s="10" t="s">
        <v>63</v>
      </c>
      <c r="I182" s="9">
        <v>1</v>
      </c>
      <c r="J182" s="9">
        <v>0.39481770800193799</v>
      </c>
      <c r="K182" s="10" t="s">
        <v>51</v>
      </c>
      <c r="L182" s="9">
        <v>1</v>
      </c>
      <c r="M182" s="9">
        <v>86</v>
      </c>
      <c r="N182" s="9">
        <v>86</v>
      </c>
      <c r="O182" s="9">
        <v>41</v>
      </c>
      <c r="P182" s="9">
        <v>105.94706683300301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9">
        <v>105.93751420801</v>
      </c>
      <c r="AC182" s="9">
        <v>105.94706683300301</v>
      </c>
      <c r="AD182" s="9">
        <v>106.433958791007</v>
      </c>
      <c r="AE182" s="9">
        <v>106.433958791007</v>
      </c>
      <c r="AF182" s="9">
        <v>106.433958791007</v>
      </c>
      <c r="AG182" s="9">
        <v>106.832275666005</v>
      </c>
      <c r="AH182" s="10" t="s">
        <v>63</v>
      </c>
      <c r="AI182" s="9">
        <v>1</v>
      </c>
      <c r="AJ182" s="9">
        <v>0.39481770800193799</v>
      </c>
      <c r="AK182" s="10" t="s">
        <v>51</v>
      </c>
      <c r="AL182" s="8"/>
      <c r="AM182" s="8"/>
      <c r="AN182" s="8"/>
      <c r="AO182" s="9">
        <v>1</v>
      </c>
      <c r="AP182" s="9">
        <v>1</v>
      </c>
      <c r="AQ182" s="10" t="s">
        <v>96</v>
      </c>
      <c r="AR182" s="10" t="s">
        <v>53</v>
      </c>
      <c r="AS182" s="8"/>
      <c r="AT182" s="10" t="s">
        <v>54</v>
      </c>
      <c r="AU182" s="10" t="s">
        <v>51</v>
      </c>
      <c r="AV182" s="10" t="s">
        <v>97</v>
      </c>
      <c r="AW182" s="8"/>
    </row>
    <row r="183" spans="1:49" x14ac:dyDescent="0.15">
      <c r="A183" s="11" t="s">
        <v>77</v>
      </c>
      <c r="B183" s="12" t="s">
        <v>67</v>
      </c>
      <c r="C183" s="10" t="s">
        <v>62</v>
      </c>
      <c r="D183" s="10" t="s">
        <v>63</v>
      </c>
      <c r="E183" s="9">
        <v>87</v>
      </c>
      <c r="F183" s="9">
        <v>87</v>
      </c>
      <c r="G183" s="9">
        <v>2</v>
      </c>
      <c r="H183" s="10" t="s">
        <v>63</v>
      </c>
      <c r="I183" s="9">
        <v>1</v>
      </c>
      <c r="J183" s="9">
        <v>0.40810241700091898</v>
      </c>
      <c r="K183" s="10" t="s">
        <v>51</v>
      </c>
      <c r="L183" s="9">
        <v>2</v>
      </c>
      <c r="M183" s="9">
        <v>87</v>
      </c>
      <c r="N183" s="9">
        <v>87</v>
      </c>
      <c r="O183" s="9">
        <v>41</v>
      </c>
      <c r="P183" s="9">
        <v>106.843465500002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9">
        <v>106.833249541</v>
      </c>
      <c r="AC183" s="9">
        <v>106.843465500002</v>
      </c>
      <c r="AD183" s="9">
        <v>107.332743166</v>
      </c>
      <c r="AE183" s="9">
        <v>107.332743166</v>
      </c>
      <c r="AF183" s="9">
        <v>107.332743166</v>
      </c>
      <c r="AG183" s="9">
        <v>107.74286054101</v>
      </c>
      <c r="AH183" s="10" t="s">
        <v>63</v>
      </c>
      <c r="AI183" s="9">
        <v>1</v>
      </c>
      <c r="AJ183" s="9">
        <v>0.40810241700091898</v>
      </c>
      <c r="AK183" s="10" t="s">
        <v>51</v>
      </c>
      <c r="AL183" s="8"/>
      <c r="AM183" s="8"/>
      <c r="AN183" s="8"/>
      <c r="AO183" s="9">
        <v>1</v>
      </c>
      <c r="AP183" s="9">
        <v>1</v>
      </c>
      <c r="AQ183" s="10" t="s">
        <v>96</v>
      </c>
      <c r="AR183" s="10" t="s">
        <v>53</v>
      </c>
      <c r="AS183" s="8"/>
      <c r="AT183" s="10" t="s">
        <v>54</v>
      </c>
      <c r="AU183" s="10" t="s">
        <v>51</v>
      </c>
      <c r="AV183" s="10" t="s">
        <v>97</v>
      </c>
      <c r="AW183" s="8"/>
    </row>
    <row r="184" spans="1:49" x14ac:dyDescent="0.15">
      <c r="A184" s="11" t="s">
        <v>69</v>
      </c>
      <c r="B184" s="12" t="s">
        <v>67</v>
      </c>
      <c r="C184" s="10" t="s">
        <v>62</v>
      </c>
      <c r="D184" s="10" t="s">
        <v>63</v>
      </c>
      <c r="E184" s="9">
        <v>89</v>
      </c>
      <c r="F184" s="9">
        <v>89</v>
      </c>
      <c r="G184" s="9">
        <v>2</v>
      </c>
      <c r="H184" s="10" t="s">
        <v>63</v>
      </c>
      <c r="I184" s="9">
        <v>1</v>
      </c>
      <c r="J184" s="9">
        <v>0.32901329098967802</v>
      </c>
      <c r="K184" s="10" t="s">
        <v>51</v>
      </c>
      <c r="L184" s="9">
        <v>2</v>
      </c>
      <c r="M184" s="9">
        <v>89</v>
      </c>
      <c r="N184" s="9">
        <v>89</v>
      </c>
      <c r="O184" s="9">
        <v>39</v>
      </c>
      <c r="P184" s="9">
        <v>108.60790100001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9">
        <v>108.598855291013</v>
      </c>
      <c r="AC184" s="9">
        <v>108.60790100001</v>
      </c>
      <c r="AD184" s="9">
        <v>109.090953708001</v>
      </c>
      <c r="AE184" s="9">
        <v>109.090953708001</v>
      </c>
      <c r="AF184" s="9">
        <v>109.090953708001</v>
      </c>
      <c r="AG184" s="9">
        <v>109.42602512500901</v>
      </c>
      <c r="AH184" s="10" t="s">
        <v>63</v>
      </c>
      <c r="AI184" s="9">
        <v>1</v>
      </c>
      <c r="AJ184" s="9">
        <v>0.32901329098967802</v>
      </c>
      <c r="AK184" s="10" t="s">
        <v>51</v>
      </c>
      <c r="AL184" s="8"/>
      <c r="AM184" s="8"/>
      <c r="AN184" s="8"/>
      <c r="AO184" s="9">
        <v>1</v>
      </c>
      <c r="AP184" s="9">
        <v>1</v>
      </c>
      <c r="AQ184" s="10" t="s">
        <v>96</v>
      </c>
      <c r="AR184" s="10" t="s">
        <v>53</v>
      </c>
      <c r="AS184" s="8"/>
      <c r="AT184" s="10" t="s">
        <v>54</v>
      </c>
      <c r="AU184" s="10" t="s">
        <v>51</v>
      </c>
      <c r="AV184" s="10" t="s">
        <v>97</v>
      </c>
      <c r="AW184" s="8"/>
    </row>
    <row r="185" spans="1:49" x14ac:dyDescent="0.15">
      <c r="A185" s="11" t="s">
        <v>76</v>
      </c>
      <c r="B185" s="12" t="s">
        <v>67</v>
      </c>
      <c r="C185" s="10" t="s">
        <v>58</v>
      </c>
      <c r="D185" s="10" t="s">
        <v>59</v>
      </c>
      <c r="E185" s="9">
        <v>90</v>
      </c>
      <c r="F185" s="9">
        <v>90</v>
      </c>
      <c r="G185" s="9">
        <v>1</v>
      </c>
      <c r="H185" s="10" t="s">
        <v>59</v>
      </c>
      <c r="I185" s="9">
        <v>1</v>
      </c>
      <c r="J185" s="9">
        <v>0.43295558300451398</v>
      </c>
      <c r="K185" s="10" t="s">
        <v>51</v>
      </c>
      <c r="L185" s="9">
        <v>1</v>
      </c>
      <c r="M185" s="9">
        <v>90</v>
      </c>
      <c r="N185" s="9">
        <v>90</v>
      </c>
      <c r="O185" s="9">
        <v>42</v>
      </c>
      <c r="P185" s="9">
        <v>109.439400125004</v>
      </c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9">
        <v>109.43059512501399</v>
      </c>
      <c r="AC185" s="9">
        <v>109.439400125004</v>
      </c>
      <c r="AD185" s="9">
        <v>109.92398254100399</v>
      </c>
      <c r="AE185" s="9">
        <v>109.92398254100399</v>
      </c>
      <c r="AF185" s="9">
        <v>109.92398254100399</v>
      </c>
      <c r="AG185" s="9">
        <v>110.359374291002</v>
      </c>
      <c r="AH185" s="10" t="s">
        <v>59</v>
      </c>
      <c r="AI185" s="9">
        <v>1</v>
      </c>
      <c r="AJ185" s="9">
        <v>0.43295558300451398</v>
      </c>
      <c r="AK185" s="10" t="s">
        <v>51</v>
      </c>
      <c r="AL185" s="8"/>
      <c r="AM185" s="8"/>
      <c r="AN185" s="8"/>
      <c r="AO185" s="9">
        <v>1</v>
      </c>
      <c r="AP185" s="9">
        <v>1</v>
      </c>
      <c r="AQ185" s="10" t="s">
        <v>96</v>
      </c>
      <c r="AR185" s="10" t="s">
        <v>53</v>
      </c>
      <c r="AS185" s="8"/>
      <c r="AT185" s="10" t="s">
        <v>54</v>
      </c>
      <c r="AU185" s="10" t="s">
        <v>51</v>
      </c>
      <c r="AV185" s="10" t="s">
        <v>97</v>
      </c>
      <c r="AW185" s="8"/>
    </row>
    <row r="186" spans="1:49" x14ac:dyDescent="0.15">
      <c r="A186" s="11" t="s">
        <v>69</v>
      </c>
      <c r="B186" s="12" t="s">
        <v>67</v>
      </c>
      <c r="C186" s="10" t="s">
        <v>62</v>
      </c>
      <c r="D186" s="10" t="s">
        <v>63</v>
      </c>
      <c r="E186" s="9">
        <v>96</v>
      </c>
      <c r="F186" s="9">
        <v>96</v>
      </c>
      <c r="G186" s="9">
        <v>3</v>
      </c>
      <c r="H186" s="10" t="s">
        <v>63</v>
      </c>
      <c r="I186" s="9">
        <v>1</v>
      </c>
      <c r="J186" s="9">
        <v>0.47943616600241501</v>
      </c>
      <c r="K186" s="10" t="s">
        <v>51</v>
      </c>
      <c r="L186" s="9">
        <v>3</v>
      </c>
      <c r="M186" s="9">
        <v>96</v>
      </c>
      <c r="N186" s="9">
        <v>96</v>
      </c>
      <c r="O186" s="9">
        <v>39</v>
      </c>
      <c r="P186" s="9">
        <v>115.173694916011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9">
        <v>115.164919125004</v>
      </c>
      <c r="AC186" s="9">
        <v>115.173694916011</v>
      </c>
      <c r="AD186" s="9">
        <v>115.657578208004</v>
      </c>
      <c r="AE186" s="9">
        <v>115.657578208004</v>
      </c>
      <c r="AF186" s="9">
        <v>115.657578208004</v>
      </c>
      <c r="AG186" s="9">
        <v>116.14238100001199</v>
      </c>
      <c r="AH186" s="10" t="s">
        <v>63</v>
      </c>
      <c r="AI186" s="9">
        <v>1</v>
      </c>
      <c r="AJ186" s="9">
        <v>0.47943616600241501</v>
      </c>
      <c r="AK186" s="10" t="s">
        <v>51</v>
      </c>
      <c r="AL186" s="8"/>
      <c r="AM186" s="8"/>
      <c r="AN186" s="8"/>
      <c r="AO186" s="9">
        <v>1</v>
      </c>
      <c r="AP186" s="9">
        <v>1</v>
      </c>
      <c r="AQ186" s="10" t="s">
        <v>96</v>
      </c>
      <c r="AR186" s="10" t="s">
        <v>53</v>
      </c>
      <c r="AS186" s="8"/>
      <c r="AT186" s="10" t="s">
        <v>54</v>
      </c>
      <c r="AU186" s="10" t="s">
        <v>51</v>
      </c>
      <c r="AV186" s="10" t="s">
        <v>97</v>
      </c>
      <c r="AW186" s="8"/>
    </row>
    <row r="187" spans="1:49" x14ac:dyDescent="0.15">
      <c r="A187" s="11" t="s">
        <v>76</v>
      </c>
      <c r="B187" s="12" t="s">
        <v>67</v>
      </c>
      <c r="C187" s="10" t="s">
        <v>58</v>
      </c>
      <c r="D187" s="10" t="s">
        <v>59</v>
      </c>
      <c r="E187" s="9">
        <v>98</v>
      </c>
      <c r="F187" s="9">
        <v>98</v>
      </c>
      <c r="G187" s="9">
        <v>2</v>
      </c>
      <c r="H187" s="10" t="s">
        <v>63</v>
      </c>
      <c r="I187" s="9">
        <v>0</v>
      </c>
      <c r="J187" s="9">
        <v>0.32728866599791201</v>
      </c>
      <c r="K187" s="10" t="s">
        <v>51</v>
      </c>
      <c r="L187" s="9">
        <v>2</v>
      </c>
      <c r="M187" s="9">
        <v>98</v>
      </c>
      <c r="N187" s="9">
        <v>98</v>
      </c>
      <c r="O187" s="9">
        <v>42</v>
      </c>
      <c r="P187" s="9">
        <v>117.07289025001199</v>
      </c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9">
        <v>117.064114500012</v>
      </c>
      <c r="AC187" s="9">
        <v>117.07289025001199</v>
      </c>
      <c r="AD187" s="9">
        <v>117.55773875000899</v>
      </c>
      <c r="AE187" s="9">
        <v>117.55773875000899</v>
      </c>
      <c r="AF187" s="9">
        <v>117.55773875000899</v>
      </c>
      <c r="AG187" s="9">
        <v>117.893050583007</v>
      </c>
      <c r="AH187" s="10" t="s">
        <v>63</v>
      </c>
      <c r="AI187" s="9">
        <v>0</v>
      </c>
      <c r="AJ187" s="9">
        <v>0.32728866599791201</v>
      </c>
      <c r="AK187" s="10" t="s">
        <v>51</v>
      </c>
      <c r="AL187" s="8"/>
      <c r="AM187" s="8"/>
      <c r="AN187" s="8"/>
      <c r="AO187" s="9">
        <v>1</v>
      </c>
      <c r="AP187" s="9">
        <v>1</v>
      </c>
      <c r="AQ187" s="10" t="s">
        <v>96</v>
      </c>
      <c r="AR187" s="10" t="s">
        <v>53</v>
      </c>
      <c r="AS187" s="8"/>
      <c r="AT187" s="10" t="s">
        <v>54</v>
      </c>
      <c r="AU187" s="10" t="s">
        <v>51</v>
      </c>
      <c r="AV187" s="10" t="s">
        <v>97</v>
      </c>
      <c r="AW187" s="8"/>
    </row>
    <row r="188" spans="1:49" x14ac:dyDescent="0.15">
      <c r="A188" s="11" t="s">
        <v>69</v>
      </c>
      <c r="B188" s="12" t="s">
        <v>67</v>
      </c>
      <c r="C188" s="10" t="s">
        <v>58</v>
      </c>
      <c r="D188" s="10" t="s">
        <v>59</v>
      </c>
      <c r="E188" s="9">
        <v>99</v>
      </c>
      <c r="F188" s="9">
        <v>99</v>
      </c>
      <c r="G188" s="9">
        <v>1</v>
      </c>
      <c r="H188" s="10" t="s">
        <v>59</v>
      </c>
      <c r="I188" s="9">
        <v>1</v>
      </c>
      <c r="J188" s="9">
        <v>0.63501549999637097</v>
      </c>
      <c r="K188" s="10" t="s">
        <v>51</v>
      </c>
      <c r="L188" s="9">
        <v>1</v>
      </c>
      <c r="M188" s="9">
        <v>99</v>
      </c>
      <c r="N188" s="9">
        <v>99</v>
      </c>
      <c r="O188" s="9">
        <v>38</v>
      </c>
      <c r="P188" s="9">
        <v>117.907349541012</v>
      </c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9">
        <v>117.898480125004</v>
      </c>
      <c r="AC188" s="9">
        <v>117.907349541012</v>
      </c>
      <c r="AD188" s="9">
        <v>118.390961875004</v>
      </c>
      <c r="AE188" s="9">
        <v>118.390961875004</v>
      </c>
      <c r="AF188" s="9">
        <v>118.390961875004</v>
      </c>
      <c r="AG188" s="9">
        <v>119.033000125011</v>
      </c>
      <c r="AH188" s="10" t="s">
        <v>59</v>
      </c>
      <c r="AI188" s="9">
        <v>1</v>
      </c>
      <c r="AJ188" s="9">
        <v>0.63501549999637097</v>
      </c>
      <c r="AK188" s="10" t="s">
        <v>51</v>
      </c>
      <c r="AL188" s="8"/>
      <c r="AM188" s="8"/>
      <c r="AN188" s="8"/>
      <c r="AO188" s="9">
        <v>1</v>
      </c>
      <c r="AP188" s="9">
        <v>1</v>
      </c>
      <c r="AQ188" s="10" t="s">
        <v>96</v>
      </c>
      <c r="AR188" s="10" t="s">
        <v>53</v>
      </c>
      <c r="AS188" s="8"/>
      <c r="AT188" s="10" t="s">
        <v>54</v>
      </c>
      <c r="AU188" s="10" t="s">
        <v>51</v>
      </c>
      <c r="AV188" s="10" t="s">
        <v>97</v>
      </c>
      <c r="AW188" s="8"/>
    </row>
    <row r="189" spans="1:49" x14ac:dyDescent="0.15">
      <c r="A189" s="11" t="s">
        <v>66</v>
      </c>
      <c r="B189" s="12" t="s">
        <v>67</v>
      </c>
      <c r="C189" s="10" t="s">
        <v>62</v>
      </c>
      <c r="D189" s="10" t="s">
        <v>63</v>
      </c>
      <c r="E189" s="9">
        <v>104</v>
      </c>
      <c r="F189" s="9">
        <v>104</v>
      </c>
      <c r="G189" s="9">
        <v>0</v>
      </c>
      <c r="H189" s="10" t="s">
        <v>63</v>
      </c>
      <c r="I189" s="9">
        <v>1</v>
      </c>
      <c r="J189" s="9">
        <v>0.45010754099348599</v>
      </c>
      <c r="K189" s="10" t="s">
        <v>51</v>
      </c>
      <c r="L189" s="9">
        <v>0</v>
      </c>
      <c r="M189" s="9">
        <v>104</v>
      </c>
      <c r="N189" s="9">
        <v>104</v>
      </c>
      <c r="O189" s="9">
        <v>47</v>
      </c>
      <c r="P189" s="9">
        <v>122.925290250001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9">
        <v>122.916365250014</v>
      </c>
      <c r="AC189" s="9">
        <v>122.925290250001</v>
      </c>
      <c r="AD189" s="9">
        <v>123.408036458</v>
      </c>
      <c r="AE189" s="9">
        <v>123.408036458</v>
      </c>
      <c r="AF189" s="9">
        <v>123.408036458</v>
      </c>
      <c r="AG189" s="9">
        <v>123.860283208007</v>
      </c>
      <c r="AH189" s="10" t="s">
        <v>63</v>
      </c>
      <c r="AI189" s="9">
        <v>1</v>
      </c>
      <c r="AJ189" s="9">
        <v>0.45010754099348599</v>
      </c>
      <c r="AK189" s="10" t="s">
        <v>51</v>
      </c>
      <c r="AL189" s="8"/>
      <c r="AM189" s="8"/>
      <c r="AN189" s="8"/>
      <c r="AO189" s="9">
        <v>1</v>
      </c>
      <c r="AP189" s="9">
        <v>1</v>
      </c>
      <c r="AQ189" s="10" t="s">
        <v>96</v>
      </c>
      <c r="AR189" s="10" t="s">
        <v>53</v>
      </c>
      <c r="AS189" s="8"/>
      <c r="AT189" s="10" t="s">
        <v>54</v>
      </c>
      <c r="AU189" s="10" t="s">
        <v>51</v>
      </c>
      <c r="AV189" s="10" t="s">
        <v>97</v>
      </c>
      <c r="AW189" s="8"/>
    </row>
    <row r="190" spans="1:49" x14ac:dyDescent="0.15">
      <c r="A190" s="11" t="s">
        <v>76</v>
      </c>
      <c r="B190" s="12" t="s">
        <v>67</v>
      </c>
      <c r="C190" s="10" t="s">
        <v>58</v>
      </c>
      <c r="D190" s="10" t="s">
        <v>59</v>
      </c>
      <c r="E190" s="9">
        <v>106</v>
      </c>
      <c r="F190" s="9">
        <v>106</v>
      </c>
      <c r="G190" s="9">
        <v>3</v>
      </c>
      <c r="H190" s="10" t="s">
        <v>59</v>
      </c>
      <c r="I190" s="9">
        <v>1</v>
      </c>
      <c r="J190" s="9">
        <v>0.36808395799016602</v>
      </c>
      <c r="K190" s="10" t="s">
        <v>51</v>
      </c>
      <c r="L190" s="9">
        <v>3</v>
      </c>
      <c r="M190" s="9">
        <v>106</v>
      </c>
      <c r="N190" s="9">
        <v>106</v>
      </c>
      <c r="O190" s="9">
        <v>42</v>
      </c>
      <c r="P190" s="9">
        <v>124.77252487500699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9">
        <v>124.76388779100699</v>
      </c>
      <c r="AC190" s="9">
        <v>124.77252487500699</v>
      </c>
      <c r="AD190" s="9">
        <v>125.251110083002</v>
      </c>
      <c r="AE190" s="9">
        <v>125.251110083002</v>
      </c>
      <c r="AF190" s="9">
        <v>125.251110083002</v>
      </c>
      <c r="AG190" s="9">
        <v>125.626746583002</v>
      </c>
      <c r="AH190" s="10" t="s">
        <v>59</v>
      </c>
      <c r="AI190" s="9">
        <v>1</v>
      </c>
      <c r="AJ190" s="9">
        <v>0.36808395799016602</v>
      </c>
      <c r="AK190" s="10" t="s">
        <v>51</v>
      </c>
      <c r="AL190" s="8"/>
      <c r="AM190" s="8"/>
      <c r="AN190" s="8"/>
      <c r="AO190" s="9">
        <v>1</v>
      </c>
      <c r="AP190" s="9">
        <v>1</v>
      </c>
      <c r="AQ190" s="10" t="s">
        <v>96</v>
      </c>
      <c r="AR190" s="10" t="s">
        <v>53</v>
      </c>
      <c r="AS190" s="8"/>
      <c r="AT190" s="10" t="s">
        <v>54</v>
      </c>
      <c r="AU190" s="10" t="s">
        <v>51</v>
      </c>
      <c r="AV190" s="10" t="s">
        <v>97</v>
      </c>
      <c r="AW190" s="8"/>
    </row>
    <row r="191" spans="1:49" x14ac:dyDescent="0.15">
      <c r="A191" s="11" t="s">
        <v>77</v>
      </c>
      <c r="B191" s="12" t="s">
        <v>67</v>
      </c>
      <c r="C191" s="10" t="s">
        <v>58</v>
      </c>
      <c r="D191" s="10" t="s">
        <v>59</v>
      </c>
      <c r="E191" s="9">
        <v>110</v>
      </c>
      <c r="F191" s="9">
        <v>110</v>
      </c>
      <c r="G191" s="9">
        <v>1</v>
      </c>
      <c r="H191" s="10" t="s">
        <v>59</v>
      </c>
      <c r="I191" s="9">
        <v>1</v>
      </c>
      <c r="J191" s="9">
        <v>0.40676829099538703</v>
      </c>
      <c r="K191" s="10" t="s">
        <v>51</v>
      </c>
      <c r="L191" s="9">
        <v>1</v>
      </c>
      <c r="M191" s="9">
        <v>110</v>
      </c>
      <c r="N191" s="9">
        <v>110</v>
      </c>
      <c r="O191" s="9">
        <v>40</v>
      </c>
      <c r="P191" s="9">
        <v>128.497092291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9">
        <v>128.48744354100199</v>
      </c>
      <c r="AC191" s="9">
        <v>128.497092291</v>
      </c>
      <c r="AD191" s="9">
        <v>128.983582375004</v>
      </c>
      <c r="AE191" s="9">
        <v>128.983582375004</v>
      </c>
      <c r="AF191" s="9">
        <v>128.983582375004</v>
      </c>
      <c r="AG191" s="9">
        <v>129.393564750004</v>
      </c>
      <c r="AH191" s="10" t="s">
        <v>59</v>
      </c>
      <c r="AI191" s="9">
        <v>1</v>
      </c>
      <c r="AJ191" s="9">
        <v>0.40676829099538703</v>
      </c>
      <c r="AK191" s="10" t="s">
        <v>51</v>
      </c>
      <c r="AL191" s="8"/>
      <c r="AM191" s="8"/>
      <c r="AN191" s="8"/>
      <c r="AO191" s="9">
        <v>1</v>
      </c>
      <c r="AP191" s="9">
        <v>1</v>
      </c>
      <c r="AQ191" s="10" t="s">
        <v>96</v>
      </c>
      <c r="AR191" s="10" t="s">
        <v>53</v>
      </c>
      <c r="AS191" s="8"/>
      <c r="AT191" s="10" t="s">
        <v>54</v>
      </c>
      <c r="AU191" s="10" t="s">
        <v>51</v>
      </c>
      <c r="AV191" s="10" t="s">
        <v>97</v>
      </c>
      <c r="AW191" s="8"/>
    </row>
    <row r="192" spans="1:49" x14ac:dyDescent="0.15">
      <c r="A192" s="11" t="s">
        <v>66</v>
      </c>
      <c r="B192" s="12" t="s">
        <v>67</v>
      </c>
      <c r="C192" s="10" t="s">
        <v>62</v>
      </c>
      <c r="D192" s="10" t="s">
        <v>63</v>
      </c>
      <c r="E192" s="9">
        <v>111</v>
      </c>
      <c r="F192" s="9">
        <v>111</v>
      </c>
      <c r="G192" s="9">
        <v>1</v>
      </c>
      <c r="H192" s="10" t="s">
        <v>63</v>
      </c>
      <c r="I192" s="9">
        <v>1</v>
      </c>
      <c r="J192" s="9">
        <v>0.55964445800054796</v>
      </c>
      <c r="K192" s="10" t="s">
        <v>51</v>
      </c>
      <c r="L192" s="9">
        <v>1</v>
      </c>
      <c r="M192" s="9">
        <v>111</v>
      </c>
      <c r="N192" s="9">
        <v>111</v>
      </c>
      <c r="O192" s="9">
        <v>47</v>
      </c>
      <c r="P192" s="9">
        <v>129.40693741600299</v>
      </c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9">
        <v>129.39833525000699</v>
      </c>
      <c r="AC192" s="9">
        <v>129.40693741600299</v>
      </c>
      <c r="AD192" s="9">
        <v>129.89153737500601</v>
      </c>
      <c r="AE192" s="9">
        <v>129.89153737500601</v>
      </c>
      <c r="AF192" s="9">
        <v>129.89153737500601</v>
      </c>
      <c r="AG192" s="9">
        <v>130.460287833004</v>
      </c>
      <c r="AH192" s="10" t="s">
        <v>63</v>
      </c>
      <c r="AI192" s="9">
        <v>1</v>
      </c>
      <c r="AJ192" s="9">
        <v>0.55964445800054796</v>
      </c>
      <c r="AK192" s="10" t="s">
        <v>51</v>
      </c>
      <c r="AL192" s="8"/>
      <c r="AM192" s="8"/>
      <c r="AN192" s="8"/>
      <c r="AO192" s="9">
        <v>1</v>
      </c>
      <c r="AP192" s="9">
        <v>1</v>
      </c>
      <c r="AQ192" s="10" t="s">
        <v>96</v>
      </c>
      <c r="AR192" s="10" t="s">
        <v>53</v>
      </c>
      <c r="AS192" s="8"/>
      <c r="AT192" s="10" t="s">
        <v>54</v>
      </c>
      <c r="AU192" s="10" t="s">
        <v>51</v>
      </c>
      <c r="AV192" s="10" t="s">
        <v>97</v>
      </c>
      <c r="AW192" s="8"/>
    </row>
    <row r="193" spans="1:49" x14ac:dyDescent="0.15">
      <c r="A193" s="11" t="s">
        <v>82</v>
      </c>
      <c r="B193" s="12" t="s">
        <v>67</v>
      </c>
      <c r="C193" s="10" t="s">
        <v>62</v>
      </c>
      <c r="D193" s="10" t="s">
        <v>63</v>
      </c>
      <c r="E193" s="9">
        <v>113</v>
      </c>
      <c r="F193" s="9">
        <v>113</v>
      </c>
      <c r="G193" s="9">
        <v>1</v>
      </c>
      <c r="H193" s="10" t="s">
        <v>63</v>
      </c>
      <c r="I193" s="9">
        <v>1</v>
      </c>
      <c r="J193" s="9">
        <v>0.395633249994717</v>
      </c>
      <c r="K193" s="10" t="s">
        <v>51</v>
      </c>
      <c r="L193" s="9">
        <v>1</v>
      </c>
      <c r="M193" s="9">
        <v>113</v>
      </c>
      <c r="N193" s="9">
        <v>113</v>
      </c>
      <c r="O193" s="9">
        <v>37</v>
      </c>
      <c r="P193" s="9">
        <v>131.55828812500101</v>
      </c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9">
        <v>131.54923537500099</v>
      </c>
      <c r="AC193" s="9">
        <v>131.55828812500101</v>
      </c>
      <c r="AD193" s="9">
        <v>132.04171070801399</v>
      </c>
      <c r="AE193" s="9">
        <v>132.04171070801399</v>
      </c>
      <c r="AF193" s="9">
        <v>132.04171070801399</v>
      </c>
      <c r="AG193" s="9">
        <v>132.44341879100801</v>
      </c>
      <c r="AH193" s="10" t="s">
        <v>63</v>
      </c>
      <c r="AI193" s="9">
        <v>1</v>
      </c>
      <c r="AJ193" s="9">
        <v>0.395633249994717</v>
      </c>
      <c r="AK193" s="10" t="s">
        <v>51</v>
      </c>
      <c r="AL193" s="8"/>
      <c r="AM193" s="8"/>
      <c r="AN193" s="8"/>
      <c r="AO193" s="9">
        <v>1</v>
      </c>
      <c r="AP193" s="9">
        <v>1</v>
      </c>
      <c r="AQ193" s="10" t="s">
        <v>96</v>
      </c>
      <c r="AR193" s="10" t="s">
        <v>53</v>
      </c>
      <c r="AS193" s="8"/>
      <c r="AT193" s="10" t="s">
        <v>54</v>
      </c>
      <c r="AU193" s="10" t="s">
        <v>51</v>
      </c>
      <c r="AV193" s="10" t="s">
        <v>97</v>
      </c>
      <c r="AW193" s="8"/>
    </row>
    <row r="194" spans="1:49" x14ac:dyDescent="0.15">
      <c r="A194" s="11" t="s">
        <v>76</v>
      </c>
      <c r="B194" s="12" t="s">
        <v>67</v>
      </c>
      <c r="C194" s="10" t="s">
        <v>62</v>
      </c>
      <c r="D194" s="10" t="s">
        <v>63</v>
      </c>
      <c r="E194" s="9">
        <v>114</v>
      </c>
      <c r="F194" s="9">
        <v>114</v>
      </c>
      <c r="G194" s="9">
        <v>0</v>
      </c>
      <c r="H194" s="10" t="s">
        <v>63</v>
      </c>
      <c r="I194" s="9">
        <v>1</v>
      </c>
      <c r="J194" s="9">
        <v>0.55219904200930603</v>
      </c>
      <c r="K194" s="10" t="s">
        <v>51</v>
      </c>
      <c r="L194" s="9">
        <v>0</v>
      </c>
      <c r="M194" s="9">
        <v>114</v>
      </c>
      <c r="N194" s="9">
        <v>114</v>
      </c>
      <c r="O194" s="9">
        <v>43</v>
      </c>
      <c r="P194" s="9">
        <v>132.45566854100599</v>
      </c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9">
        <v>132.44682041600799</v>
      </c>
      <c r="AC194" s="9">
        <v>132.45566854100599</v>
      </c>
      <c r="AD194" s="9">
        <v>132.94201845800899</v>
      </c>
      <c r="AE194" s="9">
        <v>132.94201845800899</v>
      </c>
      <c r="AF194" s="9">
        <v>132.94201845800899</v>
      </c>
      <c r="AG194" s="9">
        <v>133.49984054100099</v>
      </c>
      <c r="AH194" s="10" t="s">
        <v>63</v>
      </c>
      <c r="AI194" s="9">
        <v>1</v>
      </c>
      <c r="AJ194" s="9">
        <v>0.55219904200930603</v>
      </c>
      <c r="AK194" s="10" t="s">
        <v>51</v>
      </c>
      <c r="AL194" s="8"/>
      <c r="AM194" s="8"/>
      <c r="AN194" s="8"/>
      <c r="AO194" s="9">
        <v>1</v>
      </c>
      <c r="AP194" s="9">
        <v>1</v>
      </c>
      <c r="AQ194" s="10" t="s">
        <v>96</v>
      </c>
      <c r="AR194" s="10" t="s">
        <v>53</v>
      </c>
      <c r="AS194" s="8"/>
      <c r="AT194" s="10" t="s">
        <v>54</v>
      </c>
      <c r="AU194" s="10" t="s">
        <v>51</v>
      </c>
      <c r="AV194" s="10" t="s">
        <v>97</v>
      </c>
      <c r="AW194" s="8"/>
    </row>
    <row r="195" spans="1:49" x14ac:dyDescent="0.15">
      <c r="A195" s="11" t="s">
        <v>69</v>
      </c>
      <c r="B195" s="12" t="s">
        <v>67</v>
      </c>
      <c r="C195" s="10" t="s">
        <v>62</v>
      </c>
      <c r="D195" s="10" t="s">
        <v>63</v>
      </c>
      <c r="E195" s="9">
        <v>120</v>
      </c>
      <c r="F195" s="9">
        <v>120</v>
      </c>
      <c r="G195" s="9">
        <v>4</v>
      </c>
      <c r="H195" s="10" t="s">
        <v>63</v>
      </c>
      <c r="I195" s="9">
        <v>1</v>
      </c>
      <c r="J195" s="9">
        <v>0.43820266600232599</v>
      </c>
      <c r="K195" s="10" t="s">
        <v>51</v>
      </c>
      <c r="L195" s="9">
        <v>4</v>
      </c>
      <c r="M195" s="9">
        <v>120</v>
      </c>
      <c r="N195" s="9">
        <v>120</v>
      </c>
      <c r="O195" s="9">
        <v>39</v>
      </c>
      <c r="P195" s="9">
        <v>138.29658850000101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9">
        <v>138.28781304101</v>
      </c>
      <c r="AC195" s="9">
        <v>138.29658850000101</v>
      </c>
      <c r="AD195" s="9">
        <v>138.78429870800801</v>
      </c>
      <c r="AE195" s="9">
        <v>138.78429870800801</v>
      </c>
      <c r="AF195" s="9">
        <v>138.78429870800801</v>
      </c>
      <c r="AG195" s="9">
        <v>139.226880208007</v>
      </c>
      <c r="AH195" s="10" t="s">
        <v>63</v>
      </c>
      <c r="AI195" s="9">
        <v>1</v>
      </c>
      <c r="AJ195" s="9">
        <v>0.43820266600232599</v>
      </c>
      <c r="AK195" s="10" t="s">
        <v>51</v>
      </c>
      <c r="AL195" s="8"/>
      <c r="AM195" s="8"/>
      <c r="AN195" s="8"/>
      <c r="AO195" s="9">
        <v>1</v>
      </c>
      <c r="AP195" s="9">
        <v>1</v>
      </c>
      <c r="AQ195" s="10" t="s">
        <v>96</v>
      </c>
      <c r="AR195" s="10" t="s">
        <v>53</v>
      </c>
      <c r="AS195" s="8"/>
      <c r="AT195" s="10" t="s">
        <v>54</v>
      </c>
      <c r="AU195" s="10" t="s">
        <v>51</v>
      </c>
      <c r="AV195" s="10" t="s">
        <v>97</v>
      </c>
      <c r="AW195" s="8"/>
    </row>
    <row r="196" spans="1:49" x14ac:dyDescent="0.15">
      <c r="A196" s="11" t="s">
        <v>66</v>
      </c>
      <c r="B196" s="12" t="s">
        <v>67</v>
      </c>
      <c r="C196" s="10" t="s">
        <v>62</v>
      </c>
      <c r="D196" s="10" t="s">
        <v>63</v>
      </c>
      <c r="E196" s="9">
        <v>121</v>
      </c>
      <c r="F196" s="9">
        <v>121</v>
      </c>
      <c r="G196" s="9">
        <v>2</v>
      </c>
      <c r="H196" s="10" t="s">
        <v>63</v>
      </c>
      <c r="I196" s="9">
        <v>1</v>
      </c>
      <c r="J196" s="9">
        <v>0.44943025000975501</v>
      </c>
      <c r="K196" s="10" t="s">
        <v>51</v>
      </c>
      <c r="L196" s="9">
        <v>2</v>
      </c>
      <c r="M196" s="9">
        <v>121</v>
      </c>
      <c r="N196" s="9">
        <v>121</v>
      </c>
      <c r="O196" s="9">
        <v>47</v>
      </c>
      <c r="P196" s="9">
        <v>139.24013154100999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9">
        <v>139.23135125001099</v>
      </c>
      <c r="AC196" s="9">
        <v>139.24013154100999</v>
      </c>
      <c r="AD196" s="9">
        <v>139.72504908300499</v>
      </c>
      <c r="AE196" s="9">
        <v>139.72504908300499</v>
      </c>
      <c r="AF196" s="9">
        <v>139.72504908300499</v>
      </c>
      <c r="AG196" s="9">
        <v>140.177355333013</v>
      </c>
      <c r="AH196" s="10" t="s">
        <v>63</v>
      </c>
      <c r="AI196" s="9">
        <v>1</v>
      </c>
      <c r="AJ196" s="9">
        <v>0.44943025000975501</v>
      </c>
      <c r="AK196" s="10" t="s">
        <v>51</v>
      </c>
      <c r="AL196" s="8"/>
      <c r="AM196" s="8"/>
      <c r="AN196" s="8"/>
      <c r="AO196" s="9">
        <v>1</v>
      </c>
      <c r="AP196" s="9">
        <v>1</v>
      </c>
      <c r="AQ196" s="10" t="s">
        <v>96</v>
      </c>
      <c r="AR196" s="10" t="s">
        <v>53</v>
      </c>
      <c r="AS196" s="8"/>
      <c r="AT196" s="10" t="s">
        <v>54</v>
      </c>
      <c r="AU196" s="10" t="s">
        <v>51</v>
      </c>
      <c r="AV196" s="10" t="s">
        <v>97</v>
      </c>
      <c r="AW196" s="8"/>
    </row>
    <row r="197" spans="1:49" x14ac:dyDescent="0.15">
      <c r="A197" s="11" t="s">
        <v>77</v>
      </c>
      <c r="B197" s="12" t="s">
        <v>67</v>
      </c>
      <c r="C197" s="10" t="s">
        <v>58</v>
      </c>
      <c r="D197" s="10" t="s">
        <v>59</v>
      </c>
      <c r="E197" s="9">
        <v>122</v>
      </c>
      <c r="F197" s="9">
        <v>122</v>
      </c>
      <c r="G197" s="9">
        <v>2</v>
      </c>
      <c r="H197" s="10" t="s">
        <v>63</v>
      </c>
      <c r="I197" s="9">
        <v>0</v>
      </c>
      <c r="J197" s="9">
        <v>0.58130933299253196</v>
      </c>
      <c r="K197" s="10" t="s">
        <v>51</v>
      </c>
      <c r="L197" s="9">
        <v>2</v>
      </c>
      <c r="M197" s="9">
        <v>122</v>
      </c>
      <c r="N197" s="9">
        <v>122</v>
      </c>
      <c r="O197" s="9">
        <v>40</v>
      </c>
      <c r="P197" s="9">
        <v>140.19163975000299</v>
      </c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9">
        <v>140.18267050001299</v>
      </c>
      <c r="AC197" s="9">
        <v>140.19163975000299</v>
      </c>
      <c r="AD197" s="9">
        <v>140.67532641600701</v>
      </c>
      <c r="AE197" s="9">
        <v>140.67532641600701</v>
      </c>
      <c r="AF197" s="9">
        <v>140.67532641600701</v>
      </c>
      <c r="AG197" s="9">
        <v>141.260626625008</v>
      </c>
      <c r="AH197" s="10" t="s">
        <v>63</v>
      </c>
      <c r="AI197" s="9">
        <v>0</v>
      </c>
      <c r="AJ197" s="9">
        <v>0.58130933299253196</v>
      </c>
      <c r="AK197" s="10" t="s">
        <v>51</v>
      </c>
      <c r="AL197" s="8"/>
      <c r="AM197" s="8"/>
      <c r="AN197" s="8"/>
      <c r="AO197" s="9">
        <v>1</v>
      </c>
      <c r="AP197" s="9">
        <v>1</v>
      </c>
      <c r="AQ197" s="10" t="s">
        <v>96</v>
      </c>
      <c r="AR197" s="10" t="s">
        <v>53</v>
      </c>
      <c r="AS197" s="8"/>
      <c r="AT197" s="10" t="s">
        <v>54</v>
      </c>
      <c r="AU197" s="10" t="s">
        <v>51</v>
      </c>
      <c r="AV197" s="10" t="s">
        <v>97</v>
      </c>
      <c r="AW197" s="8"/>
    </row>
    <row r="198" spans="1:49" x14ac:dyDescent="0.15">
      <c r="A198" s="11" t="s">
        <v>76</v>
      </c>
      <c r="B198" s="12" t="s">
        <v>67</v>
      </c>
      <c r="C198" s="10" t="s">
        <v>62</v>
      </c>
      <c r="D198" s="10" t="s">
        <v>63</v>
      </c>
      <c r="E198" s="9">
        <v>126</v>
      </c>
      <c r="F198" s="9">
        <v>126</v>
      </c>
      <c r="G198" s="9">
        <v>1</v>
      </c>
      <c r="H198" s="10" t="s">
        <v>63</v>
      </c>
      <c r="I198" s="9">
        <v>1</v>
      </c>
      <c r="J198" s="9">
        <v>0.54686987400054898</v>
      </c>
      <c r="K198" s="10" t="s">
        <v>51</v>
      </c>
      <c r="L198" s="9">
        <v>1</v>
      </c>
      <c r="M198" s="9">
        <v>126</v>
      </c>
      <c r="N198" s="9">
        <v>126</v>
      </c>
      <c r="O198" s="9">
        <v>43</v>
      </c>
      <c r="P198" s="9">
        <v>144.47401070800001</v>
      </c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9">
        <v>144.465139208012</v>
      </c>
      <c r="AC198" s="9">
        <v>144.47401070800001</v>
      </c>
      <c r="AD198" s="9">
        <v>144.95881108300799</v>
      </c>
      <c r="AE198" s="9">
        <v>144.95881108300799</v>
      </c>
      <c r="AF198" s="9">
        <v>144.95881108300799</v>
      </c>
      <c r="AG198" s="9">
        <v>145.51093012500499</v>
      </c>
      <c r="AH198" s="10" t="s">
        <v>63</v>
      </c>
      <c r="AI198" s="9">
        <v>1</v>
      </c>
      <c r="AJ198" s="9">
        <v>0.54686987400054898</v>
      </c>
      <c r="AK198" s="10" t="s">
        <v>51</v>
      </c>
      <c r="AL198" s="8"/>
      <c r="AM198" s="8"/>
      <c r="AN198" s="8"/>
      <c r="AO198" s="9">
        <v>1</v>
      </c>
      <c r="AP198" s="9">
        <v>1</v>
      </c>
      <c r="AQ198" s="10" t="s">
        <v>96</v>
      </c>
      <c r="AR198" s="10" t="s">
        <v>53</v>
      </c>
      <c r="AS198" s="8"/>
      <c r="AT198" s="10" t="s">
        <v>54</v>
      </c>
      <c r="AU198" s="10" t="s">
        <v>51</v>
      </c>
      <c r="AV198" s="10" t="s">
        <v>97</v>
      </c>
      <c r="AW198" s="8"/>
    </row>
    <row r="199" spans="1:49" x14ac:dyDescent="0.15">
      <c r="A199" s="11" t="s">
        <v>82</v>
      </c>
      <c r="B199" s="12" t="s">
        <v>67</v>
      </c>
      <c r="C199" s="10" t="s">
        <v>58</v>
      </c>
      <c r="D199" s="10" t="s">
        <v>59</v>
      </c>
      <c r="E199" s="9">
        <v>129</v>
      </c>
      <c r="F199" s="9">
        <v>129</v>
      </c>
      <c r="G199" s="9">
        <v>1</v>
      </c>
      <c r="H199" s="10" t="s">
        <v>63</v>
      </c>
      <c r="I199" s="9">
        <v>0</v>
      </c>
      <c r="J199" s="9">
        <v>0.26691674899484502</v>
      </c>
      <c r="K199" s="10" t="s">
        <v>51</v>
      </c>
      <c r="L199" s="9">
        <v>1</v>
      </c>
      <c r="M199" s="9">
        <v>129</v>
      </c>
      <c r="N199" s="9">
        <v>129</v>
      </c>
      <c r="O199" s="9">
        <v>36</v>
      </c>
      <c r="P199" s="9">
        <v>147.17454845800199</v>
      </c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9">
        <v>147.165647666014</v>
      </c>
      <c r="AC199" s="9">
        <v>147.17454845800199</v>
      </c>
      <c r="AD199" s="9">
        <v>147.65870841601301</v>
      </c>
      <c r="AE199" s="9">
        <v>147.65870841601301</v>
      </c>
      <c r="AF199" s="9">
        <v>147.65870841601301</v>
      </c>
      <c r="AG199" s="9">
        <v>147.92778004100501</v>
      </c>
      <c r="AH199" s="10" t="s">
        <v>63</v>
      </c>
      <c r="AI199" s="9">
        <v>0</v>
      </c>
      <c r="AJ199" s="9">
        <v>0.26691674899484502</v>
      </c>
      <c r="AK199" s="10" t="s">
        <v>51</v>
      </c>
      <c r="AL199" s="8"/>
      <c r="AM199" s="8"/>
      <c r="AN199" s="8"/>
      <c r="AO199" s="9">
        <v>1</v>
      </c>
      <c r="AP199" s="9">
        <v>1</v>
      </c>
      <c r="AQ199" s="10" t="s">
        <v>96</v>
      </c>
      <c r="AR199" s="10" t="s">
        <v>53</v>
      </c>
      <c r="AS199" s="8"/>
      <c r="AT199" s="10" t="s">
        <v>54</v>
      </c>
      <c r="AU199" s="10" t="s">
        <v>51</v>
      </c>
      <c r="AV199" s="10" t="s">
        <v>97</v>
      </c>
      <c r="AW199" s="8"/>
    </row>
    <row r="200" spans="1:49" x14ac:dyDescent="0.15">
      <c r="A200" s="11" t="s">
        <v>81</v>
      </c>
      <c r="B200" s="12" t="s">
        <v>67</v>
      </c>
      <c r="C200" s="10" t="s">
        <v>58</v>
      </c>
      <c r="D200" s="10" t="s">
        <v>59</v>
      </c>
      <c r="E200" s="9">
        <v>131</v>
      </c>
      <c r="F200" s="9">
        <v>131</v>
      </c>
      <c r="G200" s="9">
        <v>1</v>
      </c>
      <c r="H200" s="10" t="s">
        <v>59</v>
      </c>
      <c r="I200" s="9">
        <v>1</v>
      </c>
      <c r="J200" s="9">
        <v>0.34173729200847403</v>
      </c>
      <c r="K200" s="10" t="s">
        <v>51</v>
      </c>
      <c r="L200" s="9">
        <v>1</v>
      </c>
      <c r="M200" s="9">
        <v>131</v>
      </c>
      <c r="N200" s="9">
        <v>131</v>
      </c>
      <c r="O200" s="9">
        <v>44</v>
      </c>
      <c r="P200" s="9">
        <v>148.94765566600799</v>
      </c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9">
        <v>148.93828420800901</v>
      </c>
      <c r="AC200" s="9">
        <v>148.94765566600799</v>
      </c>
      <c r="AD200" s="9">
        <v>149.43483283300901</v>
      </c>
      <c r="AE200" s="9">
        <v>149.43483283300901</v>
      </c>
      <c r="AF200" s="9">
        <v>149.43483283300901</v>
      </c>
      <c r="AG200" s="9">
        <v>149.78719670801399</v>
      </c>
      <c r="AH200" s="10" t="s">
        <v>59</v>
      </c>
      <c r="AI200" s="9">
        <v>1</v>
      </c>
      <c r="AJ200" s="9">
        <v>0.34173729200847403</v>
      </c>
      <c r="AK200" s="10" t="s">
        <v>51</v>
      </c>
      <c r="AL200" s="8"/>
      <c r="AM200" s="8"/>
      <c r="AN200" s="8"/>
      <c r="AO200" s="9">
        <v>1</v>
      </c>
      <c r="AP200" s="9">
        <v>1</v>
      </c>
      <c r="AQ200" s="10" t="s">
        <v>96</v>
      </c>
      <c r="AR200" s="10" t="s">
        <v>53</v>
      </c>
      <c r="AS200" s="8"/>
      <c r="AT200" s="10" t="s">
        <v>54</v>
      </c>
      <c r="AU200" s="10" t="s">
        <v>51</v>
      </c>
      <c r="AV200" s="10" t="s">
        <v>97</v>
      </c>
      <c r="AW200" s="8"/>
    </row>
    <row r="201" spans="1:49" x14ac:dyDescent="0.15">
      <c r="A201" s="11" t="s">
        <v>86</v>
      </c>
      <c r="B201" s="12" t="s">
        <v>67</v>
      </c>
      <c r="C201" s="10" t="s">
        <v>62</v>
      </c>
      <c r="D201" s="10" t="s">
        <v>63</v>
      </c>
      <c r="E201" s="9">
        <v>134</v>
      </c>
      <c r="F201" s="9">
        <v>134</v>
      </c>
      <c r="G201" s="9">
        <v>2</v>
      </c>
      <c r="H201" s="10" t="s">
        <v>63</v>
      </c>
      <c r="I201" s="9">
        <v>1</v>
      </c>
      <c r="J201" s="9">
        <v>0.41242537499056198</v>
      </c>
      <c r="K201" s="10" t="s">
        <v>51</v>
      </c>
      <c r="L201" s="9">
        <v>2</v>
      </c>
      <c r="M201" s="9">
        <v>134</v>
      </c>
      <c r="N201" s="9">
        <v>134</v>
      </c>
      <c r="O201" s="9">
        <v>35</v>
      </c>
      <c r="P201" s="9">
        <v>151.858659541002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9">
        <v>151.84957883300399</v>
      </c>
      <c r="AC201" s="9">
        <v>151.858659541002</v>
      </c>
      <c r="AD201" s="9">
        <v>152.34218225001001</v>
      </c>
      <c r="AE201" s="9">
        <v>152.34218225001001</v>
      </c>
      <c r="AF201" s="9">
        <v>152.34218225001001</v>
      </c>
      <c r="AG201" s="9">
        <v>152.760494665999</v>
      </c>
      <c r="AH201" s="10" t="s">
        <v>63</v>
      </c>
      <c r="AI201" s="9">
        <v>1</v>
      </c>
      <c r="AJ201" s="9">
        <v>0.41242537499056198</v>
      </c>
      <c r="AK201" s="10" t="s">
        <v>51</v>
      </c>
      <c r="AL201" s="8"/>
      <c r="AM201" s="8"/>
      <c r="AN201" s="8"/>
      <c r="AO201" s="9">
        <v>1</v>
      </c>
      <c r="AP201" s="9">
        <v>1</v>
      </c>
      <c r="AQ201" s="10" t="s">
        <v>96</v>
      </c>
      <c r="AR201" s="10" t="s">
        <v>53</v>
      </c>
      <c r="AS201" s="8"/>
      <c r="AT201" s="10" t="s">
        <v>54</v>
      </c>
      <c r="AU201" s="10" t="s">
        <v>51</v>
      </c>
      <c r="AV201" s="10" t="s">
        <v>97</v>
      </c>
      <c r="AW201" s="8"/>
    </row>
    <row r="202" spans="1:49" x14ac:dyDescent="0.15">
      <c r="A202" s="11" t="s">
        <v>86</v>
      </c>
      <c r="B202" s="12" t="s">
        <v>67</v>
      </c>
      <c r="C202" s="10" t="s">
        <v>62</v>
      </c>
      <c r="D202" s="10" t="s">
        <v>63</v>
      </c>
      <c r="E202" s="9">
        <v>136</v>
      </c>
      <c r="F202" s="9">
        <v>136</v>
      </c>
      <c r="G202" s="9">
        <v>3</v>
      </c>
      <c r="H202" s="10" t="s">
        <v>63</v>
      </c>
      <c r="I202" s="9">
        <v>1</v>
      </c>
      <c r="J202" s="9">
        <v>0.50000529200770005</v>
      </c>
      <c r="K202" s="10" t="s">
        <v>51</v>
      </c>
      <c r="L202" s="9">
        <v>3</v>
      </c>
      <c r="M202" s="9">
        <v>136</v>
      </c>
      <c r="N202" s="9">
        <v>136</v>
      </c>
      <c r="O202" s="9">
        <v>35</v>
      </c>
      <c r="P202" s="9">
        <v>153.641352708</v>
      </c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9">
        <v>153.63267170800799</v>
      </c>
      <c r="AC202" s="9">
        <v>153.641352708</v>
      </c>
      <c r="AD202" s="9">
        <v>154.125659750003</v>
      </c>
      <c r="AE202" s="9">
        <v>154.125659750003</v>
      </c>
      <c r="AF202" s="9">
        <v>154.125659750003</v>
      </c>
      <c r="AG202" s="9">
        <v>154.627598750012</v>
      </c>
      <c r="AH202" s="10" t="s">
        <v>63</v>
      </c>
      <c r="AI202" s="9">
        <v>1</v>
      </c>
      <c r="AJ202" s="9">
        <v>0.50000529200770005</v>
      </c>
      <c r="AK202" s="10" t="s">
        <v>51</v>
      </c>
      <c r="AL202" s="8"/>
      <c r="AM202" s="8"/>
      <c r="AN202" s="8"/>
      <c r="AO202" s="9">
        <v>1</v>
      </c>
      <c r="AP202" s="9">
        <v>1</v>
      </c>
      <c r="AQ202" s="10" t="s">
        <v>96</v>
      </c>
      <c r="AR202" s="10" t="s">
        <v>53</v>
      </c>
      <c r="AS202" s="8"/>
      <c r="AT202" s="10" t="s">
        <v>54</v>
      </c>
      <c r="AU202" s="10" t="s">
        <v>51</v>
      </c>
      <c r="AV202" s="10" t="s">
        <v>97</v>
      </c>
      <c r="AW202" s="8"/>
    </row>
    <row r="203" spans="1:49" x14ac:dyDescent="0.15">
      <c r="A203" s="11" t="s">
        <v>82</v>
      </c>
      <c r="B203" s="12" t="s">
        <v>67</v>
      </c>
      <c r="C203" s="10" t="s">
        <v>58</v>
      </c>
      <c r="D203" s="10" t="s">
        <v>59</v>
      </c>
      <c r="E203" s="9">
        <v>138</v>
      </c>
      <c r="F203" s="9">
        <v>138</v>
      </c>
      <c r="G203" s="9">
        <v>2</v>
      </c>
      <c r="H203" s="10" t="s">
        <v>59</v>
      </c>
      <c r="I203" s="9">
        <v>1</v>
      </c>
      <c r="J203" s="9">
        <v>0.42696462500316601</v>
      </c>
      <c r="K203" s="10" t="s">
        <v>51</v>
      </c>
      <c r="L203" s="9">
        <v>2</v>
      </c>
      <c r="M203" s="9">
        <v>138</v>
      </c>
      <c r="N203" s="9">
        <v>138</v>
      </c>
      <c r="O203" s="9">
        <v>36</v>
      </c>
      <c r="P203" s="9">
        <v>155.65851450001401</v>
      </c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9">
        <v>155.64948583301199</v>
      </c>
      <c r="AC203" s="9">
        <v>155.65851450001401</v>
      </c>
      <c r="AD203" s="9">
        <v>156.142707333012</v>
      </c>
      <c r="AE203" s="9">
        <v>156.142707333012</v>
      </c>
      <c r="AF203" s="9">
        <v>156.142707333012</v>
      </c>
      <c r="AG203" s="9">
        <v>156.577689708007</v>
      </c>
      <c r="AH203" s="10" t="s">
        <v>59</v>
      </c>
      <c r="AI203" s="9">
        <v>1</v>
      </c>
      <c r="AJ203" s="9">
        <v>0.42696462500316601</v>
      </c>
      <c r="AK203" s="10" t="s">
        <v>51</v>
      </c>
      <c r="AL203" s="8"/>
      <c r="AM203" s="8"/>
      <c r="AN203" s="8"/>
      <c r="AO203" s="9">
        <v>1</v>
      </c>
      <c r="AP203" s="9">
        <v>1</v>
      </c>
      <c r="AQ203" s="10" t="s">
        <v>96</v>
      </c>
      <c r="AR203" s="10" t="s">
        <v>53</v>
      </c>
      <c r="AS203" s="8"/>
      <c r="AT203" s="10" t="s">
        <v>54</v>
      </c>
      <c r="AU203" s="10" t="s">
        <v>51</v>
      </c>
      <c r="AV203" s="10" t="s">
        <v>97</v>
      </c>
      <c r="AW203" s="8"/>
    </row>
    <row r="204" spans="1:49" x14ac:dyDescent="0.15">
      <c r="A204" s="11" t="s">
        <v>81</v>
      </c>
      <c r="B204" s="12" t="s">
        <v>67</v>
      </c>
      <c r="C204" s="10" t="s">
        <v>58</v>
      </c>
      <c r="D204" s="10" t="s">
        <v>59</v>
      </c>
      <c r="E204" s="9">
        <v>140</v>
      </c>
      <c r="F204" s="9">
        <v>140</v>
      </c>
      <c r="G204" s="9">
        <v>2</v>
      </c>
      <c r="H204" s="10" t="s">
        <v>59</v>
      </c>
      <c r="I204" s="9">
        <v>1</v>
      </c>
      <c r="J204" s="9">
        <v>0.431698957996559</v>
      </c>
      <c r="K204" s="10" t="s">
        <v>51</v>
      </c>
      <c r="L204" s="9">
        <v>2</v>
      </c>
      <c r="M204" s="9">
        <v>140</v>
      </c>
      <c r="N204" s="9">
        <v>140</v>
      </c>
      <c r="O204" s="9">
        <v>44</v>
      </c>
      <c r="P204" s="9">
        <v>157.49889237500599</v>
      </c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9">
        <v>157.48963566600301</v>
      </c>
      <c r="AC204" s="9">
        <v>157.49889237500599</v>
      </c>
      <c r="AD204" s="9">
        <v>157.984970375008</v>
      </c>
      <c r="AE204" s="9">
        <v>157.984970375008</v>
      </c>
      <c r="AF204" s="9">
        <v>157.984970375008</v>
      </c>
      <c r="AG204" s="9">
        <v>158.42803100000299</v>
      </c>
      <c r="AH204" s="10" t="s">
        <v>59</v>
      </c>
      <c r="AI204" s="9">
        <v>1</v>
      </c>
      <c r="AJ204" s="9">
        <v>0.431698957996559</v>
      </c>
      <c r="AK204" s="10" t="s">
        <v>51</v>
      </c>
      <c r="AL204" s="8"/>
      <c r="AM204" s="8"/>
      <c r="AN204" s="8"/>
      <c r="AO204" s="9">
        <v>1</v>
      </c>
      <c r="AP204" s="9">
        <v>1</v>
      </c>
      <c r="AQ204" s="10" t="s">
        <v>96</v>
      </c>
      <c r="AR204" s="10" t="s">
        <v>53</v>
      </c>
      <c r="AS204" s="8"/>
      <c r="AT204" s="10" t="s">
        <v>54</v>
      </c>
      <c r="AU204" s="10" t="s">
        <v>51</v>
      </c>
      <c r="AV204" s="10" t="s">
        <v>97</v>
      </c>
      <c r="AW204" s="8"/>
    </row>
    <row r="205" spans="1:49" x14ac:dyDescent="0.15">
      <c r="A205" s="11" t="s">
        <v>81</v>
      </c>
      <c r="B205" s="12" t="s">
        <v>67</v>
      </c>
      <c r="C205" s="10" t="s">
        <v>62</v>
      </c>
      <c r="D205" s="10" t="s">
        <v>63</v>
      </c>
      <c r="E205" s="9">
        <v>141</v>
      </c>
      <c r="F205" s="9">
        <v>141</v>
      </c>
      <c r="G205" s="9">
        <v>3</v>
      </c>
      <c r="H205" s="10" t="s">
        <v>63</v>
      </c>
      <c r="I205" s="9">
        <v>1</v>
      </c>
      <c r="J205" s="9">
        <v>0.30959270799939997</v>
      </c>
      <c r="K205" s="10" t="s">
        <v>51</v>
      </c>
      <c r="L205" s="9">
        <v>3</v>
      </c>
      <c r="M205" s="9">
        <v>141</v>
      </c>
      <c r="N205" s="9">
        <v>141</v>
      </c>
      <c r="O205" s="9">
        <v>45</v>
      </c>
      <c r="P205" s="9">
        <v>158.43509254101099</v>
      </c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9">
        <v>158.42891629101399</v>
      </c>
      <c r="AC205" s="9">
        <v>158.43509254101099</v>
      </c>
      <c r="AD205" s="9">
        <v>158.92617904100899</v>
      </c>
      <c r="AE205" s="9">
        <v>158.92617904100899</v>
      </c>
      <c r="AF205" s="9">
        <v>158.92617904100899</v>
      </c>
      <c r="AG205" s="9">
        <v>159.24499445800001</v>
      </c>
      <c r="AH205" s="10" t="s">
        <v>63</v>
      </c>
      <c r="AI205" s="9">
        <v>1</v>
      </c>
      <c r="AJ205" s="9">
        <v>0.30959270799939997</v>
      </c>
      <c r="AK205" s="10" t="s">
        <v>51</v>
      </c>
      <c r="AL205" s="8"/>
      <c r="AM205" s="8"/>
      <c r="AN205" s="8"/>
      <c r="AO205" s="9">
        <v>1</v>
      </c>
      <c r="AP205" s="9">
        <v>1</v>
      </c>
      <c r="AQ205" s="10" t="s">
        <v>96</v>
      </c>
      <c r="AR205" s="10" t="s">
        <v>53</v>
      </c>
      <c r="AS205" s="8"/>
      <c r="AT205" s="10" t="s">
        <v>54</v>
      </c>
      <c r="AU205" s="10" t="s">
        <v>51</v>
      </c>
      <c r="AV205" s="10" t="s">
        <v>97</v>
      </c>
      <c r="AW205" s="8"/>
    </row>
    <row r="206" spans="1:49" x14ac:dyDescent="0.15">
      <c r="A206" s="11" t="s">
        <v>86</v>
      </c>
      <c r="B206" s="12" t="s">
        <v>67</v>
      </c>
      <c r="C206" s="10" t="s">
        <v>58</v>
      </c>
      <c r="D206" s="10" t="s">
        <v>59</v>
      </c>
      <c r="E206" s="9">
        <v>143</v>
      </c>
      <c r="F206" s="9">
        <v>143</v>
      </c>
      <c r="G206" s="9">
        <v>0</v>
      </c>
      <c r="H206" s="10" t="s">
        <v>59</v>
      </c>
      <c r="I206" s="9">
        <v>1</v>
      </c>
      <c r="J206" s="9">
        <v>0.59712841700820696</v>
      </c>
      <c r="K206" s="10" t="s">
        <v>51</v>
      </c>
      <c r="L206" s="9">
        <v>0</v>
      </c>
      <c r="M206" s="9">
        <v>143</v>
      </c>
      <c r="N206" s="9">
        <v>143</v>
      </c>
      <c r="O206" s="9">
        <v>34</v>
      </c>
      <c r="P206" s="9">
        <v>160.20868529099999</v>
      </c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9">
        <v>160.199793083011</v>
      </c>
      <c r="AC206" s="9">
        <v>160.20868529099999</v>
      </c>
      <c r="AD206" s="9">
        <v>160.692654625003</v>
      </c>
      <c r="AE206" s="9">
        <v>160.692654625003</v>
      </c>
      <c r="AF206" s="9">
        <v>160.692654625003</v>
      </c>
      <c r="AG206" s="9">
        <v>161.29497825000701</v>
      </c>
      <c r="AH206" s="10" t="s">
        <v>59</v>
      </c>
      <c r="AI206" s="9">
        <v>1</v>
      </c>
      <c r="AJ206" s="9">
        <v>0.59712841700820696</v>
      </c>
      <c r="AK206" s="10" t="s">
        <v>51</v>
      </c>
      <c r="AL206" s="8"/>
      <c r="AM206" s="8"/>
      <c r="AN206" s="8"/>
      <c r="AO206" s="9">
        <v>1</v>
      </c>
      <c r="AP206" s="9">
        <v>1</v>
      </c>
      <c r="AQ206" s="10" t="s">
        <v>96</v>
      </c>
      <c r="AR206" s="10" t="s">
        <v>53</v>
      </c>
      <c r="AS206" s="8"/>
      <c r="AT206" s="10" t="s">
        <v>54</v>
      </c>
      <c r="AU206" s="10" t="s">
        <v>51</v>
      </c>
      <c r="AV206" s="10" t="s">
        <v>97</v>
      </c>
      <c r="AW206" s="8"/>
    </row>
    <row r="207" spans="1:49" x14ac:dyDescent="0.15">
      <c r="A207" s="11" t="s">
        <v>80</v>
      </c>
      <c r="B207" s="12" t="s">
        <v>67</v>
      </c>
      <c r="C207" s="10" t="s">
        <v>62</v>
      </c>
      <c r="D207" s="10" t="s">
        <v>63</v>
      </c>
      <c r="E207" s="9">
        <v>144</v>
      </c>
      <c r="F207" s="9">
        <v>144</v>
      </c>
      <c r="G207" s="9">
        <v>3</v>
      </c>
      <c r="H207" s="10" t="s">
        <v>59</v>
      </c>
      <c r="I207" s="9">
        <v>0</v>
      </c>
      <c r="J207" s="9">
        <v>0.50298583299445498</v>
      </c>
      <c r="K207" s="10" t="s">
        <v>51</v>
      </c>
      <c r="L207" s="9">
        <v>3</v>
      </c>
      <c r="M207" s="9">
        <v>144</v>
      </c>
      <c r="N207" s="9">
        <v>144</v>
      </c>
      <c r="O207" s="9">
        <v>33</v>
      </c>
      <c r="P207" s="9">
        <v>161.309550750011</v>
      </c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9">
        <v>161.30033537501001</v>
      </c>
      <c r="AC207" s="9">
        <v>161.309550750011</v>
      </c>
      <c r="AD207" s="9">
        <v>161.79267166599999</v>
      </c>
      <c r="AE207" s="9">
        <v>161.79267166599999</v>
      </c>
      <c r="AF207" s="9">
        <v>161.79267166599999</v>
      </c>
      <c r="AG207" s="9">
        <v>162.30068804101001</v>
      </c>
      <c r="AH207" s="10" t="s">
        <v>59</v>
      </c>
      <c r="AI207" s="9">
        <v>0</v>
      </c>
      <c r="AJ207" s="9">
        <v>0.50298583299445498</v>
      </c>
      <c r="AK207" s="10" t="s">
        <v>51</v>
      </c>
      <c r="AL207" s="8"/>
      <c r="AM207" s="8"/>
      <c r="AN207" s="8"/>
      <c r="AO207" s="9">
        <v>1</v>
      </c>
      <c r="AP207" s="9">
        <v>1</v>
      </c>
      <c r="AQ207" s="10" t="s">
        <v>96</v>
      </c>
      <c r="AR207" s="10" t="s">
        <v>53</v>
      </c>
      <c r="AS207" s="8"/>
      <c r="AT207" s="10" t="s">
        <v>54</v>
      </c>
      <c r="AU207" s="10" t="s">
        <v>51</v>
      </c>
      <c r="AV207" s="10" t="s">
        <v>97</v>
      </c>
      <c r="AW207" s="8"/>
    </row>
    <row r="208" spans="1:49" x14ac:dyDescent="0.15">
      <c r="A208" s="11" t="s">
        <v>86</v>
      </c>
      <c r="B208" s="12" t="s">
        <v>67</v>
      </c>
      <c r="C208" s="10" t="s">
        <v>58</v>
      </c>
      <c r="D208" s="10" t="s">
        <v>59</v>
      </c>
      <c r="E208" s="9">
        <v>147</v>
      </c>
      <c r="F208" s="9">
        <v>147</v>
      </c>
      <c r="G208" s="9">
        <v>1</v>
      </c>
      <c r="H208" s="10" t="s">
        <v>59</v>
      </c>
      <c r="I208" s="9">
        <v>1</v>
      </c>
      <c r="J208" s="9">
        <v>0.34790770801191701</v>
      </c>
      <c r="K208" s="10" t="s">
        <v>51</v>
      </c>
      <c r="L208" s="9">
        <v>1</v>
      </c>
      <c r="M208" s="9">
        <v>147</v>
      </c>
      <c r="N208" s="9">
        <v>147</v>
      </c>
      <c r="O208" s="9">
        <v>34</v>
      </c>
      <c r="P208" s="9">
        <v>164.36584808300501</v>
      </c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9">
        <v>164.356220333008</v>
      </c>
      <c r="AC208" s="9">
        <v>164.36584808300501</v>
      </c>
      <c r="AD208" s="9">
        <v>164.851915541003</v>
      </c>
      <c r="AE208" s="9">
        <v>164.851915541003</v>
      </c>
      <c r="AF208" s="9">
        <v>164.851915541003</v>
      </c>
      <c r="AG208" s="9">
        <v>165.21136475000799</v>
      </c>
      <c r="AH208" s="10" t="s">
        <v>59</v>
      </c>
      <c r="AI208" s="9">
        <v>1</v>
      </c>
      <c r="AJ208" s="9">
        <v>0.34790770801191701</v>
      </c>
      <c r="AK208" s="10" t="s">
        <v>51</v>
      </c>
      <c r="AL208" s="8"/>
      <c r="AM208" s="8"/>
      <c r="AN208" s="8"/>
      <c r="AO208" s="9">
        <v>1</v>
      </c>
      <c r="AP208" s="9">
        <v>1</v>
      </c>
      <c r="AQ208" s="10" t="s">
        <v>96</v>
      </c>
      <c r="AR208" s="10" t="s">
        <v>53</v>
      </c>
      <c r="AS208" s="8"/>
      <c r="AT208" s="10" t="s">
        <v>54</v>
      </c>
      <c r="AU208" s="10" t="s">
        <v>51</v>
      </c>
      <c r="AV208" s="10" t="s">
        <v>97</v>
      </c>
      <c r="AW208" s="8"/>
    </row>
    <row r="209" spans="1:49" x14ac:dyDescent="0.15">
      <c r="A209" s="11" t="s">
        <v>77</v>
      </c>
      <c r="B209" s="12" t="s">
        <v>67</v>
      </c>
      <c r="C209" s="10" t="s">
        <v>62</v>
      </c>
      <c r="D209" s="10" t="s">
        <v>63</v>
      </c>
      <c r="E209" s="9">
        <v>151</v>
      </c>
      <c r="F209" s="9">
        <v>151</v>
      </c>
      <c r="G209" s="9">
        <v>3</v>
      </c>
      <c r="H209" s="10" t="s">
        <v>63</v>
      </c>
      <c r="I209" s="9">
        <v>1</v>
      </c>
      <c r="J209" s="9">
        <v>0.35118262500327502</v>
      </c>
      <c r="K209" s="10" t="s">
        <v>51</v>
      </c>
      <c r="L209" s="9">
        <v>3</v>
      </c>
      <c r="M209" s="9">
        <v>151</v>
      </c>
      <c r="N209" s="9">
        <v>151</v>
      </c>
      <c r="O209" s="9">
        <v>41</v>
      </c>
      <c r="P209" s="9">
        <v>168.32608545799999</v>
      </c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9">
        <v>168.317664833012</v>
      </c>
      <c r="AC209" s="9">
        <v>168.32608545799999</v>
      </c>
      <c r="AD209" s="9">
        <v>168.80959412500701</v>
      </c>
      <c r="AE209" s="9">
        <v>168.80959412500701</v>
      </c>
      <c r="AF209" s="9">
        <v>168.80959412500701</v>
      </c>
      <c r="AG209" s="9">
        <v>169.167364708002</v>
      </c>
      <c r="AH209" s="10" t="s">
        <v>63</v>
      </c>
      <c r="AI209" s="9">
        <v>1</v>
      </c>
      <c r="AJ209" s="9">
        <v>0.35118262500327502</v>
      </c>
      <c r="AK209" s="10" t="s">
        <v>51</v>
      </c>
      <c r="AL209" s="8"/>
      <c r="AM209" s="8"/>
      <c r="AN209" s="8"/>
      <c r="AO209" s="9">
        <v>1</v>
      </c>
      <c r="AP209" s="9">
        <v>1</v>
      </c>
      <c r="AQ209" s="10" t="s">
        <v>96</v>
      </c>
      <c r="AR209" s="10" t="s">
        <v>53</v>
      </c>
      <c r="AS209" s="8"/>
      <c r="AT209" s="10" t="s">
        <v>54</v>
      </c>
      <c r="AU209" s="10" t="s">
        <v>51</v>
      </c>
      <c r="AV209" s="10" t="s">
        <v>97</v>
      </c>
      <c r="AW209" s="8"/>
    </row>
    <row r="210" spans="1:49" x14ac:dyDescent="0.15">
      <c r="A210" s="11" t="s">
        <v>69</v>
      </c>
      <c r="B210" s="12" t="s">
        <v>67</v>
      </c>
      <c r="C210" s="10" t="s">
        <v>58</v>
      </c>
      <c r="D210" s="10" t="s">
        <v>59</v>
      </c>
      <c r="E210" s="9">
        <v>155</v>
      </c>
      <c r="F210" s="9">
        <v>155</v>
      </c>
      <c r="G210" s="9">
        <v>2</v>
      </c>
      <c r="H210" s="10" t="s">
        <v>59</v>
      </c>
      <c r="I210" s="9">
        <v>1</v>
      </c>
      <c r="J210" s="9">
        <v>0.48182191600790297</v>
      </c>
      <c r="K210" s="10" t="s">
        <v>51</v>
      </c>
      <c r="L210" s="9">
        <v>2</v>
      </c>
      <c r="M210" s="9">
        <v>155</v>
      </c>
      <c r="N210" s="9">
        <v>155</v>
      </c>
      <c r="O210" s="9">
        <v>38</v>
      </c>
      <c r="P210" s="9">
        <v>171.94629283300301</v>
      </c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9">
        <v>171.93600237500499</v>
      </c>
      <c r="AC210" s="9">
        <v>171.94629283300301</v>
      </c>
      <c r="AD210" s="9">
        <v>172.42632379100499</v>
      </c>
      <c r="AE210" s="9">
        <v>172.42632379100499</v>
      </c>
      <c r="AF210" s="9">
        <v>172.42632379100499</v>
      </c>
      <c r="AG210" s="9">
        <v>172.91179429100899</v>
      </c>
      <c r="AH210" s="10" t="s">
        <v>59</v>
      </c>
      <c r="AI210" s="9">
        <v>1</v>
      </c>
      <c r="AJ210" s="9">
        <v>0.48182191600790297</v>
      </c>
      <c r="AK210" s="10" t="s">
        <v>51</v>
      </c>
      <c r="AL210" s="8"/>
      <c r="AM210" s="8"/>
      <c r="AN210" s="8"/>
      <c r="AO210" s="9">
        <v>1</v>
      </c>
      <c r="AP210" s="9">
        <v>1</v>
      </c>
      <c r="AQ210" s="10" t="s">
        <v>96</v>
      </c>
      <c r="AR210" s="10" t="s">
        <v>53</v>
      </c>
      <c r="AS210" s="8"/>
      <c r="AT210" s="10" t="s">
        <v>54</v>
      </c>
      <c r="AU210" s="10" t="s">
        <v>51</v>
      </c>
      <c r="AV210" s="10" t="s">
        <v>97</v>
      </c>
      <c r="AW210" s="8"/>
    </row>
    <row r="211" spans="1:49" x14ac:dyDescent="0.15">
      <c r="A211" s="11" t="s">
        <v>86</v>
      </c>
      <c r="B211" s="12" t="s">
        <v>67</v>
      </c>
      <c r="C211" s="10" t="s">
        <v>58</v>
      </c>
      <c r="D211" s="10" t="s">
        <v>59</v>
      </c>
      <c r="E211" s="9">
        <v>158</v>
      </c>
      <c r="F211" s="9">
        <v>158</v>
      </c>
      <c r="G211" s="9">
        <v>2</v>
      </c>
      <c r="H211" s="10" t="s">
        <v>59</v>
      </c>
      <c r="I211" s="9">
        <v>1</v>
      </c>
      <c r="J211" s="9">
        <v>0.29937424899253501</v>
      </c>
      <c r="K211" s="10" t="s">
        <v>51</v>
      </c>
      <c r="L211" s="9">
        <v>2</v>
      </c>
      <c r="M211" s="9">
        <v>158</v>
      </c>
      <c r="N211" s="9">
        <v>158</v>
      </c>
      <c r="O211" s="9">
        <v>34</v>
      </c>
      <c r="P211" s="9">
        <v>174.575784916</v>
      </c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9">
        <v>174.56690616600099</v>
      </c>
      <c r="AC211" s="9">
        <v>174.575784916</v>
      </c>
      <c r="AD211" s="9">
        <v>175.05965775001101</v>
      </c>
      <c r="AE211" s="9">
        <v>175.05965775001101</v>
      </c>
      <c r="AF211" s="9">
        <v>175.05965775001101</v>
      </c>
      <c r="AG211" s="9">
        <v>175.36164541600701</v>
      </c>
      <c r="AH211" s="10" t="s">
        <v>59</v>
      </c>
      <c r="AI211" s="9">
        <v>1</v>
      </c>
      <c r="AJ211" s="9">
        <v>0.29937424899253501</v>
      </c>
      <c r="AK211" s="10" t="s">
        <v>51</v>
      </c>
      <c r="AL211" s="8"/>
      <c r="AM211" s="8"/>
      <c r="AN211" s="8"/>
      <c r="AO211" s="9">
        <v>1</v>
      </c>
      <c r="AP211" s="9">
        <v>1</v>
      </c>
      <c r="AQ211" s="10" t="s">
        <v>96</v>
      </c>
      <c r="AR211" s="10" t="s">
        <v>53</v>
      </c>
      <c r="AS211" s="8"/>
      <c r="AT211" s="10" t="s">
        <v>54</v>
      </c>
      <c r="AU211" s="10" t="s">
        <v>51</v>
      </c>
      <c r="AV211" s="10" t="s">
        <v>97</v>
      </c>
      <c r="AW211" s="8"/>
    </row>
    <row r="212" spans="1:49" x14ac:dyDescent="0.15">
      <c r="A212" s="11" t="s">
        <v>66</v>
      </c>
      <c r="B212" s="12" t="s">
        <v>67</v>
      </c>
      <c r="C212" s="10" t="s">
        <v>58</v>
      </c>
      <c r="D212" s="10" t="s">
        <v>59</v>
      </c>
      <c r="E212" s="9">
        <v>162</v>
      </c>
      <c r="F212" s="9">
        <v>162</v>
      </c>
      <c r="G212" s="9">
        <v>0</v>
      </c>
      <c r="H212" s="10" t="s">
        <v>59</v>
      </c>
      <c r="I212" s="9">
        <v>1</v>
      </c>
      <c r="J212" s="9">
        <v>0.35236841699224902</v>
      </c>
      <c r="K212" s="10" t="s">
        <v>51</v>
      </c>
      <c r="L212" s="9">
        <v>0</v>
      </c>
      <c r="M212" s="9">
        <v>162</v>
      </c>
      <c r="N212" s="9">
        <v>162</v>
      </c>
      <c r="O212" s="9">
        <v>46</v>
      </c>
      <c r="P212" s="9">
        <v>178.397890208013</v>
      </c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9">
        <v>178.38857900000599</v>
      </c>
      <c r="AC212" s="9">
        <v>178.397890208013</v>
      </c>
      <c r="AD212" s="9">
        <v>178.88669700000901</v>
      </c>
      <c r="AE212" s="9">
        <v>178.88669700000901</v>
      </c>
      <c r="AF212" s="9">
        <v>178.88669700000901</v>
      </c>
      <c r="AG212" s="9">
        <v>179.24559962500601</v>
      </c>
      <c r="AH212" s="10" t="s">
        <v>59</v>
      </c>
      <c r="AI212" s="9">
        <v>1</v>
      </c>
      <c r="AJ212" s="9">
        <v>0.35236841699224902</v>
      </c>
      <c r="AK212" s="10" t="s">
        <v>51</v>
      </c>
      <c r="AL212" s="8"/>
      <c r="AM212" s="8"/>
      <c r="AN212" s="8"/>
      <c r="AO212" s="9">
        <v>1</v>
      </c>
      <c r="AP212" s="9">
        <v>1</v>
      </c>
      <c r="AQ212" s="10" t="s">
        <v>96</v>
      </c>
      <c r="AR212" s="10" t="s">
        <v>53</v>
      </c>
      <c r="AS212" s="8"/>
      <c r="AT212" s="10" t="s">
        <v>54</v>
      </c>
      <c r="AU212" s="10" t="s">
        <v>51</v>
      </c>
      <c r="AV212" s="10" t="s">
        <v>97</v>
      </c>
      <c r="AW212" s="8"/>
    </row>
    <row r="213" spans="1:49" x14ac:dyDescent="0.15">
      <c r="A213" s="11" t="s">
        <v>66</v>
      </c>
      <c r="B213" s="12" t="s">
        <v>67</v>
      </c>
      <c r="C213" s="10" t="s">
        <v>58</v>
      </c>
      <c r="D213" s="10" t="s">
        <v>59</v>
      </c>
      <c r="E213" s="9">
        <v>163</v>
      </c>
      <c r="F213" s="9">
        <v>163</v>
      </c>
      <c r="G213" s="9">
        <v>1</v>
      </c>
      <c r="H213" s="10" t="s">
        <v>59</v>
      </c>
      <c r="I213" s="9">
        <v>1</v>
      </c>
      <c r="J213" s="9">
        <v>0.44557554100174501</v>
      </c>
      <c r="K213" s="10" t="s">
        <v>51</v>
      </c>
      <c r="L213" s="9">
        <v>1</v>
      </c>
      <c r="M213" s="9">
        <v>163</v>
      </c>
      <c r="N213" s="9">
        <v>163</v>
      </c>
      <c r="O213" s="9">
        <v>46</v>
      </c>
      <c r="P213" s="9">
        <v>179.256241541007</v>
      </c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9">
        <v>179.246768000012</v>
      </c>
      <c r="AC213" s="9">
        <v>179.256241541007</v>
      </c>
      <c r="AD213" s="9">
        <v>179.743444750013</v>
      </c>
      <c r="AE213" s="9">
        <v>179.743444750013</v>
      </c>
      <c r="AF213" s="9">
        <v>179.743444750013</v>
      </c>
      <c r="AG213" s="9">
        <v>180.19522083300399</v>
      </c>
      <c r="AH213" s="10" t="s">
        <v>59</v>
      </c>
      <c r="AI213" s="9">
        <v>1</v>
      </c>
      <c r="AJ213" s="9">
        <v>0.44557554100174501</v>
      </c>
      <c r="AK213" s="10" t="s">
        <v>51</v>
      </c>
      <c r="AL213" s="8"/>
      <c r="AM213" s="8"/>
      <c r="AN213" s="8"/>
      <c r="AO213" s="9">
        <v>1</v>
      </c>
      <c r="AP213" s="9">
        <v>1</v>
      </c>
      <c r="AQ213" s="10" t="s">
        <v>96</v>
      </c>
      <c r="AR213" s="10" t="s">
        <v>53</v>
      </c>
      <c r="AS213" s="8"/>
      <c r="AT213" s="10" t="s">
        <v>54</v>
      </c>
      <c r="AU213" s="10" t="s">
        <v>51</v>
      </c>
      <c r="AV213" s="10" t="s">
        <v>97</v>
      </c>
      <c r="AW213" s="8"/>
    </row>
    <row r="214" spans="1:49" x14ac:dyDescent="0.15">
      <c r="A214" s="11" t="s">
        <v>76</v>
      </c>
      <c r="B214" s="12" t="s">
        <v>67</v>
      </c>
      <c r="C214" s="10" t="s">
        <v>58</v>
      </c>
      <c r="D214" s="10" t="s">
        <v>59</v>
      </c>
      <c r="E214" s="9">
        <v>167</v>
      </c>
      <c r="F214" s="9">
        <v>167</v>
      </c>
      <c r="G214" s="9">
        <v>4</v>
      </c>
      <c r="H214" s="10" t="s">
        <v>59</v>
      </c>
      <c r="I214" s="9">
        <v>1</v>
      </c>
      <c r="J214" s="9">
        <v>0.42908666600124001</v>
      </c>
      <c r="K214" s="10" t="s">
        <v>51</v>
      </c>
      <c r="L214" s="9">
        <v>4</v>
      </c>
      <c r="M214" s="9">
        <v>167</v>
      </c>
      <c r="N214" s="9">
        <v>167</v>
      </c>
      <c r="O214" s="9">
        <v>42</v>
      </c>
      <c r="P214" s="9">
        <v>183.07502108300099</v>
      </c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9">
        <v>183.066218708002</v>
      </c>
      <c r="AC214" s="9">
        <v>183.07502108300099</v>
      </c>
      <c r="AD214" s="9">
        <v>183.56004545801301</v>
      </c>
      <c r="AE214" s="9">
        <v>183.56004545801301</v>
      </c>
      <c r="AF214" s="9">
        <v>183.56004545801301</v>
      </c>
      <c r="AG214" s="9">
        <v>183.995708333008</v>
      </c>
      <c r="AH214" s="10" t="s">
        <v>59</v>
      </c>
      <c r="AI214" s="9">
        <v>1</v>
      </c>
      <c r="AJ214" s="9">
        <v>0.42908666600124001</v>
      </c>
      <c r="AK214" s="10" t="s">
        <v>51</v>
      </c>
      <c r="AL214" s="8"/>
      <c r="AM214" s="8"/>
      <c r="AN214" s="8"/>
      <c r="AO214" s="9">
        <v>1</v>
      </c>
      <c r="AP214" s="9">
        <v>1</v>
      </c>
      <c r="AQ214" s="10" t="s">
        <v>96</v>
      </c>
      <c r="AR214" s="10" t="s">
        <v>53</v>
      </c>
      <c r="AS214" s="8"/>
      <c r="AT214" s="10" t="s">
        <v>54</v>
      </c>
      <c r="AU214" s="10" t="s">
        <v>51</v>
      </c>
      <c r="AV214" s="10" t="s">
        <v>97</v>
      </c>
      <c r="AW214" s="8"/>
    </row>
    <row r="215" spans="1:49" x14ac:dyDescent="0.15">
      <c r="A215" s="11" t="s">
        <v>80</v>
      </c>
      <c r="B215" s="12" t="s">
        <v>67</v>
      </c>
      <c r="C215" s="10" t="s">
        <v>58</v>
      </c>
      <c r="D215" s="10" t="s">
        <v>59</v>
      </c>
      <c r="E215" s="9">
        <v>168</v>
      </c>
      <c r="F215" s="9">
        <v>168</v>
      </c>
      <c r="G215" s="9">
        <v>3</v>
      </c>
      <c r="H215" s="10" t="s">
        <v>59</v>
      </c>
      <c r="I215" s="9">
        <v>1</v>
      </c>
      <c r="J215" s="9">
        <v>0.33360766600526398</v>
      </c>
      <c r="K215" s="10" t="s">
        <v>51</v>
      </c>
      <c r="L215" s="9">
        <v>3</v>
      </c>
      <c r="M215" s="9">
        <v>168</v>
      </c>
      <c r="N215" s="9">
        <v>168</v>
      </c>
      <c r="O215" s="9">
        <v>32</v>
      </c>
      <c r="P215" s="9">
        <v>184.00950574999999</v>
      </c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9">
        <v>184.00085370801401</v>
      </c>
      <c r="AC215" s="9">
        <v>184.00950574999999</v>
      </c>
      <c r="AD215" s="9">
        <v>184.49357604100101</v>
      </c>
      <c r="AE215" s="9">
        <v>184.49357604100101</v>
      </c>
      <c r="AF215" s="9">
        <v>184.49357604100101</v>
      </c>
      <c r="AG215" s="9">
        <v>184.82880229101301</v>
      </c>
      <c r="AH215" s="10" t="s">
        <v>59</v>
      </c>
      <c r="AI215" s="9">
        <v>1</v>
      </c>
      <c r="AJ215" s="9">
        <v>0.33360766600526398</v>
      </c>
      <c r="AK215" s="10" t="s">
        <v>51</v>
      </c>
      <c r="AL215" s="8"/>
      <c r="AM215" s="8"/>
      <c r="AN215" s="8"/>
      <c r="AO215" s="9">
        <v>1</v>
      </c>
      <c r="AP215" s="9">
        <v>1</v>
      </c>
      <c r="AQ215" s="10" t="s">
        <v>96</v>
      </c>
      <c r="AR215" s="10" t="s">
        <v>53</v>
      </c>
      <c r="AS215" s="8"/>
      <c r="AT215" s="10" t="s">
        <v>54</v>
      </c>
      <c r="AU215" s="10" t="s">
        <v>51</v>
      </c>
      <c r="AV215" s="10" t="s">
        <v>97</v>
      </c>
      <c r="AW215" s="8"/>
    </row>
    <row r="216" spans="1:49" x14ac:dyDescent="0.15">
      <c r="A216" s="11" t="s">
        <v>76</v>
      </c>
      <c r="B216" s="12" t="s">
        <v>67</v>
      </c>
      <c r="C216" s="10" t="s">
        <v>62</v>
      </c>
      <c r="D216" s="10" t="s">
        <v>63</v>
      </c>
      <c r="E216" s="9">
        <v>172</v>
      </c>
      <c r="F216" s="9">
        <v>172</v>
      </c>
      <c r="G216" s="9">
        <v>2</v>
      </c>
      <c r="H216" s="10" t="s">
        <v>63</v>
      </c>
      <c r="I216" s="9">
        <v>1</v>
      </c>
      <c r="J216" s="9">
        <v>0.49696145798952801</v>
      </c>
      <c r="K216" s="10" t="s">
        <v>51</v>
      </c>
      <c r="L216" s="9">
        <v>2</v>
      </c>
      <c r="M216" s="9">
        <v>172</v>
      </c>
      <c r="N216" s="9">
        <v>172</v>
      </c>
      <c r="O216" s="9">
        <v>43</v>
      </c>
      <c r="P216" s="9">
        <v>187.60885241599999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9">
        <v>187.600010375012</v>
      </c>
      <c r="AC216" s="9">
        <v>187.60885241599999</v>
      </c>
      <c r="AD216" s="9">
        <v>188.09340833300701</v>
      </c>
      <c r="AE216" s="9">
        <v>188.09340833300701</v>
      </c>
      <c r="AF216" s="9">
        <v>188.09340833300701</v>
      </c>
      <c r="AG216" s="9">
        <v>188.59578420801</v>
      </c>
      <c r="AH216" s="10" t="s">
        <v>63</v>
      </c>
      <c r="AI216" s="9">
        <v>1</v>
      </c>
      <c r="AJ216" s="9">
        <v>0.49696145798952801</v>
      </c>
      <c r="AK216" s="10" t="s">
        <v>51</v>
      </c>
      <c r="AL216" s="8"/>
      <c r="AM216" s="8"/>
      <c r="AN216" s="8"/>
      <c r="AO216" s="9">
        <v>1</v>
      </c>
      <c r="AP216" s="9">
        <v>1</v>
      </c>
      <c r="AQ216" s="10" t="s">
        <v>96</v>
      </c>
      <c r="AR216" s="10" t="s">
        <v>53</v>
      </c>
      <c r="AS216" s="8"/>
      <c r="AT216" s="10" t="s">
        <v>54</v>
      </c>
      <c r="AU216" s="10" t="s">
        <v>51</v>
      </c>
      <c r="AV216" s="10" t="s">
        <v>97</v>
      </c>
      <c r="AW216" s="8"/>
    </row>
    <row r="217" spans="1:49" x14ac:dyDescent="0.15">
      <c r="A217" s="11" t="s">
        <v>77</v>
      </c>
      <c r="B217" s="12" t="s">
        <v>67</v>
      </c>
      <c r="C217" s="10" t="s">
        <v>62</v>
      </c>
      <c r="D217" s="10" t="s">
        <v>63</v>
      </c>
      <c r="E217" s="9">
        <v>174</v>
      </c>
      <c r="F217" s="9">
        <v>174</v>
      </c>
      <c r="G217" s="9">
        <v>4</v>
      </c>
      <c r="H217" s="10" t="s">
        <v>63</v>
      </c>
      <c r="I217" s="9">
        <v>1</v>
      </c>
      <c r="J217" s="9">
        <v>0.520788458001334</v>
      </c>
      <c r="K217" s="10" t="s">
        <v>51</v>
      </c>
      <c r="L217" s="9">
        <v>4</v>
      </c>
      <c r="M217" s="9">
        <v>174</v>
      </c>
      <c r="N217" s="9">
        <v>174</v>
      </c>
      <c r="O217" s="9">
        <v>41</v>
      </c>
      <c r="P217" s="9">
        <v>189.509762208007</v>
      </c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9">
        <v>189.50092208301101</v>
      </c>
      <c r="AC217" s="9">
        <v>189.509762208007</v>
      </c>
      <c r="AD217" s="9">
        <v>189.99341100000299</v>
      </c>
      <c r="AE217" s="9">
        <v>189.99341100000299</v>
      </c>
      <c r="AF217" s="9">
        <v>189.99341100000299</v>
      </c>
      <c r="AG217" s="9">
        <v>190.51803791600099</v>
      </c>
      <c r="AH217" s="10" t="s">
        <v>63</v>
      </c>
      <c r="AI217" s="9">
        <v>1</v>
      </c>
      <c r="AJ217" s="9">
        <v>0.520788458001334</v>
      </c>
      <c r="AK217" s="10" t="s">
        <v>51</v>
      </c>
      <c r="AL217" s="8"/>
      <c r="AM217" s="8"/>
      <c r="AN217" s="8"/>
      <c r="AO217" s="9">
        <v>1</v>
      </c>
      <c r="AP217" s="9">
        <v>1</v>
      </c>
      <c r="AQ217" s="10" t="s">
        <v>96</v>
      </c>
      <c r="AR217" s="10" t="s">
        <v>53</v>
      </c>
      <c r="AS217" s="8"/>
      <c r="AT217" s="10" t="s">
        <v>54</v>
      </c>
      <c r="AU217" s="10" t="s">
        <v>51</v>
      </c>
      <c r="AV217" s="10" t="s">
        <v>97</v>
      </c>
      <c r="AW217" s="8"/>
    </row>
    <row r="218" spans="1:49" x14ac:dyDescent="0.15">
      <c r="A218" s="11" t="s">
        <v>86</v>
      </c>
      <c r="B218" s="12" t="s">
        <v>67</v>
      </c>
      <c r="C218" s="10" t="s">
        <v>58</v>
      </c>
      <c r="D218" s="10" t="s">
        <v>59</v>
      </c>
      <c r="E218" s="9">
        <v>178</v>
      </c>
      <c r="F218" s="9">
        <v>178</v>
      </c>
      <c r="G218" s="9">
        <v>3</v>
      </c>
      <c r="H218" s="10" t="s">
        <v>59</v>
      </c>
      <c r="I218" s="9">
        <v>1</v>
      </c>
      <c r="J218" s="9">
        <v>0.68327608300023701</v>
      </c>
      <c r="K218" s="10" t="s">
        <v>51</v>
      </c>
      <c r="L218" s="9">
        <v>3</v>
      </c>
      <c r="M218" s="9">
        <v>178</v>
      </c>
      <c r="N218" s="9">
        <v>178</v>
      </c>
      <c r="O218" s="9">
        <v>34</v>
      </c>
      <c r="P218" s="9">
        <v>194.242968458013</v>
      </c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9">
        <v>194.23403541601101</v>
      </c>
      <c r="AC218" s="9">
        <v>194.242968458013</v>
      </c>
      <c r="AD218" s="9">
        <v>194.72711529101099</v>
      </c>
      <c r="AE218" s="9">
        <v>194.72711529101099</v>
      </c>
      <c r="AF218" s="9">
        <v>194.72711529101099</v>
      </c>
      <c r="AG218" s="9">
        <v>195.41276166601199</v>
      </c>
      <c r="AH218" s="10" t="s">
        <v>59</v>
      </c>
      <c r="AI218" s="9">
        <v>1</v>
      </c>
      <c r="AJ218" s="9">
        <v>0.68327608300023701</v>
      </c>
      <c r="AK218" s="10" t="s">
        <v>51</v>
      </c>
      <c r="AL218" s="8"/>
      <c r="AM218" s="8"/>
      <c r="AN218" s="8"/>
      <c r="AO218" s="9">
        <v>1</v>
      </c>
      <c r="AP218" s="9">
        <v>1</v>
      </c>
      <c r="AQ218" s="10" t="s">
        <v>96</v>
      </c>
      <c r="AR218" s="10" t="s">
        <v>53</v>
      </c>
      <c r="AS218" s="8"/>
      <c r="AT218" s="10" t="s">
        <v>54</v>
      </c>
      <c r="AU218" s="10" t="s">
        <v>51</v>
      </c>
      <c r="AV218" s="10" t="s">
        <v>97</v>
      </c>
      <c r="AW218" s="8"/>
    </row>
    <row r="219" spans="1:49" x14ac:dyDescent="0.15">
      <c r="A219" s="11" t="s">
        <v>66</v>
      </c>
      <c r="B219" s="12" t="s">
        <v>67</v>
      </c>
      <c r="C219" s="10" t="s">
        <v>58</v>
      </c>
      <c r="D219" s="10" t="s">
        <v>59</v>
      </c>
      <c r="E219" s="9">
        <v>180</v>
      </c>
      <c r="F219" s="9">
        <v>180</v>
      </c>
      <c r="G219" s="9">
        <v>2</v>
      </c>
      <c r="H219" s="10" t="s">
        <v>59</v>
      </c>
      <c r="I219" s="9">
        <v>1</v>
      </c>
      <c r="J219" s="9">
        <v>0.39089083300496003</v>
      </c>
      <c r="K219" s="10" t="s">
        <v>51</v>
      </c>
      <c r="L219" s="9">
        <v>2</v>
      </c>
      <c r="M219" s="9">
        <v>180</v>
      </c>
      <c r="N219" s="9">
        <v>180</v>
      </c>
      <c r="O219" s="9">
        <v>46</v>
      </c>
      <c r="P219" s="9">
        <v>196.52564225001001</v>
      </c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9">
        <v>196.51706583300299</v>
      </c>
      <c r="AC219" s="9">
        <v>196.52564225001001</v>
      </c>
      <c r="AD219" s="9">
        <v>197.010419791011</v>
      </c>
      <c r="AE219" s="9">
        <v>197.010419791011</v>
      </c>
      <c r="AF219" s="9">
        <v>197.010419791011</v>
      </c>
      <c r="AG219" s="9">
        <v>197.412677375003</v>
      </c>
      <c r="AH219" s="10" t="s">
        <v>59</v>
      </c>
      <c r="AI219" s="9">
        <v>1</v>
      </c>
      <c r="AJ219" s="9">
        <v>0.39089083300496003</v>
      </c>
      <c r="AK219" s="10" t="s">
        <v>51</v>
      </c>
      <c r="AL219" s="8"/>
      <c r="AM219" s="8"/>
      <c r="AN219" s="8"/>
      <c r="AO219" s="9">
        <v>1</v>
      </c>
      <c r="AP219" s="9">
        <v>1</v>
      </c>
      <c r="AQ219" s="10" t="s">
        <v>96</v>
      </c>
      <c r="AR219" s="10" t="s">
        <v>53</v>
      </c>
      <c r="AS219" s="8"/>
      <c r="AT219" s="10" t="s">
        <v>54</v>
      </c>
      <c r="AU219" s="10" t="s">
        <v>51</v>
      </c>
      <c r="AV219" s="10" t="s">
        <v>97</v>
      </c>
      <c r="AW219" s="8"/>
    </row>
    <row r="220" spans="1:49" x14ac:dyDescent="0.15">
      <c r="A220" s="11" t="s">
        <v>86</v>
      </c>
      <c r="B220" s="12" t="s">
        <v>67</v>
      </c>
      <c r="C220" s="10" t="s">
        <v>62</v>
      </c>
      <c r="D220" s="10" t="s">
        <v>63</v>
      </c>
      <c r="E220" s="9">
        <v>181</v>
      </c>
      <c r="F220" s="9">
        <v>181</v>
      </c>
      <c r="G220" s="9">
        <v>4</v>
      </c>
      <c r="H220" s="10" t="s">
        <v>63</v>
      </c>
      <c r="I220" s="9">
        <v>1</v>
      </c>
      <c r="J220" s="9">
        <v>0.49466137500712698</v>
      </c>
      <c r="K220" s="10" t="s">
        <v>51</v>
      </c>
      <c r="L220" s="9">
        <v>4</v>
      </c>
      <c r="M220" s="9">
        <v>181</v>
      </c>
      <c r="N220" s="9">
        <v>181</v>
      </c>
      <c r="O220" s="9">
        <v>35</v>
      </c>
      <c r="P220" s="9">
        <v>197.42629320800199</v>
      </c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9">
        <v>197.41727670800199</v>
      </c>
      <c r="AC220" s="9">
        <v>197.42629320800199</v>
      </c>
      <c r="AD220" s="9">
        <v>197.91056291600401</v>
      </c>
      <c r="AE220" s="9">
        <v>197.91056291600401</v>
      </c>
      <c r="AF220" s="9">
        <v>197.91056291600401</v>
      </c>
      <c r="AG220" s="9">
        <v>198.41269470800799</v>
      </c>
      <c r="AH220" s="10" t="s">
        <v>63</v>
      </c>
      <c r="AI220" s="9">
        <v>1</v>
      </c>
      <c r="AJ220" s="9">
        <v>0.49466137500712698</v>
      </c>
      <c r="AK220" s="10" t="s">
        <v>51</v>
      </c>
      <c r="AL220" s="8"/>
      <c r="AM220" s="8"/>
      <c r="AN220" s="8"/>
      <c r="AO220" s="9">
        <v>1</v>
      </c>
      <c r="AP220" s="9">
        <v>1</v>
      </c>
      <c r="AQ220" s="10" t="s">
        <v>96</v>
      </c>
      <c r="AR220" s="10" t="s">
        <v>53</v>
      </c>
      <c r="AS220" s="8"/>
      <c r="AT220" s="10" t="s">
        <v>54</v>
      </c>
      <c r="AU220" s="10" t="s">
        <v>51</v>
      </c>
      <c r="AV220" s="10" t="s">
        <v>97</v>
      </c>
      <c r="AW220" s="8"/>
    </row>
    <row r="221" spans="1:49" x14ac:dyDescent="0.15">
      <c r="A221" s="11" t="s">
        <v>81</v>
      </c>
      <c r="B221" s="12" t="s">
        <v>67</v>
      </c>
      <c r="C221" s="10" t="s">
        <v>62</v>
      </c>
      <c r="D221" s="10" t="s">
        <v>63</v>
      </c>
      <c r="E221" s="9">
        <v>182</v>
      </c>
      <c r="F221" s="9">
        <v>182</v>
      </c>
      <c r="G221" s="9">
        <v>4</v>
      </c>
      <c r="H221" s="10" t="s">
        <v>63</v>
      </c>
      <c r="I221" s="9">
        <v>1</v>
      </c>
      <c r="J221" s="9">
        <v>0.58374375000130396</v>
      </c>
      <c r="K221" s="10" t="s">
        <v>51</v>
      </c>
      <c r="L221" s="9">
        <v>4</v>
      </c>
      <c r="M221" s="9">
        <v>182</v>
      </c>
      <c r="N221" s="9">
        <v>182</v>
      </c>
      <c r="O221" s="9">
        <v>45</v>
      </c>
      <c r="P221" s="9">
        <v>198.425058583001</v>
      </c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9">
        <v>198.41648545800101</v>
      </c>
      <c r="AC221" s="9">
        <v>198.425058583001</v>
      </c>
      <c r="AD221" s="9">
        <v>198.910634250002</v>
      </c>
      <c r="AE221" s="9">
        <v>198.910634250002</v>
      </c>
      <c r="AF221" s="9">
        <v>198.910634250002</v>
      </c>
      <c r="AG221" s="9">
        <v>199.496196125008</v>
      </c>
      <c r="AH221" s="10" t="s">
        <v>63</v>
      </c>
      <c r="AI221" s="9">
        <v>1</v>
      </c>
      <c r="AJ221" s="9">
        <v>0.58374375000130396</v>
      </c>
      <c r="AK221" s="10" t="s">
        <v>51</v>
      </c>
      <c r="AL221" s="8"/>
      <c r="AM221" s="8"/>
      <c r="AN221" s="8"/>
      <c r="AO221" s="9">
        <v>1</v>
      </c>
      <c r="AP221" s="9">
        <v>1</v>
      </c>
      <c r="AQ221" s="10" t="s">
        <v>96</v>
      </c>
      <c r="AR221" s="10" t="s">
        <v>53</v>
      </c>
      <c r="AS221" s="8"/>
      <c r="AT221" s="10" t="s">
        <v>54</v>
      </c>
      <c r="AU221" s="10" t="s">
        <v>51</v>
      </c>
      <c r="AV221" s="10" t="s">
        <v>97</v>
      </c>
      <c r="AW221" s="8"/>
    </row>
    <row r="222" spans="1:49" x14ac:dyDescent="0.15">
      <c r="A222" s="11" t="s">
        <v>66</v>
      </c>
      <c r="B222" s="12" t="s">
        <v>67</v>
      </c>
      <c r="C222" s="10" t="s">
        <v>58</v>
      </c>
      <c r="D222" s="10" t="s">
        <v>59</v>
      </c>
      <c r="E222" s="9">
        <v>183</v>
      </c>
      <c r="F222" s="9">
        <v>183</v>
      </c>
      <c r="G222" s="9">
        <v>3</v>
      </c>
      <c r="H222" s="10" t="s">
        <v>59</v>
      </c>
      <c r="I222" s="9">
        <v>1</v>
      </c>
      <c r="J222" s="9">
        <v>0.49046499999531101</v>
      </c>
      <c r="K222" s="10" t="s">
        <v>51</v>
      </c>
      <c r="L222" s="9">
        <v>3</v>
      </c>
      <c r="M222" s="9">
        <v>183</v>
      </c>
      <c r="N222" s="9">
        <v>183</v>
      </c>
      <c r="O222" s="9">
        <v>46</v>
      </c>
      <c r="P222" s="9">
        <v>199.51062458301001</v>
      </c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9">
        <v>199.50129000000001</v>
      </c>
      <c r="AC222" s="9">
        <v>199.51062458301001</v>
      </c>
      <c r="AD222" s="9">
        <v>199.99395245801099</v>
      </c>
      <c r="AE222" s="9">
        <v>199.99395245801099</v>
      </c>
      <c r="AF222" s="9">
        <v>199.99395245801099</v>
      </c>
      <c r="AG222" s="9">
        <v>200.49599683300801</v>
      </c>
      <c r="AH222" s="10" t="s">
        <v>59</v>
      </c>
      <c r="AI222" s="9">
        <v>1</v>
      </c>
      <c r="AJ222" s="9">
        <v>0.49046499999531101</v>
      </c>
      <c r="AK222" s="10" t="s">
        <v>51</v>
      </c>
      <c r="AL222" s="8"/>
      <c r="AM222" s="8"/>
      <c r="AN222" s="8"/>
      <c r="AO222" s="9">
        <v>1</v>
      </c>
      <c r="AP222" s="9">
        <v>1</v>
      </c>
      <c r="AQ222" s="10" t="s">
        <v>96</v>
      </c>
      <c r="AR222" s="10" t="s">
        <v>53</v>
      </c>
      <c r="AS222" s="8"/>
      <c r="AT222" s="10" t="s">
        <v>54</v>
      </c>
      <c r="AU222" s="10" t="s">
        <v>51</v>
      </c>
      <c r="AV222" s="10" t="s">
        <v>97</v>
      </c>
      <c r="AW222" s="8"/>
    </row>
    <row r="223" spans="1:49" x14ac:dyDescent="0.15">
      <c r="A223" s="11" t="s">
        <v>80</v>
      </c>
      <c r="B223" s="12" t="s">
        <v>67</v>
      </c>
      <c r="C223" s="10" t="s">
        <v>62</v>
      </c>
      <c r="D223" s="10" t="s">
        <v>63</v>
      </c>
      <c r="E223" s="9">
        <v>188</v>
      </c>
      <c r="F223" s="9">
        <v>188</v>
      </c>
      <c r="G223" s="9">
        <v>4</v>
      </c>
      <c r="H223" s="10" t="s">
        <v>63</v>
      </c>
      <c r="I223" s="9">
        <v>1</v>
      </c>
      <c r="J223" s="9">
        <v>0.50973870798770804</v>
      </c>
      <c r="K223" s="10" t="s">
        <v>51</v>
      </c>
      <c r="L223" s="9">
        <v>4</v>
      </c>
      <c r="M223" s="9">
        <v>188</v>
      </c>
      <c r="N223" s="9">
        <v>188</v>
      </c>
      <c r="O223" s="9">
        <v>33</v>
      </c>
      <c r="P223" s="9">
        <v>205.53365970800201</v>
      </c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9">
        <v>205.52425245801001</v>
      </c>
      <c r="AC223" s="9">
        <v>205.53365970800201</v>
      </c>
      <c r="AD223" s="9">
        <v>206.020685125011</v>
      </c>
      <c r="AE223" s="9">
        <v>206.020685125011</v>
      </c>
      <c r="AF223" s="9">
        <v>206.020685125011</v>
      </c>
      <c r="AG223" s="9">
        <v>206.53528225001401</v>
      </c>
      <c r="AH223" s="10" t="s">
        <v>63</v>
      </c>
      <c r="AI223" s="9">
        <v>1</v>
      </c>
      <c r="AJ223" s="9">
        <v>0.50973870798770804</v>
      </c>
      <c r="AK223" s="10" t="s">
        <v>51</v>
      </c>
      <c r="AL223" s="8"/>
      <c r="AM223" s="8"/>
      <c r="AN223" s="8"/>
      <c r="AO223" s="9">
        <v>1</v>
      </c>
      <c r="AP223" s="9">
        <v>1</v>
      </c>
      <c r="AQ223" s="10" t="s">
        <v>96</v>
      </c>
      <c r="AR223" s="10" t="s">
        <v>53</v>
      </c>
      <c r="AS223" s="8"/>
      <c r="AT223" s="10" t="s">
        <v>54</v>
      </c>
      <c r="AU223" s="10" t="s">
        <v>51</v>
      </c>
      <c r="AV223" s="10" t="s">
        <v>97</v>
      </c>
      <c r="AW223" s="8"/>
    </row>
    <row r="224" spans="1:49" x14ac:dyDescent="0.15">
      <c r="A224" s="11" t="s">
        <v>82</v>
      </c>
      <c r="B224" s="12" t="s">
        <v>67</v>
      </c>
      <c r="C224" s="10" t="s">
        <v>62</v>
      </c>
      <c r="D224" s="10" t="s">
        <v>63</v>
      </c>
      <c r="E224" s="9">
        <v>189</v>
      </c>
      <c r="F224" s="9">
        <v>189</v>
      </c>
      <c r="G224" s="9">
        <v>2</v>
      </c>
      <c r="H224" s="10" t="s">
        <v>63</v>
      </c>
      <c r="I224" s="9">
        <v>1</v>
      </c>
      <c r="J224" s="9">
        <v>0.44548549999308301</v>
      </c>
      <c r="K224" s="10" t="s">
        <v>51</v>
      </c>
      <c r="L224" s="9">
        <v>2</v>
      </c>
      <c r="M224" s="9">
        <v>189</v>
      </c>
      <c r="N224" s="9">
        <v>189</v>
      </c>
      <c r="O224" s="9">
        <v>37</v>
      </c>
      <c r="P224" s="9">
        <v>206.549736833011</v>
      </c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9">
        <v>206.540491958003</v>
      </c>
      <c r="AC224" s="9">
        <v>206.549736833011</v>
      </c>
      <c r="AD224" s="9">
        <v>207.03697145800101</v>
      </c>
      <c r="AE224" s="9">
        <v>207.03697145800101</v>
      </c>
      <c r="AF224" s="9">
        <v>207.03697145800101</v>
      </c>
      <c r="AG224" s="9">
        <v>207.48594241601</v>
      </c>
      <c r="AH224" s="10" t="s">
        <v>63</v>
      </c>
      <c r="AI224" s="9">
        <v>1</v>
      </c>
      <c r="AJ224" s="9">
        <v>0.44548549999308301</v>
      </c>
      <c r="AK224" s="10" t="s">
        <v>51</v>
      </c>
      <c r="AL224" s="8"/>
      <c r="AM224" s="8"/>
      <c r="AN224" s="8"/>
      <c r="AO224" s="9">
        <v>1</v>
      </c>
      <c r="AP224" s="9">
        <v>1</v>
      </c>
      <c r="AQ224" s="10" t="s">
        <v>96</v>
      </c>
      <c r="AR224" s="10" t="s">
        <v>53</v>
      </c>
      <c r="AS224" s="8"/>
      <c r="AT224" s="10" t="s">
        <v>54</v>
      </c>
      <c r="AU224" s="10" t="s">
        <v>51</v>
      </c>
      <c r="AV224" s="10" t="s">
        <v>97</v>
      </c>
      <c r="AW224" s="8"/>
    </row>
    <row r="225" spans="1:49" x14ac:dyDescent="0.15">
      <c r="A225" s="11" t="s">
        <v>77</v>
      </c>
      <c r="B225" s="12" t="s">
        <v>67</v>
      </c>
      <c r="C225" s="10" t="s">
        <v>58</v>
      </c>
      <c r="D225" s="10" t="s">
        <v>59</v>
      </c>
      <c r="E225" s="9">
        <v>190</v>
      </c>
      <c r="F225" s="9">
        <v>190</v>
      </c>
      <c r="G225" s="9">
        <v>3</v>
      </c>
      <c r="H225" s="10" t="s">
        <v>59</v>
      </c>
      <c r="I225" s="9">
        <v>1</v>
      </c>
      <c r="J225" s="9">
        <v>0.442754415998934</v>
      </c>
      <c r="K225" s="10" t="s">
        <v>51</v>
      </c>
      <c r="L225" s="9">
        <v>3</v>
      </c>
      <c r="M225" s="9">
        <v>190</v>
      </c>
      <c r="N225" s="9">
        <v>190</v>
      </c>
      <c r="O225" s="9">
        <v>40</v>
      </c>
      <c r="P225" s="9">
        <v>207.49945004100999</v>
      </c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9">
        <v>207.49007783300499</v>
      </c>
      <c r="AC225" s="9">
        <v>207.49945004100999</v>
      </c>
      <c r="AD225" s="9">
        <v>207.98684537501001</v>
      </c>
      <c r="AE225" s="9">
        <v>207.98684537501001</v>
      </c>
      <c r="AF225" s="9">
        <v>207.98684537501001</v>
      </c>
      <c r="AG225" s="9">
        <v>208.43614316600701</v>
      </c>
      <c r="AH225" s="10" t="s">
        <v>59</v>
      </c>
      <c r="AI225" s="9">
        <v>1</v>
      </c>
      <c r="AJ225" s="9">
        <v>0.442754415998934</v>
      </c>
      <c r="AK225" s="10" t="s">
        <v>51</v>
      </c>
      <c r="AL225" s="8"/>
      <c r="AM225" s="8"/>
      <c r="AN225" s="8"/>
      <c r="AO225" s="9">
        <v>1</v>
      </c>
      <c r="AP225" s="9">
        <v>1</v>
      </c>
      <c r="AQ225" s="10" t="s">
        <v>96</v>
      </c>
      <c r="AR225" s="10" t="s">
        <v>53</v>
      </c>
      <c r="AS225" s="8"/>
      <c r="AT225" s="10" t="s">
        <v>54</v>
      </c>
      <c r="AU225" s="10" t="s">
        <v>51</v>
      </c>
      <c r="AV225" s="10" t="s">
        <v>97</v>
      </c>
      <c r="AW225" s="8"/>
    </row>
    <row r="226" spans="1:49" x14ac:dyDescent="0.15">
      <c r="A226" s="11" t="s">
        <v>66</v>
      </c>
      <c r="B226" s="12" t="s">
        <v>67</v>
      </c>
      <c r="C226" s="10" t="s">
        <v>62</v>
      </c>
      <c r="D226" s="10" t="s">
        <v>63</v>
      </c>
      <c r="E226" s="9">
        <v>194</v>
      </c>
      <c r="F226" s="9">
        <v>194</v>
      </c>
      <c r="G226" s="9">
        <v>3</v>
      </c>
      <c r="H226" s="10" t="s">
        <v>63</v>
      </c>
      <c r="I226" s="9">
        <v>1</v>
      </c>
      <c r="J226" s="9">
        <v>0.82110533300146904</v>
      </c>
      <c r="K226" s="10" t="s">
        <v>51</v>
      </c>
      <c r="L226" s="9">
        <v>3</v>
      </c>
      <c r="M226" s="9">
        <v>194</v>
      </c>
      <c r="N226" s="9">
        <v>194</v>
      </c>
      <c r="O226" s="9">
        <v>47</v>
      </c>
      <c r="P226" s="9">
        <v>211.559680208011</v>
      </c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9">
        <v>211.550444708002</v>
      </c>
      <c r="AC226" s="9">
        <v>211.559680208011</v>
      </c>
      <c r="AD226" s="9">
        <v>212.04443541601401</v>
      </c>
      <c r="AE226" s="9">
        <v>212.04443541601401</v>
      </c>
      <c r="AF226" s="9">
        <v>212.04443541601401</v>
      </c>
      <c r="AG226" s="9">
        <v>212.869472000006</v>
      </c>
      <c r="AH226" s="10" t="s">
        <v>63</v>
      </c>
      <c r="AI226" s="9">
        <v>1</v>
      </c>
      <c r="AJ226" s="9">
        <v>0.82110533300146904</v>
      </c>
      <c r="AK226" s="10" t="s">
        <v>51</v>
      </c>
      <c r="AL226" s="8"/>
      <c r="AM226" s="8"/>
      <c r="AN226" s="8"/>
      <c r="AO226" s="9">
        <v>1</v>
      </c>
      <c r="AP226" s="9">
        <v>1</v>
      </c>
      <c r="AQ226" s="10" t="s">
        <v>96</v>
      </c>
      <c r="AR226" s="10" t="s">
        <v>53</v>
      </c>
      <c r="AS226" s="8"/>
      <c r="AT226" s="10" t="s">
        <v>54</v>
      </c>
      <c r="AU226" s="10" t="s">
        <v>51</v>
      </c>
      <c r="AV226" s="10" t="s">
        <v>97</v>
      </c>
      <c r="AW226" s="8"/>
    </row>
    <row r="227" spans="1:49" x14ac:dyDescent="0.15">
      <c r="A227" s="11" t="s">
        <v>82</v>
      </c>
      <c r="B227" s="12" t="s">
        <v>67</v>
      </c>
      <c r="C227" s="10" t="s">
        <v>58</v>
      </c>
      <c r="D227" s="10" t="s">
        <v>59</v>
      </c>
      <c r="E227" s="9">
        <v>203</v>
      </c>
      <c r="F227" s="9">
        <v>203</v>
      </c>
      <c r="G227" s="9">
        <v>3</v>
      </c>
      <c r="H227" s="10" t="s">
        <v>59</v>
      </c>
      <c r="I227" s="9">
        <v>1</v>
      </c>
      <c r="J227" s="9">
        <v>0.39466150000225803</v>
      </c>
      <c r="K227" s="10" t="s">
        <v>51</v>
      </c>
      <c r="L227" s="9">
        <v>3</v>
      </c>
      <c r="M227" s="9">
        <v>203</v>
      </c>
      <c r="N227" s="9">
        <v>203</v>
      </c>
      <c r="O227" s="9">
        <v>36</v>
      </c>
      <c r="P227" s="9">
        <v>220.427282291013</v>
      </c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9">
        <v>220.41847962500501</v>
      </c>
      <c r="AC227" s="9">
        <v>220.427282291013</v>
      </c>
      <c r="AD227" s="9">
        <v>220.91112129100699</v>
      </c>
      <c r="AE227" s="9">
        <v>220.91112129100699</v>
      </c>
      <c r="AF227" s="9">
        <v>220.91112129100699</v>
      </c>
      <c r="AG227" s="9">
        <v>221.313436208002</v>
      </c>
      <c r="AH227" s="10" t="s">
        <v>59</v>
      </c>
      <c r="AI227" s="9">
        <v>1</v>
      </c>
      <c r="AJ227" s="9">
        <v>0.39466150000225803</v>
      </c>
      <c r="AK227" s="10" t="s">
        <v>51</v>
      </c>
      <c r="AL227" s="8"/>
      <c r="AM227" s="8"/>
      <c r="AN227" s="8"/>
      <c r="AO227" s="9">
        <v>1</v>
      </c>
      <c r="AP227" s="9">
        <v>1</v>
      </c>
      <c r="AQ227" s="10" t="s">
        <v>96</v>
      </c>
      <c r="AR227" s="10" t="s">
        <v>53</v>
      </c>
      <c r="AS227" s="8"/>
      <c r="AT227" s="10" t="s">
        <v>54</v>
      </c>
      <c r="AU227" s="10" t="s">
        <v>51</v>
      </c>
      <c r="AV227" s="10" t="s">
        <v>97</v>
      </c>
      <c r="AW227" s="8"/>
    </row>
    <row r="228" spans="1:49" x14ac:dyDescent="0.15">
      <c r="A228" s="11" t="s">
        <v>82</v>
      </c>
      <c r="B228" s="12" t="s">
        <v>67</v>
      </c>
      <c r="C228" s="10" t="s">
        <v>62</v>
      </c>
      <c r="D228" s="10" t="s">
        <v>63</v>
      </c>
      <c r="E228" s="9">
        <v>205</v>
      </c>
      <c r="F228" s="9">
        <v>205</v>
      </c>
      <c r="G228" s="9">
        <v>3</v>
      </c>
      <c r="H228" s="10" t="s">
        <v>63</v>
      </c>
      <c r="I228" s="9">
        <v>1</v>
      </c>
      <c r="J228" s="9">
        <v>0.55426299999817297</v>
      </c>
      <c r="K228" s="10" t="s">
        <v>51</v>
      </c>
      <c r="L228" s="9">
        <v>3</v>
      </c>
      <c r="M228" s="9">
        <v>205</v>
      </c>
      <c r="N228" s="9">
        <v>205</v>
      </c>
      <c r="O228" s="9">
        <v>37</v>
      </c>
      <c r="P228" s="9">
        <v>222.26739320800701</v>
      </c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9">
        <v>222.25802108300601</v>
      </c>
      <c r="AC228" s="9">
        <v>222.26739320800701</v>
      </c>
      <c r="AD228" s="9">
        <v>222.75464270800899</v>
      </c>
      <c r="AE228" s="9">
        <v>222.75464270800899</v>
      </c>
      <c r="AF228" s="9">
        <v>222.75464270800899</v>
      </c>
      <c r="AG228" s="9">
        <v>223.31380566601001</v>
      </c>
      <c r="AH228" s="10" t="s">
        <v>63</v>
      </c>
      <c r="AI228" s="9">
        <v>1</v>
      </c>
      <c r="AJ228" s="9">
        <v>0.55426299999817297</v>
      </c>
      <c r="AK228" s="10" t="s">
        <v>51</v>
      </c>
      <c r="AL228" s="8"/>
      <c r="AM228" s="8"/>
      <c r="AN228" s="8"/>
      <c r="AO228" s="9">
        <v>1</v>
      </c>
      <c r="AP228" s="9">
        <v>1</v>
      </c>
      <c r="AQ228" s="10" t="s">
        <v>96</v>
      </c>
      <c r="AR228" s="10" t="s">
        <v>53</v>
      </c>
      <c r="AS228" s="8"/>
      <c r="AT228" s="10" t="s">
        <v>54</v>
      </c>
      <c r="AU228" s="10" t="s">
        <v>51</v>
      </c>
      <c r="AV228" s="10" t="s">
        <v>97</v>
      </c>
      <c r="AW228" s="8"/>
    </row>
    <row r="229" spans="1:49" x14ac:dyDescent="0.15">
      <c r="A229" s="11" t="s">
        <v>82</v>
      </c>
      <c r="B229" s="12" t="s">
        <v>67</v>
      </c>
      <c r="C229" s="10" t="s">
        <v>62</v>
      </c>
      <c r="D229" s="10" t="s">
        <v>63</v>
      </c>
      <c r="E229" s="9">
        <v>211</v>
      </c>
      <c r="F229" s="9">
        <v>211</v>
      </c>
      <c r="G229" s="9">
        <v>4</v>
      </c>
      <c r="H229" s="10" t="s">
        <v>63</v>
      </c>
      <c r="I229" s="9">
        <v>1</v>
      </c>
      <c r="J229" s="9">
        <v>0.39564670799882201</v>
      </c>
      <c r="K229" s="10" t="s">
        <v>51</v>
      </c>
      <c r="L229" s="9">
        <v>4</v>
      </c>
      <c r="M229" s="9">
        <v>211</v>
      </c>
      <c r="N229" s="9">
        <v>211</v>
      </c>
      <c r="O229" s="9">
        <v>37</v>
      </c>
      <c r="P229" s="9">
        <v>228.04417550000699</v>
      </c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9">
        <v>228.035018166003</v>
      </c>
      <c r="AC229" s="9">
        <v>228.04417550000699</v>
      </c>
      <c r="AD229" s="9">
        <v>228.528270458002</v>
      </c>
      <c r="AE229" s="9">
        <v>228.528270458002</v>
      </c>
      <c r="AF229" s="9">
        <v>228.528270458002</v>
      </c>
      <c r="AG229" s="9">
        <v>228.93023158301401</v>
      </c>
      <c r="AH229" s="10" t="s">
        <v>63</v>
      </c>
      <c r="AI229" s="9">
        <v>1</v>
      </c>
      <c r="AJ229" s="9">
        <v>0.39564670799882201</v>
      </c>
      <c r="AK229" s="10" t="s">
        <v>51</v>
      </c>
      <c r="AL229" s="8"/>
      <c r="AM229" s="8"/>
      <c r="AN229" s="8"/>
      <c r="AO229" s="9">
        <v>1</v>
      </c>
      <c r="AP229" s="9">
        <v>1</v>
      </c>
      <c r="AQ229" s="10" t="s">
        <v>96</v>
      </c>
      <c r="AR229" s="10" t="s">
        <v>53</v>
      </c>
      <c r="AS229" s="8"/>
      <c r="AT229" s="10" t="s">
        <v>54</v>
      </c>
      <c r="AU229" s="10" t="s">
        <v>51</v>
      </c>
      <c r="AV229" s="10" t="s">
        <v>97</v>
      </c>
      <c r="AW229" s="8"/>
    </row>
    <row r="230" spans="1:49" x14ac:dyDescent="0.15">
      <c r="A230" s="11" t="s">
        <v>80</v>
      </c>
      <c r="B230" s="12" t="s">
        <v>67</v>
      </c>
      <c r="C230" s="10" t="s">
        <v>58</v>
      </c>
      <c r="D230" s="10" t="s">
        <v>59</v>
      </c>
      <c r="E230" s="9">
        <v>214</v>
      </c>
      <c r="F230" s="9">
        <v>214</v>
      </c>
      <c r="G230" s="9">
        <v>4</v>
      </c>
      <c r="H230" s="10" t="s">
        <v>59</v>
      </c>
      <c r="I230" s="9">
        <v>1</v>
      </c>
      <c r="J230" s="9">
        <v>0.52251766600238603</v>
      </c>
      <c r="K230" s="10" t="s">
        <v>51</v>
      </c>
      <c r="L230" s="9">
        <v>4</v>
      </c>
      <c r="M230" s="9">
        <v>214</v>
      </c>
      <c r="N230" s="9">
        <v>214</v>
      </c>
      <c r="O230" s="9">
        <v>32</v>
      </c>
      <c r="P230" s="9">
        <v>230.80103500001101</v>
      </c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9">
        <v>230.791194125006</v>
      </c>
      <c r="AC230" s="9">
        <v>230.80103500001101</v>
      </c>
      <c r="AD230" s="9">
        <v>231.28758191601099</v>
      </c>
      <c r="AE230" s="9">
        <v>231.28758191601099</v>
      </c>
      <c r="AF230" s="9">
        <v>231.28758191601099</v>
      </c>
      <c r="AG230" s="9">
        <v>231.813627041003</v>
      </c>
      <c r="AH230" s="10" t="s">
        <v>59</v>
      </c>
      <c r="AI230" s="9">
        <v>1</v>
      </c>
      <c r="AJ230" s="9">
        <v>0.52251766600238603</v>
      </c>
      <c r="AK230" s="10" t="s">
        <v>51</v>
      </c>
      <c r="AL230" s="8"/>
      <c r="AM230" s="8"/>
      <c r="AN230" s="8"/>
      <c r="AO230" s="9">
        <v>1</v>
      </c>
      <c r="AP230" s="9">
        <v>1</v>
      </c>
      <c r="AQ230" s="10" t="s">
        <v>96</v>
      </c>
      <c r="AR230" s="10" t="s">
        <v>53</v>
      </c>
      <c r="AS230" s="8"/>
      <c r="AT230" s="10" t="s">
        <v>54</v>
      </c>
      <c r="AU230" s="10" t="s">
        <v>51</v>
      </c>
      <c r="AV230" s="10" t="s">
        <v>97</v>
      </c>
      <c r="AW230" s="8"/>
    </row>
    <row r="231" spans="1:49" x14ac:dyDescent="0.15">
      <c r="A231" s="11" t="s">
        <v>66</v>
      </c>
      <c r="B231" s="12" t="s">
        <v>67</v>
      </c>
      <c r="C231" s="10" t="s">
        <v>62</v>
      </c>
      <c r="D231" s="10" t="s">
        <v>63</v>
      </c>
      <c r="E231" s="9">
        <v>219</v>
      </c>
      <c r="F231" s="9">
        <v>219</v>
      </c>
      <c r="G231" s="9">
        <v>4</v>
      </c>
      <c r="H231" s="10" t="s">
        <v>63</v>
      </c>
      <c r="I231" s="9">
        <v>1</v>
      </c>
      <c r="J231" s="9">
        <v>0.575221291001071</v>
      </c>
      <c r="K231" s="10" t="s">
        <v>51</v>
      </c>
      <c r="L231" s="9">
        <v>4</v>
      </c>
      <c r="M231" s="9">
        <v>219</v>
      </c>
      <c r="N231" s="9">
        <v>219</v>
      </c>
      <c r="O231" s="9">
        <v>47</v>
      </c>
      <c r="P231" s="9">
        <v>235.52788366600001</v>
      </c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9">
        <v>235.51876850001301</v>
      </c>
      <c r="AC231" s="9">
        <v>235.52788366600001</v>
      </c>
      <c r="AD231" s="9">
        <v>236.011722583004</v>
      </c>
      <c r="AE231" s="9">
        <v>236.011722583004</v>
      </c>
      <c r="AF231" s="9">
        <v>236.011722583004</v>
      </c>
      <c r="AG231" s="9">
        <v>236.59711829099999</v>
      </c>
      <c r="AH231" s="10" t="s">
        <v>63</v>
      </c>
      <c r="AI231" s="9">
        <v>1</v>
      </c>
      <c r="AJ231" s="9">
        <v>0.575221291001071</v>
      </c>
      <c r="AK231" s="10" t="s">
        <v>51</v>
      </c>
      <c r="AL231" s="8"/>
      <c r="AM231" s="8"/>
      <c r="AN231" s="8"/>
      <c r="AO231" s="9">
        <v>1</v>
      </c>
      <c r="AP231" s="9">
        <v>1</v>
      </c>
      <c r="AQ231" s="10" t="s">
        <v>96</v>
      </c>
      <c r="AR231" s="10" t="s">
        <v>53</v>
      </c>
      <c r="AS231" s="8"/>
      <c r="AT231" s="10" t="s">
        <v>54</v>
      </c>
      <c r="AU231" s="10" t="s">
        <v>51</v>
      </c>
      <c r="AV231" s="10" t="s">
        <v>97</v>
      </c>
      <c r="AW231" s="8"/>
    </row>
    <row r="232" spans="1:49" x14ac:dyDescent="0.15">
      <c r="A232" s="11" t="s">
        <v>76</v>
      </c>
      <c r="B232" s="12" t="s">
        <v>67</v>
      </c>
      <c r="C232" s="10" t="s">
        <v>62</v>
      </c>
      <c r="D232" s="10" t="s">
        <v>63</v>
      </c>
      <c r="E232" s="9">
        <v>220</v>
      </c>
      <c r="F232" s="9">
        <v>220</v>
      </c>
      <c r="G232" s="9">
        <v>3</v>
      </c>
      <c r="H232" s="10" t="s">
        <v>63</v>
      </c>
      <c r="I232" s="9">
        <v>1</v>
      </c>
      <c r="J232" s="9">
        <v>0.69370104200788796</v>
      </c>
      <c r="K232" s="10" t="s">
        <v>51</v>
      </c>
      <c r="L232" s="9">
        <v>3</v>
      </c>
      <c r="M232" s="9">
        <v>220</v>
      </c>
      <c r="N232" s="9">
        <v>220</v>
      </c>
      <c r="O232" s="9">
        <v>43</v>
      </c>
      <c r="P232" s="9">
        <v>236.61039837500701</v>
      </c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9">
        <v>236.60170941600501</v>
      </c>
      <c r="AC232" s="9">
        <v>236.61039837500701</v>
      </c>
      <c r="AD232" s="9">
        <v>237.095333083009</v>
      </c>
      <c r="AE232" s="9">
        <v>237.095333083009</v>
      </c>
      <c r="AF232" s="9">
        <v>237.095333083009</v>
      </c>
      <c r="AG232" s="9">
        <v>237.79745333301301</v>
      </c>
      <c r="AH232" s="10" t="s">
        <v>63</v>
      </c>
      <c r="AI232" s="9">
        <v>1</v>
      </c>
      <c r="AJ232" s="9">
        <v>0.69370104200788796</v>
      </c>
      <c r="AK232" s="10" t="s">
        <v>51</v>
      </c>
      <c r="AL232" s="8"/>
      <c r="AM232" s="8"/>
      <c r="AN232" s="8"/>
      <c r="AO232" s="9">
        <v>1</v>
      </c>
      <c r="AP232" s="9">
        <v>1</v>
      </c>
      <c r="AQ232" s="10" t="s">
        <v>96</v>
      </c>
      <c r="AR232" s="10" t="s">
        <v>53</v>
      </c>
      <c r="AS232" s="8"/>
      <c r="AT232" s="10" t="s">
        <v>54</v>
      </c>
      <c r="AU232" s="10" t="s">
        <v>51</v>
      </c>
      <c r="AV232" s="10" t="s">
        <v>97</v>
      </c>
      <c r="AW232" s="8"/>
    </row>
    <row r="233" spans="1:49" x14ac:dyDescent="0.15">
      <c r="A233" s="11" t="s">
        <v>66</v>
      </c>
      <c r="B233" s="12" t="s">
        <v>67</v>
      </c>
      <c r="C233" s="10" t="s">
        <v>58</v>
      </c>
      <c r="D233" s="10" t="s">
        <v>59</v>
      </c>
      <c r="E233" s="9">
        <v>221</v>
      </c>
      <c r="F233" s="9">
        <v>221</v>
      </c>
      <c r="G233" s="9">
        <v>4</v>
      </c>
      <c r="H233" s="10" t="s">
        <v>59</v>
      </c>
      <c r="I233" s="9">
        <v>1</v>
      </c>
      <c r="J233" s="9">
        <v>0.42566558301041402</v>
      </c>
      <c r="K233" s="10" t="s">
        <v>51</v>
      </c>
      <c r="L233" s="9">
        <v>4</v>
      </c>
      <c r="M233" s="9">
        <v>221</v>
      </c>
      <c r="N233" s="9">
        <v>221</v>
      </c>
      <c r="O233" s="9">
        <v>46</v>
      </c>
      <c r="P233" s="9">
        <v>237.81102025000999</v>
      </c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9">
        <v>237.80197008300499</v>
      </c>
      <c r="AC233" s="9">
        <v>237.81102025000999</v>
      </c>
      <c r="AD233" s="9">
        <v>238.295354416012</v>
      </c>
      <c r="AE233" s="9">
        <v>238.295354416012</v>
      </c>
      <c r="AF233" s="9">
        <v>238.295354416012</v>
      </c>
      <c r="AG233" s="9">
        <v>238.73038829100599</v>
      </c>
      <c r="AH233" s="10" t="s">
        <v>59</v>
      </c>
      <c r="AI233" s="9">
        <v>1</v>
      </c>
      <c r="AJ233" s="9">
        <v>0.42566558301041402</v>
      </c>
      <c r="AK233" s="10" t="s">
        <v>51</v>
      </c>
      <c r="AL233" s="8"/>
      <c r="AM233" s="8"/>
      <c r="AN233" s="8"/>
      <c r="AO233" s="9">
        <v>1</v>
      </c>
      <c r="AP233" s="9">
        <v>1</v>
      </c>
      <c r="AQ233" s="10" t="s">
        <v>96</v>
      </c>
      <c r="AR233" s="10" t="s">
        <v>53</v>
      </c>
      <c r="AS233" s="8"/>
      <c r="AT233" s="10" t="s">
        <v>54</v>
      </c>
      <c r="AU233" s="10" t="s">
        <v>51</v>
      </c>
      <c r="AV233" s="10" t="s">
        <v>97</v>
      </c>
      <c r="AW233" s="8"/>
    </row>
    <row r="234" spans="1:49" x14ac:dyDescent="0.15">
      <c r="A234" s="11" t="s">
        <v>76</v>
      </c>
      <c r="B234" s="12" t="s">
        <v>67</v>
      </c>
      <c r="C234" s="10" t="s">
        <v>62</v>
      </c>
      <c r="D234" s="10" t="s">
        <v>63</v>
      </c>
      <c r="E234" s="9">
        <v>225</v>
      </c>
      <c r="F234" s="9">
        <v>225</v>
      </c>
      <c r="G234" s="9">
        <v>4</v>
      </c>
      <c r="H234" s="10" t="s">
        <v>59</v>
      </c>
      <c r="I234" s="9">
        <v>0</v>
      </c>
      <c r="J234" s="9">
        <v>0.49400433301343599</v>
      </c>
      <c r="K234" s="10" t="s">
        <v>51</v>
      </c>
      <c r="L234" s="9">
        <v>4</v>
      </c>
      <c r="M234" s="9">
        <v>225</v>
      </c>
      <c r="N234" s="9">
        <v>225</v>
      </c>
      <c r="O234" s="9">
        <v>43</v>
      </c>
      <c r="P234" s="9">
        <v>242.684375541008</v>
      </c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9">
        <v>242.67503720801301</v>
      </c>
      <c r="AC234" s="9">
        <v>242.684375541008</v>
      </c>
      <c r="AD234" s="9">
        <v>243.17203729100601</v>
      </c>
      <c r="AE234" s="9">
        <v>243.17203729100601</v>
      </c>
      <c r="AF234" s="9">
        <v>243.17203729100601</v>
      </c>
      <c r="AG234" s="9">
        <v>243.67004550000999</v>
      </c>
      <c r="AH234" s="10" t="s">
        <v>59</v>
      </c>
      <c r="AI234" s="9">
        <v>0</v>
      </c>
      <c r="AJ234" s="9">
        <v>0.49400433301343599</v>
      </c>
      <c r="AK234" s="10" t="s">
        <v>51</v>
      </c>
      <c r="AL234" s="8"/>
      <c r="AM234" s="8"/>
      <c r="AN234" s="8"/>
      <c r="AO234" s="9">
        <v>1</v>
      </c>
      <c r="AP234" s="9">
        <v>1</v>
      </c>
      <c r="AQ234" s="10" t="s">
        <v>96</v>
      </c>
      <c r="AR234" s="10" t="s">
        <v>53</v>
      </c>
      <c r="AS234" s="8"/>
      <c r="AT234" s="10" t="s">
        <v>54</v>
      </c>
      <c r="AU234" s="10" t="s">
        <v>51</v>
      </c>
      <c r="AV234" s="10" t="s">
        <v>97</v>
      </c>
      <c r="AW234" s="8"/>
    </row>
    <row r="235" spans="1:49" x14ac:dyDescent="0.15">
      <c r="A235" s="11" t="s">
        <v>69</v>
      </c>
      <c r="B235" s="12" t="s">
        <v>67</v>
      </c>
      <c r="C235" s="10" t="s">
        <v>58</v>
      </c>
      <c r="D235" s="10" t="s">
        <v>59</v>
      </c>
      <c r="E235" s="9">
        <v>226</v>
      </c>
      <c r="F235" s="9">
        <v>226</v>
      </c>
      <c r="G235" s="9">
        <v>3</v>
      </c>
      <c r="H235" s="10" t="s">
        <v>59</v>
      </c>
      <c r="I235" s="9">
        <v>1</v>
      </c>
      <c r="J235" s="9">
        <v>0.60079237500031002</v>
      </c>
      <c r="K235" s="10" t="s">
        <v>51</v>
      </c>
      <c r="L235" s="9">
        <v>3</v>
      </c>
      <c r="M235" s="9">
        <v>226</v>
      </c>
      <c r="N235" s="9">
        <v>226</v>
      </c>
      <c r="O235" s="9">
        <v>38</v>
      </c>
      <c r="P235" s="9">
        <v>243.683773125013</v>
      </c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9">
        <v>243.67416829100699</v>
      </c>
      <c r="AC235" s="9">
        <v>243.683773125013</v>
      </c>
      <c r="AD235" s="9">
        <v>244.17140054100301</v>
      </c>
      <c r="AE235" s="9">
        <v>244.17140054100301</v>
      </c>
      <c r="AF235" s="9">
        <v>244.17140054100301</v>
      </c>
      <c r="AG235" s="9">
        <v>244.78037125000299</v>
      </c>
      <c r="AH235" s="10" t="s">
        <v>59</v>
      </c>
      <c r="AI235" s="9">
        <v>1</v>
      </c>
      <c r="AJ235" s="9">
        <v>0.60079237500031002</v>
      </c>
      <c r="AK235" s="10" t="s">
        <v>51</v>
      </c>
      <c r="AL235" s="8"/>
      <c r="AM235" s="8"/>
      <c r="AN235" s="8"/>
      <c r="AO235" s="9">
        <v>1</v>
      </c>
      <c r="AP235" s="9">
        <v>1</v>
      </c>
      <c r="AQ235" s="10" t="s">
        <v>96</v>
      </c>
      <c r="AR235" s="10" t="s">
        <v>53</v>
      </c>
      <c r="AS235" s="8"/>
      <c r="AT235" s="10" t="s">
        <v>54</v>
      </c>
      <c r="AU235" s="10" t="s">
        <v>51</v>
      </c>
      <c r="AV235" s="10" t="s">
        <v>97</v>
      </c>
      <c r="AW235" s="8"/>
    </row>
    <row r="236" spans="1:49" x14ac:dyDescent="0.15">
      <c r="A236" s="11" t="s">
        <v>81</v>
      </c>
      <c r="B236" s="12" t="s">
        <v>67</v>
      </c>
      <c r="C236" s="10" t="s">
        <v>58</v>
      </c>
      <c r="D236" s="10" t="s">
        <v>59</v>
      </c>
      <c r="E236" s="9">
        <v>227</v>
      </c>
      <c r="F236" s="9">
        <v>227</v>
      </c>
      <c r="G236" s="9">
        <v>3</v>
      </c>
      <c r="H236" s="10" t="s">
        <v>59</v>
      </c>
      <c r="I236" s="9">
        <v>1</v>
      </c>
      <c r="J236" s="9">
        <v>0.78104000000166696</v>
      </c>
      <c r="K236" s="10" t="s">
        <v>51</v>
      </c>
      <c r="L236" s="9">
        <v>3</v>
      </c>
      <c r="M236" s="9">
        <v>227</v>
      </c>
      <c r="N236" s="9">
        <v>227</v>
      </c>
      <c r="O236" s="9">
        <v>44</v>
      </c>
      <c r="P236" s="9">
        <v>244.79405175001</v>
      </c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9">
        <v>244.785208375004</v>
      </c>
      <c r="AC236" s="9">
        <v>244.79405175001</v>
      </c>
      <c r="AD236" s="9">
        <v>245.27201658301101</v>
      </c>
      <c r="AE236" s="9">
        <v>245.27201658301101</v>
      </c>
      <c r="AF236" s="9">
        <v>245.27201658301101</v>
      </c>
      <c r="AG236" s="9">
        <v>246.06421604100601</v>
      </c>
      <c r="AH236" s="10" t="s">
        <v>59</v>
      </c>
      <c r="AI236" s="9">
        <v>1</v>
      </c>
      <c r="AJ236" s="9">
        <v>0.78104000000166696</v>
      </c>
      <c r="AK236" s="10" t="s">
        <v>51</v>
      </c>
      <c r="AL236" s="8"/>
      <c r="AM236" s="8"/>
      <c r="AN236" s="8"/>
      <c r="AO236" s="9">
        <v>1</v>
      </c>
      <c r="AP236" s="9">
        <v>1</v>
      </c>
      <c r="AQ236" s="10" t="s">
        <v>96</v>
      </c>
      <c r="AR236" s="10" t="s">
        <v>53</v>
      </c>
      <c r="AS236" s="8"/>
      <c r="AT236" s="10" t="s">
        <v>54</v>
      </c>
      <c r="AU236" s="10" t="s">
        <v>51</v>
      </c>
      <c r="AV236" s="10" t="s">
        <v>97</v>
      </c>
      <c r="AW236" s="8"/>
    </row>
    <row r="237" spans="1:49" x14ac:dyDescent="0.15">
      <c r="A237" s="11" t="s">
        <v>86</v>
      </c>
      <c r="B237" s="12" t="s">
        <v>67</v>
      </c>
      <c r="C237" s="10" t="s">
        <v>58</v>
      </c>
      <c r="D237" s="10" t="s">
        <v>59</v>
      </c>
      <c r="E237" s="9">
        <v>228</v>
      </c>
      <c r="F237" s="9">
        <v>228</v>
      </c>
      <c r="G237" s="9">
        <v>4</v>
      </c>
      <c r="H237" s="10" t="s">
        <v>59</v>
      </c>
      <c r="I237" s="9">
        <v>1</v>
      </c>
      <c r="J237" s="9">
        <v>0.38124262500787198</v>
      </c>
      <c r="K237" s="10" t="s">
        <v>51</v>
      </c>
      <c r="L237" s="9">
        <v>4</v>
      </c>
      <c r="M237" s="9">
        <v>228</v>
      </c>
      <c r="N237" s="9">
        <v>228</v>
      </c>
      <c r="O237" s="9">
        <v>34</v>
      </c>
      <c r="P237" s="9">
        <v>246.09644337500501</v>
      </c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9">
        <v>246.06768233299999</v>
      </c>
      <c r="AC237" s="9">
        <v>246.09644337500501</v>
      </c>
      <c r="AD237" s="9">
        <v>246.56210795800101</v>
      </c>
      <c r="AE237" s="9">
        <v>246.56210795800101</v>
      </c>
      <c r="AF237" s="9">
        <v>246.56210795800101</v>
      </c>
      <c r="AG237" s="9">
        <v>246.947606000002</v>
      </c>
      <c r="AH237" s="10" t="s">
        <v>59</v>
      </c>
      <c r="AI237" s="9">
        <v>1</v>
      </c>
      <c r="AJ237" s="9">
        <v>0.38124262500787198</v>
      </c>
      <c r="AK237" s="10" t="s">
        <v>51</v>
      </c>
      <c r="AL237" s="8"/>
      <c r="AM237" s="8"/>
      <c r="AN237" s="8"/>
      <c r="AO237" s="9">
        <v>1</v>
      </c>
      <c r="AP237" s="9">
        <v>1</v>
      </c>
      <c r="AQ237" s="10" t="s">
        <v>96</v>
      </c>
      <c r="AR237" s="10" t="s">
        <v>53</v>
      </c>
      <c r="AS237" s="8"/>
      <c r="AT237" s="10" t="s">
        <v>54</v>
      </c>
      <c r="AU237" s="10" t="s">
        <v>51</v>
      </c>
      <c r="AV237" s="10" t="s">
        <v>97</v>
      </c>
      <c r="AW237" s="8"/>
    </row>
    <row r="238" spans="1:49" x14ac:dyDescent="0.15">
      <c r="A238" s="11" t="s">
        <v>82</v>
      </c>
      <c r="B238" s="12" t="s">
        <v>67</v>
      </c>
      <c r="C238" s="10" t="s">
        <v>58</v>
      </c>
      <c r="D238" s="10" t="s">
        <v>59</v>
      </c>
      <c r="E238" s="9">
        <v>229</v>
      </c>
      <c r="F238" s="9">
        <v>229</v>
      </c>
      <c r="G238" s="9">
        <v>4</v>
      </c>
      <c r="H238" s="10" t="s">
        <v>59</v>
      </c>
      <c r="I238" s="9">
        <v>1</v>
      </c>
      <c r="J238" s="9">
        <v>0.43636504199821502</v>
      </c>
      <c r="K238" s="10" t="s">
        <v>51</v>
      </c>
      <c r="L238" s="9">
        <v>4</v>
      </c>
      <c r="M238" s="9">
        <v>229</v>
      </c>
      <c r="N238" s="9">
        <v>229</v>
      </c>
      <c r="O238" s="9">
        <v>36</v>
      </c>
      <c r="P238" s="9">
        <v>246.96251908301201</v>
      </c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9">
        <v>246.953411041002</v>
      </c>
      <c r="AC238" s="9">
        <v>246.96251908301201</v>
      </c>
      <c r="AD238" s="9">
        <v>247.44569991600301</v>
      </c>
      <c r="AE238" s="9">
        <v>247.44569991600301</v>
      </c>
      <c r="AF238" s="9">
        <v>247.44569991600301</v>
      </c>
      <c r="AG238" s="9">
        <v>247.886629708009</v>
      </c>
      <c r="AH238" s="10" t="s">
        <v>59</v>
      </c>
      <c r="AI238" s="9">
        <v>1</v>
      </c>
      <c r="AJ238" s="9">
        <v>0.43636504199821502</v>
      </c>
      <c r="AK238" s="10" t="s">
        <v>51</v>
      </c>
      <c r="AL238" s="8"/>
      <c r="AM238" s="8"/>
      <c r="AN238" s="8"/>
      <c r="AO238" s="9">
        <v>1</v>
      </c>
      <c r="AP238" s="9">
        <v>1</v>
      </c>
      <c r="AQ238" s="10" t="s">
        <v>96</v>
      </c>
      <c r="AR238" s="10" t="s">
        <v>53</v>
      </c>
      <c r="AS238" s="8"/>
      <c r="AT238" s="10" t="s">
        <v>54</v>
      </c>
      <c r="AU238" s="10" t="s">
        <v>51</v>
      </c>
      <c r="AV238" s="10" t="s">
        <v>97</v>
      </c>
      <c r="AW238" s="8"/>
    </row>
    <row r="239" spans="1:49" x14ac:dyDescent="0.15">
      <c r="A239" s="11" t="s">
        <v>77</v>
      </c>
      <c r="B239" s="12" t="s">
        <v>67</v>
      </c>
      <c r="C239" s="10" t="s">
        <v>58</v>
      </c>
      <c r="D239" s="10" t="s">
        <v>59</v>
      </c>
      <c r="E239" s="9">
        <v>231</v>
      </c>
      <c r="F239" s="9">
        <v>231</v>
      </c>
      <c r="G239" s="9">
        <v>4</v>
      </c>
      <c r="H239" s="10" t="s">
        <v>59</v>
      </c>
      <c r="I239" s="9">
        <v>1</v>
      </c>
      <c r="J239" s="9">
        <v>0.48562220799794897</v>
      </c>
      <c r="K239" s="10" t="s">
        <v>51</v>
      </c>
      <c r="L239" s="9">
        <v>4</v>
      </c>
      <c r="M239" s="9">
        <v>231</v>
      </c>
      <c r="N239" s="9">
        <v>231</v>
      </c>
      <c r="O239" s="9">
        <v>40</v>
      </c>
      <c r="P239" s="9">
        <v>248.96227045801101</v>
      </c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9">
        <v>248.95354100001001</v>
      </c>
      <c r="AC239" s="9">
        <v>248.96227045801101</v>
      </c>
      <c r="AD239" s="9">
        <v>249.445539666005</v>
      </c>
      <c r="AE239" s="9">
        <v>249.445539666005</v>
      </c>
      <c r="AF239" s="9">
        <v>249.445539666005</v>
      </c>
      <c r="AG239" s="9">
        <v>249.93716733300201</v>
      </c>
      <c r="AH239" s="10" t="s">
        <v>59</v>
      </c>
      <c r="AI239" s="9">
        <v>1</v>
      </c>
      <c r="AJ239" s="9">
        <v>0.48562220799794897</v>
      </c>
      <c r="AK239" s="10" t="s">
        <v>51</v>
      </c>
      <c r="AL239" s="8"/>
      <c r="AM239" s="8"/>
      <c r="AN239" s="8"/>
      <c r="AO239" s="9">
        <v>1</v>
      </c>
      <c r="AP239" s="9">
        <v>1</v>
      </c>
      <c r="AQ239" s="10" t="s">
        <v>96</v>
      </c>
      <c r="AR239" s="10" t="s">
        <v>53</v>
      </c>
      <c r="AS239" s="8"/>
      <c r="AT239" s="10" t="s">
        <v>54</v>
      </c>
      <c r="AU239" s="10" t="s">
        <v>51</v>
      </c>
      <c r="AV239" s="10" t="s">
        <v>97</v>
      </c>
      <c r="AW239" s="8"/>
    </row>
    <row r="240" spans="1:49" x14ac:dyDescent="0.15">
      <c r="A240" s="11" t="s">
        <v>81</v>
      </c>
      <c r="B240" s="12" t="s">
        <v>67</v>
      </c>
      <c r="C240" s="10" t="s">
        <v>58</v>
      </c>
      <c r="D240" s="10" t="s">
        <v>59</v>
      </c>
      <c r="E240" s="9">
        <v>234</v>
      </c>
      <c r="F240" s="9">
        <v>234</v>
      </c>
      <c r="G240" s="9">
        <v>4</v>
      </c>
      <c r="H240" s="10" t="s">
        <v>59</v>
      </c>
      <c r="I240" s="9">
        <v>1</v>
      </c>
      <c r="J240" s="9">
        <v>0.48306474900164198</v>
      </c>
      <c r="K240" s="10" t="s">
        <v>51</v>
      </c>
      <c r="L240" s="9">
        <v>4</v>
      </c>
      <c r="M240" s="9">
        <v>234</v>
      </c>
      <c r="N240" s="9">
        <v>234</v>
      </c>
      <c r="O240" s="9">
        <v>44</v>
      </c>
      <c r="P240" s="9">
        <v>252.75054158300901</v>
      </c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9">
        <v>252.741260583003</v>
      </c>
      <c r="AC240" s="9">
        <v>252.75054158300901</v>
      </c>
      <c r="AD240" s="9">
        <v>253.23821687500501</v>
      </c>
      <c r="AE240" s="9">
        <v>253.23821687500501</v>
      </c>
      <c r="AF240" s="9">
        <v>253.23821687500501</v>
      </c>
      <c r="AG240" s="9">
        <v>253.73125641600899</v>
      </c>
      <c r="AH240" s="10" t="s">
        <v>59</v>
      </c>
      <c r="AI240" s="9">
        <v>1</v>
      </c>
      <c r="AJ240" s="9">
        <v>0.48306474900164198</v>
      </c>
      <c r="AK240" s="10" t="s">
        <v>51</v>
      </c>
      <c r="AL240" s="8"/>
      <c r="AM240" s="8"/>
      <c r="AN240" s="8"/>
      <c r="AO240" s="9">
        <v>1</v>
      </c>
      <c r="AP240" s="9">
        <v>1</v>
      </c>
      <c r="AQ240" s="10" t="s">
        <v>96</v>
      </c>
      <c r="AR240" s="10" t="s">
        <v>53</v>
      </c>
      <c r="AS240" s="8"/>
      <c r="AT240" s="10" t="s">
        <v>54</v>
      </c>
      <c r="AU240" s="10" t="s">
        <v>51</v>
      </c>
      <c r="AV240" s="10" t="s">
        <v>97</v>
      </c>
      <c r="AW240" s="8"/>
    </row>
    <row r="241" spans="1:49" x14ac:dyDescent="0.15">
      <c r="A241" s="11" t="s">
        <v>69</v>
      </c>
      <c r="B241" s="12" t="s">
        <v>67</v>
      </c>
      <c r="C241" s="10" t="s">
        <v>58</v>
      </c>
      <c r="D241" s="10" t="s">
        <v>59</v>
      </c>
      <c r="E241" s="9">
        <v>236</v>
      </c>
      <c r="F241" s="9">
        <v>236</v>
      </c>
      <c r="G241" s="9">
        <v>4</v>
      </c>
      <c r="H241" s="10" t="s">
        <v>59</v>
      </c>
      <c r="I241" s="9">
        <v>1</v>
      </c>
      <c r="J241" s="9">
        <v>1.1179453330114499</v>
      </c>
      <c r="K241" s="10" t="s">
        <v>51</v>
      </c>
      <c r="L241" s="9">
        <v>4</v>
      </c>
      <c r="M241" s="9">
        <v>236</v>
      </c>
      <c r="N241" s="9">
        <v>236</v>
      </c>
      <c r="O241" s="9">
        <v>38</v>
      </c>
      <c r="P241" s="9">
        <v>254.845229416009</v>
      </c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9">
        <v>254.83637333300399</v>
      </c>
      <c r="AC241" s="9">
        <v>254.845229416009</v>
      </c>
      <c r="AD241" s="9">
        <v>255.32929062501401</v>
      </c>
      <c r="AE241" s="9">
        <v>255.32929062501401</v>
      </c>
      <c r="AF241" s="9">
        <v>255.32929062501401</v>
      </c>
      <c r="AG241" s="9">
        <v>256.45440220800799</v>
      </c>
      <c r="AH241" s="10" t="s">
        <v>59</v>
      </c>
      <c r="AI241" s="9">
        <v>1</v>
      </c>
      <c r="AJ241" s="9">
        <v>1.1179453330114499</v>
      </c>
      <c r="AK241" s="10" t="s">
        <v>51</v>
      </c>
      <c r="AL241" s="8"/>
      <c r="AM241" s="8"/>
      <c r="AN241" s="8"/>
      <c r="AO241" s="9">
        <v>1</v>
      </c>
      <c r="AP241" s="9">
        <v>1</v>
      </c>
      <c r="AQ241" s="10" t="s">
        <v>96</v>
      </c>
      <c r="AR241" s="10" t="s">
        <v>53</v>
      </c>
      <c r="AS241" s="8"/>
      <c r="AT241" s="10" t="s">
        <v>54</v>
      </c>
      <c r="AU241" s="10" t="s">
        <v>51</v>
      </c>
      <c r="AV241" s="10" t="s">
        <v>97</v>
      </c>
      <c r="AW241" s="8"/>
    </row>
    <row r="242" spans="1:49" x14ac:dyDescent="0.15">
      <c r="A242" s="6"/>
      <c r="B242" s="7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9">
        <v>1.09100830013631E-2</v>
      </c>
      <c r="S242" s="9">
        <v>2.0059500006027499E-2</v>
      </c>
      <c r="T242" s="9">
        <v>2.0059500006027499E-2</v>
      </c>
      <c r="U242" s="9">
        <v>22.037831333000199</v>
      </c>
      <c r="V242" s="10" t="s">
        <v>50</v>
      </c>
      <c r="W242" s="9">
        <v>21.590103458002002</v>
      </c>
      <c r="X242" s="10" t="s">
        <v>51</v>
      </c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9">
        <v>1</v>
      </c>
      <c r="AP242" s="9">
        <v>1</v>
      </c>
      <c r="AQ242" s="10" t="s">
        <v>96</v>
      </c>
      <c r="AR242" s="10" t="s">
        <v>53</v>
      </c>
      <c r="AS242" s="8"/>
      <c r="AT242" s="10" t="s">
        <v>54</v>
      </c>
      <c r="AU242" s="10" t="s">
        <v>51</v>
      </c>
      <c r="AV242" s="10" t="s">
        <v>97</v>
      </c>
      <c r="AW242" s="8"/>
    </row>
    <row r="243" spans="1:49" x14ac:dyDescent="0.15">
      <c r="A243" s="6"/>
      <c r="B243" s="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9">
        <v>22.037880666001001</v>
      </c>
      <c r="Z243" s="9">
        <v>22.053895416000199</v>
      </c>
      <c r="AA243" s="9">
        <v>23.0382242910127</v>
      </c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9">
        <v>1</v>
      </c>
      <c r="AP243" s="9">
        <v>1</v>
      </c>
      <c r="AQ243" s="10" t="s">
        <v>96</v>
      </c>
      <c r="AR243" s="10" t="s">
        <v>53</v>
      </c>
      <c r="AS243" s="8"/>
      <c r="AT243" s="10" t="s">
        <v>54</v>
      </c>
      <c r="AU243" s="10" t="s">
        <v>51</v>
      </c>
      <c r="AV243" s="10" t="s">
        <v>97</v>
      </c>
      <c r="AW243" s="8"/>
    </row>
    <row r="244" spans="1:49" x14ac:dyDescent="0.15">
      <c r="A244" s="6"/>
      <c r="B244" s="7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9">
        <v>259.22089116601302</v>
      </c>
      <c r="AM244" s="9">
        <v>259.24661675000999</v>
      </c>
      <c r="AN244" s="9">
        <v>261.22996445800499</v>
      </c>
      <c r="AO244" s="9">
        <v>1</v>
      </c>
      <c r="AP244" s="9">
        <v>1</v>
      </c>
      <c r="AQ244" s="10" t="s">
        <v>96</v>
      </c>
      <c r="AR244" s="10" t="s">
        <v>53</v>
      </c>
      <c r="AS244" s="8"/>
      <c r="AT244" s="10" t="s">
        <v>54</v>
      </c>
      <c r="AU244" s="10" t="s">
        <v>51</v>
      </c>
      <c r="AV244" s="10" t="s">
        <v>97</v>
      </c>
      <c r="AW244" s="8"/>
    </row>
    <row r="248" spans="1:49" ht="14" x14ac:dyDescent="0.15">
      <c r="E248" s="16" t="s">
        <v>87</v>
      </c>
      <c r="H248" s="16" t="s">
        <v>91</v>
      </c>
    </row>
    <row r="249" spans="1:49" ht="14" x14ac:dyDescent="0.15">
      <c r="E249" s="15" t="s">
        <v>88</v>
      </c>
      <c r="F249" s="18">
        <f>AVERAGE(J2:J81)</f>
        <v>0.48465496637563782</v>
      </c>
      <c r="H249" s="15" t="s">
        <v>100</v>
      </c>
      <c r="I249" s="18">
        <f>F249-F250</f>
        <v>6.252167724051183E-3</v>
      </c>
    </row>
    <row r="250" spans="1:49" ht="14" x14ac:dyDescent="0.15">
      <c r="E250" s="15" t="s">
        <v>89</v>
      </c>
      <c r="F250" s="18">
        <f>AVERAGE(J82:J161)</f>
        <v>0.47840279865158664</v>
      </c>
      <c r="H250" s="15" t="s">
        <v>93</v>
      </c>
      <c r="I250" s="18">
        <f>F249-F251</f>
        <v>1.0153198450098044E-2</v>
      </c>
    </row>
    <row r="251" spans="1:49" ht="14" x14ac:dyDescent="0.15">
      <c r="E251" s="15" t="s">
        <v>90</v>
      </c>
      <c r="F251" s="18">
        <f>AVERAGE(J162:J241)</f>
        <v>0.47450176792553977</v>
      </c>
    </row>
    <row r="255" spans="1:49" ht="14" x14ac:dyDescent="0.15">
      <c r="E255" s="16" t="s">
        <v>114</v>
      </c>
    </row>
    <row r="256" spans="1:49" ht="14" x14ac:dyDescent="0.15">
      <c r="E256" s="19" t="s">
        <v>115</v>
      </c>
      <c r="F256" s="18">
        <f>AVERAGE(I2:I81)*100</f>
        <v>97.5</v>
      </c>
    </row>
    <row r="257" spans="5:6" ht="14" x14ac:dyDescent="0.15">
      <c r="E257" s="15" t="s">
        <v>116</v>
      </c>
      <c r="F257" s="39">
        <f>AVERAGE(I82:I161)*100</f>
        <v>97.5</v>
      </c>
    </row>
    <row r="258" spans="5:6" ht="14" x14ac:dyDescent="0.15">
      <c r="E258" s="15" t="s">
        <v>117</v>
      </c>
      <c r="F258" s="18">
        <f>AVERAGE(I162:I241)*100</f>
        <v>93.75</v>
      </c>
    </row>
  </sheetData>
  <sortState xmlns:xlrd2="http://schemas.microsoft.com/office/spreadsheetml/2017/richdata2" ref="A2:AV244">
    <sortCondition descending="1" ref="B1:B2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B663-FBA9-304A-9596-E0154DB9F623}">
  <dimension ref="A1:AY258"/>
  <sheetViews>
    <sheetView topLeftCell="A220" zoomScale="94" workbookViewId="0">
      <selection activeCell="I249" sqref="I249:I250"/>
    </sheetView>
  </sheetViews>
  <sheetFormatPr baseColWidth="10" defaultColWidth="10.83203125" defaultRowHeight="13" x14ac:dyDescent="0.15"/>
  <cols>
    <col min="5" max="5" width="18.83203125" customWidth="1"/>
    <col min="6" max="6" width="11.6640625" bestFit="1" customWidth="1"/>
    <col min="8" max="8" width="21.1640625" customWidth="1"/>
    <col min="9" max="9" width="11.6640625" bestFit="1" customWidth="1"/>
  </cols>
  <sheetData>
    <row r="1" spans="1:5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/>
    </row>
    <row r="2" spans="1:51" x14ac:dyDescent="0.15">
      <c r="A2" s="13" t="s">
        <v>60</v>
      </c>
      <c r="B2" s="14" t="s">
        <v>61</v>
      </c>
      <c r="C2" s="5" t="s">
        <v>62</v>
      </c>
      <c r="D2" s="5" t="s">
        <v>63</v>
      </c>
      <c r="E2" s="4">
        <v>1</v>
      </c>
      <c r="F2" s="4">
        <v>1</v>
      </c>
      <c r="G2" s="4">
        <v>0</v>
      </c>
      <c r="H2" s="5" t="s">
        <v>63</v>
      </c>
      <c r="I2" s="4">
        <v>1</v>
      </c>
      <c r="J2" s="4">
        <v>0.65152570800273701</v>
      </c>
      <c r="K2" s="5" t="s">
        <v>51</v>
      </c>
      <c r="L2" s="4">
        <v>0</v>
      </c>
      <c r="M2" s="4">
        <v>1</v>
      </c>
      <c r="N2" s="4">
        <v>1</v>
      </c>
      <c r="O2" s="4">
        <v>9</v>
      </c>
      <c r="P2" s="4">
        <v>17.4810239580111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>
        <v>17.472244125005101</v>
      </c>
      <c r="AD2" s="4">
        <v>17.4810239580111</v>
      </c>
      <c r="AE2" s="4">
        <v>17.969645792007199</v>
      </c>
      <c r="AF2" s="4">
        <v>17.969645792007199</v>
      </c>
      <c r="AG2" s="4">
        <v>17.969645792007199</v>
      </c>
      <c r="AH2" s="4">
        <v>18.631731083005398</v>
      </c>
      <c r="AI2" s="5" t="s">
        <v>63</v>
      </c>
      <c r="AJ2" s="4">
        <v>1</v>
      </c>
      <c r="AK2" s="4">
        <v>0.65152570800273701</v>
      </c>
      <c r="AL2" s="5" t="s">
        <v>51</v>
      </c>
      <c r="AM2" s="3"/>
      <c r="AN2" s="3"/>
      <c r="AO2" s="3"/>
      <c r="AP2" s="3"/>
      <c r="AQ2" s="4">
        <v>2</v>
      </c>
      <c r="AR2" s="4">
        <v>1</v>
      </c>
      <c r="AS2" s="5" t="s">
        <v>52</v>
      </c>
      <c r="AT2" s="5" t="s">
        <v>53</v>
      </c>
      <c r="AU2" s="3"/>
      <c r="AV2" s="5" t="s">
        <v>54</v>
      </c>
      <c r="AW2" s="5" t="s">
        <v>51</v>
      </c>
      <c r="AX2" s="5" t="s">
        <v>55</v>
      </c>
      <c r="AY2" s="3"/>
    </row>
    <row r="3" spans="1:51" x14ac:dyDescent="0.15">
      <c r="A3" s="11" t="s">
        <v>64</v>
      </c>
      <c r="B3" s="12" t="s">
        <v>61</v>
      </c>
      <c r="C3" s="10" t="s">
        <v>62</v>
      </c>
      <c r="D3" s="10" t="s">
        <v>63</v>
      </c>
      <c r="E3" s="9">
        <v>2</v>
      </c>
      <c r="F3" s="9">
        <v>2</v>
      </c>
      <c r="G3" s="9">
        <v>0</v>
      </c>
      <c r="H3" s="10" t="s">
        <v>63</v>
      </c>
      <c r="I3" s="9">
        <v>1</v>
      </c>
      <c r="J3" s="9">
        <v>0.64203012399957504</v>
      </c>
      <c r="K3" s="10" t="s">
        <v>51</v>
      </c>
      <c r="L3" s="9">
        <v>0</v>
      </c>
      <c r="M3" s="9">
        <v>2</v>
      </c>
      <c r="N3" s="9">
        <v>2</v>
      </c>
      <c r="O3" s="9">
        <v>5</v>
      </c>
      <c r="P3" s="9">
        <v>18.642083167011201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9">
        <v>18.636725583011899</v>
      </c>
      <c r="AD3" s="9">
        <v>18.642083167011201</v>
      </c>
      <c r="AE3" s="9">
        <v>19.1223600829981</v>
      </c>
      <c r="AF3" s="9">
        <v>19.1223600829981</v>
      </c>
      <c r="AG3" s="9">
        <v>19.1223600829981</v>
      </c>
      <c r="AH3" s="9">
        <v>19.767437458009201</v>
      </c>
      <c r="AI3" s="10" t="s">
        <v>63</v>
      </c>
      <c r="AJ3" s="9">
        <v>1</v>
      </c>
      <c r="AK3" s="9">
        <v>0.64203012399957504</v>
      </c>
      <c r="AL3" s="10" t="s">
        <v>51</v>
      </c>
      <c r="AM3" s="8"/>
      <c r="AN3" s="8"/>
      <c r="AO3" s="8"/>
      <c r="AP3" s="8"/>
      <c r="AQ3" s="9">
        <v>2</v>
      </c>
      <c r="AR3" s="9">
        <v>1</v>
      </c>
      <c r="AS3" s="10" t="s">
        <v>52</v>
      </c>
      <c r="AT3" s="10" t="s">
        <v>53</v>
      </c>
      <c r="AU3" s="8"/>
      <c r="AV3" s="10" t="s">
        <v>54</v>
      </c>
      <c r="AW3" s="10" t="s">
        <v>51</v>
      </c>
      <c r="AX3" s="10" t="s">
        <v>55</v>
      </c>
      <c r="AY3" s="8"/>
    </row>
    <row r="4" spans="1:51" x14ac:dyDescent="0.15">
      <c r="A4" s="11" t="s">
        <v>70</v>
      </c>
      <c r="B4" s="12" t="s">
        <v>61</v>
      </c>
      <c r="C4" s="10" t="s">
        <v>62</v>
      </c>
      <c r="D4" s="10" t="s">
        <v>63</v>
      </c>
      <c r="E4" s="9">
        <v>7</v>
      </c>
      <c r="F4" s="9">
        <v>7</v>
      </c>
      <c r="G4" s="9">
        <v>0</v>
      </c>
      <c r="H4" s="10" t="s">
        <v>63</v>
      </c>
      <c r="I4" s="9">
        <v>1</v>
      </c>
      <c r="J4" s="9">
        <v>0.373693750007078</v>
      </c>
      <c r="K4" s="10" t="s">
        <v>51</v>
      </c>
      <c r="L4" s="9">
        <v>0</v>
      </c>
      <c r="M4" s="9">
        <v>7</v>
      </c>
      <c r="N4" s="9">
        <v>7</v>
      </c>
      <c r="O4" s="9">
        <v>13</v>
      </c>
      <c r="P4" s="9">
        <v>23.3527287080069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9">
        <v>23.344200792009399</v>
      </c>
      <c r="AD4" s="9">
        <v>23.3527287080069</v>
      </c>
      <c r="AE4" s="9">
        <v>23.839728083010399</v>
      </c>
      <c r="AF4" s="9">
        <v>23.839728083010399</v>
      </c>
      <c r="AG4" s="9">
        <v>23.839728083010399</v>
      </c>
      <c r="AH4" s="9">
        <v>24.217368417012</v>
      </c>
      <c r="AI4" s="10" t="s">
        <v>63</v>
      </c>
      <c r="AJ4" s="9">
        <v>1</v>
      </c>
      <c r="AK4" s="9">
        <v>0.373693750007078</v>
      </c>
      <c r="AL4" s="10" t="s">
        <v>51</v>
      </c>
      <c r="AM4" s="8"/>
      <c r="AN4" s="8"/>
      <c r="AO4" s="8"/>
      <c r="AP4" s="8"/>
      <c r="AQ4" s="9">
        <v>2</v>
      </c>
      <c r="AR4" s="9">
        <v>1</v>
      </c>
      <c r="AS4" s="10" t="s">
        <v>52</v>
      </c>
      <c r="AT4" s="10" t="s">
        <v>53</v>
      </c>
      <c r="AU4" s="8"/>
      <c r="AV4" s="10" t="s">
        <v>54</v>
      </c>
      <c r="AW4" s="10" t="s">
        <v>51</v>
      </c>
      <c r="AX4" s="10" t="s">
        <v>55</v>
      </c>
      <c r="AY4" s="8"/>
    </row>
    <row r="5" spans="1:51" x14ac:dyDescent="0.15">
      <c r="A5" s="11" t="s">
        <v>70</v>
      </c>
      <c r="B5" s="12" t="s">
        <v>61</v>
      </c>
      <c r="C5" s="10" t="s">
        <v>62</v>
      </c>
      <c r="D5" s="10" t="s">
        <v>63</v>
      </c>
      <c r="E5" s="9">
        <v>11</v>
      </c>
      <c r="F5" s="9">
        <v>11</v>
      </c>
      <c r="G5" s="9">
        <v>1</v>
      </c>
      <c r="H5" s="10" t="s">
        <v>63</v>
      </c>
      <c r="I5" s="9">
        <v>1</v>
      </c>
      <c r="J5" s="9">
        <v>0.46720179200929102</v>
      </c>
      <c r="K5" s="10" t="s">
        <v>51</v>
      </c>
      <c r="L5" s="9">
        <v>1</v>
      </c>
      <c r="M5" s="9">
        <v>11</v>
      </c>
      <c r="N5" s="9">
        <v>11</v>
      </c>
      <c r="O5" s="9">
        <v>13</v>
      </c>
      <c r="P5" s="9">
        <v>26.7981273750047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9">
        <v>26.789816417003799</v>
      </c>
      <c r="AD5" s="9">
        <v>26.7981273750047</v>
      </c>
      <c r="AE5" s="9">
        <v>27.2820869580028</v>
      </c>
      <c r="AF5" s="9">
        <v>27.2820869580028</v>
      </c>
      <c r="AG5" s="9">
        <v>27.2820869580028</v>
      </c>
      <c r="AH5" s="9">
        <v>27.750891375006201</v>
      </c>
      <c r="AI5" s="10" t="s">
        <v>63</v>
      </c>
      <c r="AJ5" s="9">
        <v>1</v>
      </c>
      <c r="AK5" s="9">
        <v>0.46720179200929102</v>
      </c>
      <c r="AL5" s="10" t="s">
        <v>51</v>
      </c>
      <c r="AM5" s="8"/>
      <c r="AN5" s="8"/>
      <c r="AO5" s="8"/>
      <c r="AP5" s="8"/>
      <c r="AQ5" s="9">
        <v>2</v>
      </c>
      <c r="AR5" s="9">
        <v>1</v>
      </c>
      <c r="AS5" s="10" t="s">
        <v>52</v>
      </c>
      <c r="AT5" s="10" t="s">
        <v>53</v>
      </c>
      <c r="AU5" s="8"/>
      <c r="AV5" s="10" t="s">
        <v>54</v>
      </c>
      <c r="AW5" s="10" t="s">
        <v>51</v>
      </c>
      <c r="AX5" s="10" t="s">
        <v>55</v>
      </c>
      <c r="AY5" s="8"/>
    </row>
    <row r="6" spans="1:51" x14ac:dyDescent="0.15">
      <c r="A6" s="11" t="s">
        <v>73</v>
      </c>
      <c r="B6" s="12" t="s">
        <v>61</v>
      </c>
      <c r="C6" s="10" t="s">
        <v>58</v>
      </c>
      <c r="D6" s="10" t="s">
        <v>59</v>
      </c>
      <c r="E6" s="9">
        <v>13</v>
      </c>
      <c r="F6" s="9">
        <v>13</v>
      </c>
      <c r="G6" s="9">
        <v>0</v>
      </c>
      <c r="H6" s="10" t="s">
        <v>59</v>
      </c>
      <c r="I6" s="9">
        <v>1</v>
      </c>
      <c r="J6" s="9">
        <v>0.33713337399240101</v>
      </c>
      <c r="K6" s="10" t="s">
        <v>51</v>
      </c>
      <c r="L6" s="9">
        <v>0</v>
      </c>
      <c r="M6" s="9">
        <v>13</v>
      </c>
      <c r="N6" s="9">
        <v>13</v>
      </c>
      <c r="O6" s="9">
        <v>14</v>
      </c>
      <c r="P6" s="9">
        <v>28.8471890830115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9">
        <v>28.839995957998301</v>
      </c>
      <c r="AD6" s="9">
        <v>28.8471890830115</v>
      </c>
      <c r="AE6" s="9">
        <v>29.332100250001499</v>
      </c>
      <c r="AF6" s="9">
        <v>29.332100250001499</v>
      </c>
      <c r="AG6" s="9">
        <v>29.332100250001499</v>
      </c>
      <c r="AH6" s="9">
        <v>29.672940167001801</v>
      </c>
      <c r="AI6" s="10" t="s">
        <v>59</v>
      </c>
      <c r="AJ6" s="9">
        <v>1</v>
      </c>
      <c r="AK6" s="9">
        <v>0.33713337399240101</v>
      </c>
      <c r="AL6" s="10" t="s">
        <v>51</v>
      </c>
      <c r="AM6" s="8"/>
      <c r="AN6" s="8"/>
      <c r="AO6" s="8"/>
      <c r="AP6" s="8"/>
      <c r="AQ6" s="9">
        <v>2</v>
      </c>
      <c r="AR6" s="9">
        <v>1</v>
      </c>
      <c r="AS6" s="10" t="s">
        <v>52</v>
      </c>
      <c r="AT6" s="10" t="s">
        <v>53</v>
      </c>
      <c r="AU6" s="8"/>
      <c r="AV6" s="10" t="s">
        <v>54</v>
      </c>
      <c r="AW6" s="10" t="s">
        <v>51</v>
      </c>
      <c r="AX6" s="10" t="s">
        <v>55</v>
      </c>
      <c r="AY6" s="8"/>
    </row>
    <row r="7" spans="1:51" x14ac:dyDescent="0.15">
      <c r="A7" s="11" t="s">
        <v>74</v>
      </c>
      <c r="B7" s="12" t="s">
        <v>61</v>
      </c>
      <c r="C7" s="10" t="s">
        <v>58</v>
      </c>
      <c r="D7" s="10" t="s">
        <v>59</v>
      </c>
      <c r="E7" s="9">
        <v>14</v>
      </c>
      <c r="F7" s="9">
        <v>14</v>
      </c>
      <c r="G7" s="9">
        <v>0</v>
      </c>
      <c r="H7" s="10" t="s">
        <v>59</v>
      </c>
      <c r="I7" s="9">
        <v>1</v>
      </c>
      <c r="J7" s="9">
        <v>0.36668829100381101</v>
      </c>
      <c r="K7" s="10" t="s">
        <v>51</v>
      </c>
      <c r="L7" s="9">
        <v>0</v>
      </c>
      <c r="M7" s="9">
        <v>14</v>
      </c>
      <c r="N7" s="9">
        <v>14</v>
      </c>
      <c r="O7" s="9">
        <v>0</v>
      </c>
      <c r="P7" s="9">
        <v>29.687906042003299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>
        <v>29.6791250420065</v>
      </c>
      <c r="AD7" s="9">
        <v>29.687906042003299</v>
      </c>
      <c r="AE7" s="9">
        <v>30.173635167011501</v>
      </c>
      <c r="AF7" s="9">
        <v>30.173635167011501</v>
      </c>
      <c r="AG7" s="9">
        <v>30.173635167011501</v>
      </c>
      <c r="AH7" s="9">
        <v>30.550902375005499</v>
      </c>
      <c r="AI7" s="10" t="s">
        <v>59</v>
      </c>
      <c r="AJ7" s="9">
        <v>1</v>
      </c>
      <c r="AK7" s="9">
        <v>0.36668829100381101</v>
      </c>
      <c r="AL7" s="10" t="s">
        <v>51</v>
      </c>
      <c r="AM7" s="8"/>
      <c r="AN7" s="8"/>
      <c r="AO7" s="8"/>
      <c r="AP7" s="8"/>
      <c r="AQ7" s="9">
        <v>2</v>
      </c>
      <c r="AR7" s="9">
        <v>1</v>
      </c>
      <c r="AS7" s="10" t="s">
        <v>52</v>
      </c>
      <c r="AT7" s="10" t="s">
        <v>53</v>
      </c>
      <c r="AU7" s="8"/>
      <c r="AV7" s="10" t="s">
        <v>54</v>
      </c>
      <c r="AW7" s="10" t="s">
        <v>51</v>
      </c>
      <c r="AX7" s="10" t="s">
        <v>55</v>
      </c>
      <c r="AY7" s="8"/>
    </row>
    <row r="8" spans="1:51" x14ac:dyDescent="0.15">
      <c r="A8" s="11" t="s">
        <v>79</v>
      </c>
      <c r="B8" s="12" t="s">
        <v>61</v>
      </c>
      <c r="C8" s="10" t="s">
        <v>62</v>
      </c>
      <c r="D8" s="10" t="s">
        <v>63</v>
      </c>
      <c r="E8" s="9">
        <v>20</v>
      </c>
      <c r="F8" s="9">
        <v>20</v>
      </c>
      <c r="G8" s="9">
        <v>0</v>
      </c>
      <c r="H8" s="10" t="s">
        <v>63</v>
      </c>
      <c r="I8" s="9">
        <v>1</v>
      </c>
      <c r="J8" s="9">
        <v>0.51607475000491798</v>
      </c>
      <c r="K8" s="10" t="s">
        <v>51</v>
      </c>
      <c r="L8" s="9">
        <v>0</v>
      </c>
      <c r="M8" s="9">
        <v>20</v>
      </c>
      <c r="N8" s="9">
        <v>20</v>
      </c>
      <c r="O8" s="9">
        <v>7</v>
      </c>
      <c r="P8" s="9">
        <v>35.104477667002399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9">
        <v>35.093518333000297</v>
      </c>
      <c r="AD8" s="9">
        <v>35.104477667002399</v>
      </c>
      <c r="AE8" s="9">
        <v>35.590215750009499</v>
      </c>
      <c r="AF8" s="9">
        <v>35.590215750009499</v>
      </c>
      <c r="AG8" s="9">
        <v>35.590215750009499</v>
      </c>
      <c r="AH8" s="9">
        <v>36.117746458010501</v>
      </c>
      <c r="AI8" s="10" t="s">
        <v>63</v>
      </c>
      <c r="AJ8" s="9">
        <v>1</v>
      </c>
      <c r="AK8" s="9">
        <v>0.51607475000491798</v>
      </c>
      <c r="AL8" s="10" t="s">
        <v>51</v>
      </c>
      <c r="AM8" s="8"/>
      <c r="AN8" s="8"/>
      <c r="AO8" s="8"/>
      <c r="AP8" s="8"/>
      <c r="AQ8" s="9">
        <v>2</v>
      </c>
      <c r="AR8" s="9">
        <v>1</v>
      </c>
      <c r="AS8" s="10" t="s">
        <v>52</v>
      </c>
      <c r="AT8" s="10" t="s">
        <v>53</v>
      </c>
      <c r="AU8" s="8"/>
      <c r="AV8" s="10" t="s">
        <v>54</v>
      </c>
      <c r="AW8" s="10" t="s">
        <v>51</v>
      </c>
      <c r="AX8" s="10" t="s">
        <v>55</v>
      </c>
      <c r="AY8" s="8"/>
    </row>
    <row r="9" spans="1:51" x14ac:dyDescent="0.15">
      <c r="A9" s="11" t="s">
        <v>60</v>
      </c>
      <c r="B9" s="12" t="s">
        <v>61</v>
      </c>
      <c r="C9" s="10" t="s">
        <v>58</v>
      </c>
      <c r="D9" s="10" t="s">
        <v>59</v>
      </c>
      <c r="E9" s="9">
        <v>21</v>
      </c>
      <c r="F9" s="9">
        <v>21</v>
      </c>
      <c r="G9" s="9">
        <v>0</v>
      </c>
      <c r="H9" s="10" t="s">
        <v>59</v>
      </c>
      <c r="I9" s="9">
        <v>1</v>
      </c>
      <c r="J9" s="9">
        <v>0.55454095800814696</v>
      </c>
      <c r="K9" s="10" t="s">
        <v>51</v>
      </c>
      <c r="L9" s="9">
        <v>0</v>
      </c>
      <c r="M9" s="9">
        <v>21</v>
      </c>
      <c r="N9" s="9">
        <v>21</v>
      </c>
      <c r="O9" s="9">
        <v>8</v>
      </c>
      <c r="P9" s="9">
        <v>36.130956667009698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9">
        <v>36.122728583010002</v>
      </c>
      <c r="AD9" s="9">
        <v>36.130956667009698</v>
      </c>
      <c r="AE9" s="9">
        <v>36.615942958000197</v>
      </c>
      <c r="AF9" s="9">
        <v>36.615942958000197</v>
      </c>
      <c r="AG9" s="9">
        <v>36.615942958000197</v>
      </c>
      <c r="AH9" s="9">
        <v>37.172775291997802</v>
      </c>
      <c r="AI9" s="10" t="s">
        <v>59</v>
      </c>
      <c r="AJ9" s="9">
        <v>1</v>
      </c>
      <c r="AK9" s="9">
        <v>0.55454095800814696</v>
      </c>
      <c r="AL9" s="10" t="s">
        <v>51</v>
      </c>
      <c r="AM9" s="8"/>
      <c r="AN9" s="8"/>
      <c r="AO9" s="8"/>
      <c r="AP9" s="8"/>
      <c r="AQ9" s="9">
        <v>2</v>
      </c>
      <c r="AR9" s="9">
        <v>1</v>
      </c>
      <c r="AS9" s="10" t="s">
        <v>52</v>
      </c>
      <c r="AT9" s="10" t="s">
        <v>53</v>
      </c>
      <c r="AU9" s="8"/>
      <c r="AV9" s="10" t="s">
        <v>54</v>
      </c>
      <c r="AW9" s="10" t="s">
        <v>51</v>
      </c>
      <c r="AX9" s="10" t="s">
        <v>55</v>
      </c>
      <c r="AY9" s="8"/>
    </row>
    <row r="10" spans="1:51" x14ac:dyDescent="0.15">
      <c r="A10" s="11" t="s">
        <v>74</v>
      </c>
      <c r="B10" s="12" t="s">
        <v>61</v>
      </c>
      <c r="C10" s="10" t="s">
        <v>62</v>
      </c>
      <c r="D10" s="10" t="s">
        <v>63</v>
      </c>
      <c r="E10" s="9">
        <v>24</v>
      </c>
      <c r="F10" s="9">
        <v>24</v>
      </c>
      <c r="G10" s="9">
        <v>0</v>
      </c>
      <c r="H10" s="10" t="s">
        <v>63</v>
      </c>
      <c r="I10" s="9">
        <v>1</v>
      </c>
      <c r="J10" s="9">
        <v>0.34829937499307601</v>
      </c>
      <c r="K10" s="10" t="s">
        <v>51</v>
      </c>
      <c r="L10" s="9">
        <v>0</v>
      </c>
      <c r="M10" s="9">
        <v>24</v>
      </c>
      <c r="N10" s="9">
        <v>24</v>
      </c>
      <c r="O10" s="9">
        <v>1</v>
      </c>
      <c r="P10" s="9">
        <v>39.414150292010198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9">
        <v>39.405868083005799</v>
      </c>
      <c r="AD10" s="9">
        <v>39.414150292010198</v>
      </c>
      <c r="AE10" s="9">
        <v>39.899335792011698</v>
      </c>
      <c r="AF10" s="9">
        <v>39.899335792011698</v>
      </c>
      <c r="AG10" s="9">
        <v>39.899335792011698</v>
      </c>
      <c r="AH10" s="9">
        <v>40.250923333005602</v>
      </c>
      <c r="AI10" s="10" t="s">
        <v>63</v>
      </c>
      <c r="AJ10" s="9">
        <v>1</v>
      </c>
      <c r="AK10" s="9">
        <v>0.34829937499307601</v>
      </c>
      <c r="AL10" s="10" t="s">
        <v>51</v>
      </c>
      <c r="AM10" s="8"/>
      <c r="AN10" s="8"/>
      <c r="AO10" s="8"/>
      <c r="AP10" s="8"/>
      <c r="AQ10" s="9">
        <v>2</v>
      </c>
      <c r="AR10" s="9">
        <v>1</v>
      </c>
      <c r="AS10" s="10" t="s">
        <v>52</v>
      </c>
      <c r="AT10" s="10" t="s">
        <v>53</v>
      </c>
      <c r="AU10" s="8"/>
      <c r="AV10" s="10" t="s">
        <v>54</v>
      </c>
      <c r="AW10" s="10" t="s">
        <v>51</v>
      </c>
      <c r="AX10" s="10" t="s">
        <v>55</v>
      </c>
      <c r="AY10" s="8"/>
    </row>
    <row r="11" spans="1:51" x14ac:dyDescent="0.15">
      <c r="A11" s="11" t="s">
        <v>79</v>
      </c>
      <c r="B11" s="12" t="s">
        <v>61</v>
      </c>
      <c r="C11" s="10" t="s">
        <v>62</v>
      </c>
      <c r="D11" s="10" t="s">
        <v>63</v>
      </c>
      <c r="E11" s="9">
        <v>26</v>
      </c>
      <c r="F11" s="9">
        <v>26</v>
      </c>
      <c r="G11" s="9">
        <v>1</v>
      </c>
      <c r="H11" s="10" t="s">
        <v>63</v>
      </c>
      <c r="I11" s="9">
        <v>1</v>
      </c>
      <c r="J11" s="9">
        <v>0.39123416600341399</v>
      </c>
      <c r="K11" s="10" t="s">
        <v>51</v>
      </c>
      <c r="L11" s="9">
        <v>1</v>
      </c>
      <c r="M11" s="9">
        <v>26</v>
      </c>
      <c r="N11" s="9">
        <v>26</v>
      </c>
      <c r="O11" s="9">
        <v>7</v>
      </c>
      <c r="P11" s="9">
        <v>41.179211333001199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>
        <v>41.171075833000899</v>
      </c>
      <c r="AD11" s="9">
        <v>41.179211333001199</v>
      </c>
      <c r="AE11" s="9">
        <v>41.666230375005398</v>
      </c>
      <c r="AF11" s="9">
        <v>41.666230375005398</v>
      </c>
      <c r="AG11" s="9">
        <v>41.666230375005398</v>
      </c>
      <c r="AH11" s="9">
        <v>42.067766624997603</v>
      </c>
      <c r="AI11" s="10" t="s">
        <v>63</v>
      </c>
      <c r="AJ11" s="9">
        <v>1</v>
      </c>
      <c r="AK11" s="9">
        <v>0.39123416600341399</v>
      </c>
      <c r="AL11" s="10" t="s">
        <v>51</v>
      </c>
      <c r="AM11" s="8"/>
      <c r="AN11" s="8"/>
      <c r="AO11" s="8"/>
      <c r="AP11" s="8"/>
      <c r="AQ11" s="9">
        <v>2</v>
      </c>
      <c r="AR11" s="9">
        <v>1</v>
      </c>
      <c r="AS11" s="10" t="s">
        <v>52</v>
      </c>
      <c r="AT11" s="10" t="s">
        <v>53</v>
      </c>
      <c r="AU11" s="8"/>
      <c r="AV11" s="10" t="s">
        <v>54</v>
      </c>
      <c r="AW11" s="10" t="s">
        <v>51</v>
      </c>
      <c r="AX11" s="10" t="s">
        <v>55</v>
      </c>
      <c r="AY11" s="8"/>
    </row>
    <row r="12" spans="1:51" x14ac:dyDescent="0.15">
      <c r="A12" s="11" t="s">
        <v>83</v>
      </c>
      <c r="B12" s="12" t="s">
        <v>61</v>
      </c>
      <c r="C12" s="10" t="s">
        <v>58</v>
      </c>
      <c r="D12" s="10" t="s">
        <v>59</v>
      </c>
      <c r="E12" s="9">
        <v>28</v>
      </c>
      <c r="F12" s="9">
        <v>28</v>
      </c>
      <c r="G12" s="9">
        <v>0</v>
      </c>
      <c r="H12" s="10" t="s">
        <v>59</v>
      </c>
      <c r="I12" s="9">
        <v>1</v>
      </c>
      <c r="J12" s="9">
        <v>1.19559824999305</v>
      </c>
      <c r="K12" s="10" t="s">
        <v>51</v>
      </c>
      <c r="L12" s="9">
        <v>0</v>
      </c>
      <c r="M12" s="9">
        <v>28</v>
      </c>
      <c r="N12" s="9">
        <v>28</v>
      </c>
      <c r="O12" s="9">
        <v>2</v>
      </c>
      <c r="P12" s="9">
        <v>43.281156124998198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9">
        <v>43.272477874998003</v>
      </c>
      <c r="AD12" s="9">
        <v>43.281156124998198</v>
      </c>
      <c r="AE12" s="9">
        <v>43.766178667006898</v>
      </c>
      <c r="AF12" s="9">
        <v>43.766178667006898</v>
      </c>
      <c r="AG12" s="9">
        <v>43.766178667006898</v>
      </c>
      <c r="AH12" s="9">
        <v>44.967657166998798</v>
      </c>
      <c r="AI12" s="10" t="s">
        <v>59</v>
      </c>
      <c r="AJ12" s="9">
        <v>1</v>
      </c>
      <c r="AK12" s="9">
        <v>1.19559824999305</v>
      </c>
      <c r="AL12" s="10" t="s">
        <v>51</v>
      </c>
      <c r="AM12" s="8"/>
      <c r="AN12" s="8"/>
      <c r="AO12" s="8"/>
      <c r="AP12" s="8"/>
      <c r="AQ12" s="9">
        <v>2</v>
      </c>
      <c r="AR12" s="9">
        <v>1</v>
      </c>
      <c r="AS12" s="10" t="s">
        <v>52</v>
      </c>
      <c r="AT12" s="10" t="s">
        <v>53</v>
      </c>
      <c r="AU12" s="8"/>
      <c r="AV12" s="10" t="s">
        <v>54</v>
      </c>
      <c r="AW12" s="10" t="s">
        <v>51</v>
      </c>
      <c r="AX12" s="10" t="s">
        <v>55</v>
      </c>
      <c r="AY12" s="8"/>
    </row>
    <row r="13" spans="1:51" x14ac:dyDescent="0.15">
      <c r="A13" s="11" t="s">
        <v>85</v>
      </c>
      <c r="B13" s="12" t="s">
        <v>61</v>
      </c>
      <c r="C13" s="10" t="s">
        <v>62</v>
      </c>
      <c r="D13" s="10" t="s">
        <v>63</v>
      </c>
      <c r="E13" s="9">
        <v>36</v>
      </c>
      <c r="F13" s="9">
        <v>36</v>
      </c>
      <c r="G13" s="9">
        <v>0</v>
      </c>
      <c r="H13" s="10" t="s">
        <v>63</v>
      </c>
      <c r="I13" s="9">
        <v>1</v>
      </c>
      <c r="J13" s="9">
        <v>0.43254458300361898</v>
      </c>
      <c r="K13" s="10" t="s">
        <v>51</v>
      </c>
      <c r="L13" s="9">
        <v>0</v>
      </c>
      <c r="M13" s="9">
        <v>36</v>
      </c>
      <c r="N13" s="9">
        <v>36</v>
      </c>
      <c r="O13" s="9">
        <v>11</v>
      </c>
      <c r="P13" s="9">
        <v>52.9811310000077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9">
        <v>52.972815917004503</v>
      </c>
      <c r="AD13" s="9">
        <v>52.9811310000077</v>
      </c>
      <c r="AE13" s="9">
        <v>53.466309791998398</v>
      </c>
      <c r="AF13" s="9">
        <v>53.466309791998398</v>
      </c>
      <c r="AG13" s="9">
        <v>53.466309791998398</v>
      </c>
      <c r="AH13" s="9">
        <v>53.9013910830108</v>
      </c>
      <c r="AI13" s="10" t="s">
        <v>63</v>
      </c>
      <c r="AJ13" s="9">
        <v>1</v>
      </c>
      <c r="AK13" s="9">
        <v>0.43254458300361898</v>
      </c>
      <c r="AL13" s="10" t="s">
        <v>51</v>
      </c>
      <c r="AM13" s="8"/>
      <c r="AN13" s="8"/>
      <c r="AO13" s="8"/>
      <c r="AP13" s="8"/>
      <c r="AQ13" s="9">
        <v>2</v>
      </c>
      <c r="AR13" s="9">
        <v>1</v>
      </c>
      <c r="AS13" s="10" t="s">
        <v>52</v>
      </c>
      <c r="AT13" s="10" t="s">
        <v>53</v>
      </c>
      <c r="AU13" s="8"/>
      <c r="AV13" s="10" t="s">
        <v>54</v>
      </c>
      <c r="AW13" s="10" t="s">
        <v>51</v>
      </c>
      <c r="AX13" s="10" t="s">
        <v>55</v>
      </c>
      <c r="AY13" s="8"/>
    </row>
    <row r="14" spans="1:51" x14ac:dyDescent="0.15">
      <c r="A14" s="11" t="s">
        <v>64</v>
      </c>
      <c r="B14" s="12" t="s">
        <v>61</v>
      </c>
      <c r="C14" s="10" t="s">
        <v>58</v>
      </c>
      <c r="D14" s="10" t="s">
        <v>59</v>
      </c>
      <c r="E14" s="9">
        <v>40</v>
      </c>
      <c r="F14" s="9">
        <v>40</v>
      </c>
      <c r="G14" s="9">
        <v>0</v>
      </c>
      <c r="H14" s="10" t="s">
        <v>59</v>
      </c>
      <c r="I14" s="9">
        <v>1</v>
      </c>
      <c r="J14" s="9">
        <v>0.53984587499871906</v>
      </c>
      <c r="K14" s="10" t="s">
        <v>51</v>
      </c>
      <c r="L14" s="9">
        <v>0</v>
      </c>
      <c r="M14" s="9">
        <v>40</v>
      </c>
      <c r="N14" s="9">
        <v>40</v>
      </c>
      <c r="O14" s="9">
        <v>4</v>
      </c>
      <c r="P14" s="9">
        <v>56.971804458007703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9">
        <v>56.961482500002603</v>
      </c>
      <c r="AD14" s="9">
        <v>56.971804458007703</v>
      </c>
      <c r="AE14" s="9">
        <v>57.458974792010899</v>
      </c>
      <c r="AF14" s="9">
        <v>57.458974792010899</v>
      </c>
      <c r="AG14" s="9">
        <v>57.458974792010899</v>
      </c>
      <c r="AH14" s="9">
        <v>58.001584208002903</v>
      </c>
      <c r="AI14" s="10" t="s">
        <v>59</v>
      </c>
      <c r="AJ14" s="9">
        <v>1</v>
      </c>
      <c r="AK14" s="9">
        <v>0.53984587499871906</v>
      </c>
      <c r="AL14" s="10" t="s">
        <v>51</v>
      </c>
      <c r="AM14" s="8"/>
      <c r="AN14" s="8"/>
      <c r="AO14" s="8"/>
      <c r="AP14" s="8"/>
      <c r="AQ14" s="9">
        <v>2</v>
      </c>
      <c r="AR14" s="9">
        <v>1</v>
      </c>
      <c r="AS14" s="10" t="s">
        <v>52</v>
      </c>
      <c r="AT14" s="10" t="s">
        <v>53</v>
      </c>
      <c r="AU14" s="8"/>
      <c r="AV14" s="10" t="s">
        <v>54</v>
      </c>
      <c r="AW14" s="10" t="s">
        <v>51</v>
      </c>
      <c r="AX14" s="10" t="s">
        <v>55</v>
      </c>
      <c r="AY14" s="8"/>
    </row>
    <row r="15" spans="1:51" x14ac:dyDescent="0.15">
      <c r="A15" s="11" t="s">
        <v>70</v>
      </c>
      <c r="B15" s="12" t="s">
        <v>61</v>
      </c>
      <c r="C15" s="10" t="s">
        <v>58</v>
      </c>
      <c r="D15" s="10" t="s">
        <v>59</v>
      </c>
      <c r="E15" s="9">
        <v>44</v>
      </c>
      <c r="F15" s="9">
        <v>44</v>
      </c>
      <c r="G15" s="9">
        <v>0</v>
      </c>
      <c r="H15" s="10" t="s">
        <v>59</v>
      </c>
      <c r="I15" s="9">
        <v>1</v>
      </c>
      <c r="J15" s="9">
        <v>0.70040804200107198</v>
      </c>
      <c r="K15" s="10" t="s">
        <v>51</v>
      </c>
      <c r="L15" s="9">
        <v>0</v>
      </c>
      <c r="M15" s="9">
        <v>44</v>
      </c>
      <c r="N15" s="9">
        <v>44</v>
      </c>
      <c r="O15" s="9">
        <v>12</v>
      </c>
      <c r="P15" s="9">
        <v>61.222024417002103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9">
        <v>61.211039542002297</v>
      </c>
      <c r="AD15" s="9">
        <v>61.222024417002103</v>
      </c>
      <c r="AE15" s="9">
        <v>61.7084416670114</v>
      </c>
      <c r="AF15" s="9">
        <v>61.7084416670114</v>
      </c>
      <c r="AG15" s="9">
        <v>61.7084416670114</v>
      </c>
      <c r="AH15" s="9">
        <v>62.418373000007698</v>
      </c>
      <c r="AI15" s="10" t="s">
        <v>59</v>
      </c>
      <c r="AJ15" s="9">
        <v>1</v>
      </c>
      <c r="AK15" s="9">
        <v>0.70040804200107198</v>
      </c>
      <c r="AL15" s="10" t="s">
        <v>51</v>
      </c>
      <c r="AM15" s="8"/>
      <c r="AN15" s="8"/>
      <c r="AO15" s="8"/>
      <c r="AP15" s="8"/>
      <c r="AQ15" s="9">
        <v>2</v>
      </c>
      <c r="AR15" s="9">
        <v>1</v>
      </c>
      <c r="AS15" s="10" t="s">
        <v>52</v>
      </c>
      <c r="AT15" s="10" t="s">
        <v>53</v>
      </c>
      <c r="AU15" s="8"/>
      <c r="AV15" s="10" t="s">
        <v>54</v>
      </c>
      <c r="AW15" s="10" t="s">
        <v>51</v>
      </c>
      <c r="AX15" s="10" t="s">
        <v>55</v>
      </c>
      <c r="AY15" s="8"/>
    </row>
    <row r="16" spans="1:51" x14ac:dyDescent="0.15">
      <c r="A16" s="11" t="s">
        <v>83</v>
      </c>
      <c r="B16" s="12" t="s">
        <v>61</v>
      </c>
      <c r="C16" s="10" t="s">
        <v>62</v>
      </c>
      <c r="D16" s="10" t="s">
        <v>63</v>
      </c>
      <c r="E16" s="9">
        <v>48</v>
      </c>
      <c r="F16" s="9">
        <v>48</v>
      </c>
      <c r="G16" s="9">
        <v>0</v>
      </c>
      <c r="H16" s="10" t="s">
        <v>63</v>
      </c>
      <c r="I16" s="9">
        <v>1</v>
      </c>
      <c r="J16" s="9">
        <v>0.36446924999472702</v>
      </c>
      <c r="K16" s="10" t="s">
        <v>51</v>
      </c>
      <c r="L16" s="9">
        <v>0</v>
      </c>
      <c r="M16" s="9">
        <v>48</v>
      </c>
      <c r="N16" s="9">
        <v>48</v>
      </c>
      <c r="O16" s="9">
        <v>3</v>
      </c>
      <c r="P16" s="9">
        <v>65.381540833011996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9">
        <v>65.373281125008404</v>
      </c>
      <c r="AD16" s="9">
        <v>65.381540833011996</v>
      </c>
      <c r="AE16" s="9">
        <v>65.866647792005097</v>
      </c>
      <c r="AF16" s="9">
        <v>65.866647792005097</v>
      </c>
      <c r="AG16" s="9">
        <v>65.866647792005097</v>
      </c>
      <c r="AH16" s="9">
        <v>66.235293707999503</v>
      </c>
      <c r="AI16" s="10" t="s">
        <v>63</v>
      </c>
      <c r="AJ16" s="9">
        <v>1</v>
      </c>
      <c r="AK16" s="9">
        <v>0.36446924999472702</v>
      </c>
      <c r="AL16" s="10" t="s">
        <v>51</v>
      </c>
      <c r="AM16" s="8"/>
      <c r="AN16" s="8"/>
      <c r="AO16" s="8"/>
      <c r="AP16" s="8"/>
      <c r="AQ16" s="9">
        <v>2</v>
      </c>
      <c r="AR16" s="9">
        <v>1</v>
      </c>
      <c r="AS16" s="10" t="s">
        <v>52</v>
      </c>
      <c r="AT16" s="10" t="s">
        <v>53</v>
      </c>
      <c r="AU16" s="8"/>
      <c r="AV16" s="10" t="s">
        <v>54</v>
      </c>
      <c r="AW16" s="10" t="s">
        <v>51</v>
      </c>
      <c r="AX16" s="10" t="s">
        <v>55</v>
      </c>
      <c r="AY16" s="8"/>
    </row>
    <row r="17" spans="1:51" x14ac:dyDescent="0.15">
      <c r="A17" s="11" t="s">
        <v>73</v>
      </c>
      <c r="B17" s="12" t="s">
        <v>61</v>
      </c>
      <c r="C17" s="10" t="s">
        <v>58</v>
      </c>
      <c r="D17" s="10" t="s">
        <v>59</v>
      </c>
      <c r="E17" s="9">
        <v>52</v>
      </c>
      <c r="F17" s="9">
        <v>52</v>
      </c>
      <c r="G17" s="9">
        <v>1</v>
      </c>
      <c r="H17" s="10" t="s">
        <v>59</v>
      </c>
      <c r="I17" s="9">
        <v>1</v>
      </c>
      <c r="J17" s="9">
        <v>0.58683620799274705</v>
      </c>
      <c r="K17" s="10" t="s">
        <v>51</v>
      </c>
      <c r="L17" s="9">
        <v>1</v>
      </c>
      <c r="M17" s="9">
        <v>52</v>
      </c>
      <c r="N17" s="9">
        <v>52</v>
      </c>
      <c r="O17" s="9">
        <v>14</v>
      </c>
      <c r="P17" s="9">
        <v>69.381062250002302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9">
        <v>69.372819666998097</v>
      </c>
      <c r="AD17" s="9">
        <v>69.381062250002302</v>
      </c>
      <c r="AE17" s="9">
        <v>69.867089708001004</v>
      </c>
      <c r="AF17" s="9">
        <v>69.867089708001004</v>
      </c>
      <c r="AG17" s="9">
        <v>69.867089708001004</v>
      </c>
      <c r="AH17" s="9">
        <v>70.457249375001993</v>
      </c>
      <c r="AI17" s="10" t="s">
        <v>59</v>
      </c>
      <c r="AJ17" s="9">
        <v>1</v>
      </c>
      <c r="AK17" s="9">
        <v>0.58683620799274705</v>
      </c>
      <c r="AL17" s="10" t="s">
        <v>51</v>
      </c>
      <c r="AM17" s="8"/>
      <c r="AN17" s="8"/>
      <c r="AO17" s="8"/>
      <c r="AP17" s="8"/>
      <c r="AQ17" s="9">
        <v>2</v>
      </c>
      <c r="AR17" s="9">
        <v>1</v>
      </c>
      <c r="AS17" s="10" t="s">
        <v>52</v>
      </c>
      <c r="AT17" s="10" t="s">
        <v>53</v>
      </c>
      <c r="AU17" s="8"/>
      <c r="AV17" s="10" t="s">
        <v>54</v>
      </c>
      <c r="AW17" s="10" t="s">
        <v>51</v>
      </c>
      <c r="AX17" s="10" t="s">
        <v>55</v>
      </c>
      <c r="AY17" s="8"/>
    </row>
    <row r="18" spans="1:51" x14ac:dyDescent="0.15">
      <c r="A18" s="11" t="s">
        <v>70</v>
      </c>
      <c r="B18" s="12" t="s">
        <v>61</v>
      </c>
      <c r="C18" s="10" t="s">
        <v>62</v>
      </c>
      <c r="D18" s="10" t="s">
        <v>63</v>
      </c>
      <c r="E18" s="9">
        <v>53</v>
      </c>
      <c r="F18" s="9">
        <v>53</v>
      </c>
      <c r="G18" s="9">
        <v>2</v>
      </c>
      <c r="H18" s="10" t="s">
        <v>63</v>
      </c>
      <c r="I18" s="9">
        <v>1</v>
      </c>
      <c r="J18" s="9">
        <v>0.55393579199153498</v>
      </c>
      <c r="K18" s="10" t="s">
        <v>51</v>
      </c>
      <c r="L18" s="9">
        <v>2</v>
      </c>
      <c r="M18" s="9">
        <v>53</v>
      </c>
      <c r="N18" s="9">
        <v>53</v>
      </c>
      <c r="O18" s="9">
        <v>13</v>
      </c>
      <c r="P18" s="9">
        <v>70.471595625000205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9">
        <v>70.462178750007297</v>
      </c>
      <c r="AD18" s="9">
        <v>70.471595625000205</v>
      </c>
      <c r="AE18" s="9">
        <v>70.958295375006898</v>
      </c>
      <c r="AF18" s="9">
        <v>70.958295375006898</v>
      </c>
      <c r="AG18" s="9">
        <v>70.958295375006898</v>
      </c>
      <c r="AH18" s="9">
        <v>71.519235792002306</v>
      </c>
      <c r="AI18" s="10" t="s">
        <v>63</v>
      </c>
      <c r="AJ18" s="9">
        <v>1</v>
      </c>
      <c r="AK18" s="9">
        <v>0.55393579199153498</v>
      </c>
      <c r="AL18" s="10" t="s">
        <v>51</v>
      </c>
      <c r="AM18" s="8"/>
      <c r="AN18" s="8"/>
      <c r="AO18" s="8"/>
      <c r="AP18" s="8"/>
      <c r="AQ18" s="9">
        <v>2</v>
      </c>
      <c r="AR18" s="9">
        <v>1</v>
      </c>
      <c r="AS18" s="10" t="s">
        <v>52</v>
      </c>
      <c r="AT18" s="10" t="s">
        <v>53</v>
      </c>
      <c r="AU18" s="8"/>
      <c r="AV18" s="10" t="s">
        <v>54</v>
      </c>
      <c r="AW18" s="10" t="s">
        <v>51</v>
      </c>
      <c r="AX18" s="10" t="s">
        <v>55</v>
      </c>
      <c r="AY18" s="8"/>
    </row>
    <row r="19" spans="1:51" x14ac:dyDescent="0.15">
      <c r="A19" s="11" t="s">
        <v>83</v>
      </c>
      <c r="B19" s="12" t="s">
        <v>61</v>
      </c>
      <c r="C19" s="10" t="s">
        <v>62</v>
      </c>
      <c r="D19" s="10" t="s">
        <v>63</v>
      </c>
      <c r="E19" s="9">
        <v>55</v>
      </c>
      <c r="F19" s="9">
        <v>55</v>
      </c>
      <c r="G19" s="9">
        <v>1</v>
      </c>
      <c r="H19" s="10" t="s">
        <v>63</v>
      </c>
      <c r="I19" s="9">
        <v>1</v>
      </c>
      <c r="J19" s="9">
        <v>0.44469054100045502</v>
      </c>
      <c r="K19" s="10" t="s">
        <v>51</v>
      </c>
      <c r="L19" s="9">
        <v>1</v>
      </c>
      <c r="M19" s="9">
        <v>55</v>
      </c>
      <c r="N19" s="9">
        <v>55</v>
      </c>
      <c r="O19" s="9">
        <v>3</v>
      </c>
      <c r="P19" s="9">
        <v>72.514802500008997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9">
        <v>72.506657042002203</v>
      </c>
      <c r="AD19" s="9">
        <v>72.514802500008997</v>
      </c>
      <c r="AE19" s="9">
        <v>73.000521250010905</v>
      </c>
      <c r="AF19" s="9">
        <v>73.000521250010905</v>
      </c>
      <c r="AG19" s="9">
        <v>73.000521250010905</v>
      </c>
      <c r="AH19" s="9">
        <v>73.452376083005205</v>
      </c>
      <c r="AI19" s="10" t="s">
        <v>63</v>
      </c>
      <c r="AJ19" s="9">
        <v>1</v>
      </c>
      <c r="AK19" s="9">
        <v>0.44469054100045502</v>
      </c>
      <c r="AL19" s="10" t="s">
        <v>51</v>
      </c>
      <c r="AM19" s="8"/>
      <c r="AN19" s="8"/>
      <c r="AO19" s="8"/>
      <c r="AP19" s="8"/>
      <c r="AQ19" s="9">
        <v>2</v>
      </c>
      <c r="AR19" s="9">
        <v>1</v>
      </c>
      <c r="AS19" s="10" t="s">
        <v>52</v>
      </c>
      <c r="AT19" s="10" t="s">
        <v>53</v>
      </c>
      <c r="AU19" s="8"/>
      <c r="AV19" s="10" t="s">
        <v>54</v>
      </c>
      <c r="AW19" s="10" t="s">
        <v>51</v>
      </c>
      <c r="AX19" s="10" t="s">
        <v>55</v>
      </c>
      <c r="AY19" s="8"/>
    </row>
    <row r="20" spans="1:51" x14ac:dyDescent="0.15">
      <c r="A20" s="11" t="s">
        <v>83</v>
      </c>
      <c r="B20" s="12" t="s">
        <v>61</v>
      </c>
      <c r="C20" s="10" t="s">
        <v>58</v>
      </c>
      <c r="D20" s="10" t="s">
        <v>59</v>
      </c>
      <c r="E20" s="9">
        <v>56</v>
      </c>
      <c r="F20" s="9">
        <v>56</v>
      </c>
      <c r="G20" s="9">
        <v>1</v>
      </c>
      <c r="H20" s="10" t="s">
        <v>59</v>
      </c>
      <c r="I20" s="9">
        <v>1</v>
      </c>
      <c r="J20" s="9">
        <v>0.66279366599337697</v>
      </c>
      <c r="K20" s="10" t="s">
        <v>51</v>
      </c>
      <c r="L20" s="9">
        <v>1</v>
      </c>
      <c r="M20" s="9">
        <v>56</v>
      </c>
      <c r="N20" s="9">
        <v>56</v>
      </c>
      <c r="O20" s="9">
        <v>2</v>
      </c>
      <c r="P20" s="9">
        <v>73.461812916997602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9">
        <v>73.4535040000046</v>
      </c>
      <c r="AD20" s="9">
        <v>73.461812916997602</v>
      </c>
      <c r="AE20" s="9">
        <v>73.9505920829979</v>
      </c>
      <c r="AF20" s="9">
        <v>73.9505920829979</v>
      </c>
      <c r="AG20" s="9">
        <v>73.9505920829979</v>
      </c>
      <c r="AH20" s="9">
        <v>74.6190829170082</v>
      </c>
      <c r="AI20" s="10" t="s">
        <v>59</v>
      </c>
      <c r="AJ20" s="9">
        <v>1</v>
      </c>
      <c r="AK20" s="9">
        <v>0.66279366599337697</v>
      </c>
      <c r="AL20" s="10" t="s">
        <v>51</v>
      </c>
      <c r="AM20" s="8"/>
      <c r="AN20" s="8"/>
      <c r="AO20" s="8"/>
      <c r="AP20" s="8"/>
      <c r="AQ20" s="9">
        <v>2</v>
      </c>
      <c r="AR20" s="9">
        <v>1</v>
      </c>
      <c r="AS20" s="10" t="s">
        <v>52</v>
      </c>
      <c r="AT20" s="10" t="s">
        <v>53</v>
      </c>
      <c r="AU20" s="8"/>
      <c r="AV20" s="10" t="s">
        <v>54</v>
      </c>
      <c r="AW20" s="10" t="s">
        <v>51</v>
      </c>
      <c r="AX20" s="10" t="s">
        <v>55</v>
      </c>
      <c r="AY20" s="8"/>
    </row>
    <row r="21" spans="1:51" x14ac:dyDescent="0.15">
      <c r="A21" s="11" t="s">
        <v>74</v>
      </c>
      <c r="B21" s="12" t="s">
        <v>61</v>
      </c>
      <c r="C21" s="10" t="s">
        <v>62</v>
      </c>
      <c r="D21" s="10" t="s">
        <v>63</v>
      </c>
      <c r="E21" s="9">
        <v>57</v>
      </c>
      <c r="F21" s="9">
        <v>57</v>
      </c>
      <c r="G21" s="9">
        <v>1</v>
      </c>
      <c r="H21" s="10" t="s">
        <v>59</v>
      </c>
      <c r="I21" s="9">
        <v>0</v>
      </c>
      <c r="J21" s="9">
        <v>0.464034041011473</v>
      </c>
      <c r="K21" s="10" t="s">
        <v>51</v>
      </c>
      <c r="L21" s="9">
        <v>1</v>
      </c>
      <c r="M21" s="9">
        <v>57</v>
      </c>
      <c r="N21" s="9">
        <v>57</v>
      </c>
      <c r="O21" s="9">
        <v>1</v>
      </c>
      <c r="P21" s="9">
        <v>74.631978500008699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9">
        <v>74.623684375008494</v>
      </c>
      <c r="AD21" s="9">
        <v>74.631978500008699</v>
      </c>
      <c r="AE21" s="9">
        <v>75.117303250008305</v>
      </c>
      <c r="AF21" s="9">
        <v>75.117303250008305</v>
      </c>
      <c r="AG21" s="9">
        <v>75.117303250008305</v>
      </c>
      <c r="AH21" s="9">
        <v>75.585556083009607</v>
      </c>
      <c r="AI21" s="10" t="s">
        <v>59</v>
      </c>
      <c r="AJ21" s="9">
        <v>0</v>
      </c>
      <c r="AK21" s="9">
        <v>0.464034041011473</v>
      </c>
      <c r="AL21" s="10" t="s">
        <v>51</v>
      </c>
      <c r="AM21" s="8"/>
      <c r="AN21" s="8"/>
      <c r="AO21" s="8"/>
      <c r="AP21" s="8"/>
      <c r="AQ21" s="9">
        <v>2</v>
      </c>
      <c r="AR21" s="9">
        <v>1</v>
      </c>
      <c r="AS21" s="10" t="s">
        <v>52</v>
      </c>
      <c r="AT21" s="10" t="s">
        <v>53</v>
      </c>
      <c r="AU21" s="8"/>
      <c r="AV21" s="10" t="s">
        <v>54</v>
      </c>
      <c r="AW21" s="10" t="s">
        <v>51</v>
      </c>
      <c r="AX21" s="10" t="s">
        <v>55</v>
      </c>
      <c r="AY21" s="8"/>
    </row>
    <row r="22" spans="1:51" x14ac:dyDescent="0.15">
      <c r="A22" s="11" t="s">
        <v>60</v>
      </c>
      <c r="B22" s="12" t="s">
        <v>61</v>
      </c>
      <c r="C22" s="10" t="s">
        <v>62</v>
      </c>
      <c r="D22" s="10" t="s">
        <v>63</v>
      </c>
      <c r="E22" s="9">
        <v>62</v>
      </c>
      <c r="F22" s="9">
        <v>62</v>
      </c>
      <c r="G22" s="9">
        <v>1</v>
      </c>
      <c r="H22" s="10" t="s">
        <v>63</v>
      </c>
      <c r="I22" s="9">
        <v>1</v>
      </c>
      <c r="J22" s="9">
        <v>0.71666179099702298</v>
      </c>
      <c r="K22" s="10" t="s">
        <v>51</v>
      </c>
      <c r="L22" s="9">
        <v>1</v>
      </c>
      <c r="M22" s="9">
        <v>62</v>
      </c>
      <c r="N22" s="9">
        <v>62</v>
      </c>
      <c r="O22" s="9">
        <v>9</v>
      </c>
      <c r="P22" s="9">
        <v>80.514412707998403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9">
        <v>80.506457833005697</v>
      </c>
      <c r="AD22" s="9">
        <v>80.514412707998403</v>
      </c>
      <c r="AE22" s="9">
        <v>81.000578917010003</v>
      </c>
      <c r="AF22" s="9">
        <v>81.000578917010003</v>
      </c>
      <c r="AG22" s="9">
        <v>81.000578917010003</v>
      </c>
      <c r="AH22" s="9">
        <v>81.718980833000401</v>
      </c>
      <c r="AI22" s="10" t="s">
        <v>63</v>
      </c>
      <c r="AJ22" s="9">
        <v>1</v>
      </c>
      <c r="AK22" s="9">
        <v>0.71666179099702298</v>
      </c>
      <c r="AL22" s="10" t="s">
        <v>51</v>
      </c>
      <c r="AM22" s="8"/>
      <c r="AN22" s="8"/>
      <c r="AO22" s="8"/>
      <c r="AP22" s="8"/>
      <c r="AQ22" s="9">
        <v>2</v>
      </c>
      <c r="AR22" s="9">
        <v>1</v>
      </c>
      <c r="AS22" s="10" t="s">
        <v>52</v>
      </c>
      <c r="AT22" s="10" t="s">
        <v>53</v>
      </c>
      <c r="AU22" s="8"/>
      <c r="AV22" s="10" t="s">
        <v>54</v>
      </c>
      <c r="AW22" s="10" t="s">
        <v>51</v>
      </c>
      <c r="AX22" s="10" t="s">
        <v>55</v>
      </c>
      <c r="AY22" s="8"/>
    </row>
    <row r="23" spans="1:51" x14ac:dyDescent="0.15">
      <c r="A23" s="11" t="s">
        <v>83</v>
      </c>
      <c r="B23" s="12" t="s">
        <v>61</v>
      </c>
      <c r="C23" s="10" t="s">
        <v>62</v>
      </c>
      <c r="D23" s="10" t="s">
        <v>63</v>
      </c>
      <c r="E23" s="9">
        <v>64</v>
      </c>
      <c r="F23" s="9">
        <v>64</v>
      </c>
      <c r="G23" s="9">
        <v>2</v>
      </c>
      <c r="H23" s="10" t="s">
        <v>63</v>
      </c>
      <c r="I23" s="9">
        <v>1</v>
      </c>
      <c r="J23" s="9">
        <v>0.37201495800400203</v>
      </c>
      <c r="K23" s="10" t="s">
        <v>51</v>
      </c>
      <c r="L23" s="9">
        <v>2</v>
      </c>
      <c r="M23" s="9">
        <v>64</v>
      </c>
      <c r="N23" s="9">
        <v>64</v>
      </c>
      <c r="O23" s="9">
        <v>3</v>
      </c>
      <c r="P23" s="9">
        <v>82.931670457997797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9">
        <v>82.923561042000102</v>
      </c>
      <c r="AD23" s="9">
        <v>82.931670457997797</v>
      </c>
      <c r="AE23" s="9">
        <v>83.417164792001103</v>
      </c>
      <c r="AF23" s="9">
        <v>83.417164792001103</v>
      </c>
      <c r="AG23" s="9">
        <v>83.417164792001103</v>
      </c>
      <c r="AH23" s="9">
        <v>83.791234917007401</v>
      </c>
      <c r="AI23" s="10" t="s">
        <v>63</v>
      </c>
      <c r="AJ23" s="9">
        <v>1</v>
      </c>
      <c r="AK23" s="9">
        <v>0.37201495800400203</v>
      </c>
      <c r="AL23" s="10" t="s">
        <v>51</v>
      </c>
      <c r="AM23" s="8"/>
      <c r="AN23" s="8"/>
      <c r="AO23" s="8"/>
      <c r="AP23" s="8"/>
      <c r="AQ23" s="9">
        <v>2</v>
      </c>
      <c r="AR23" s="9">
        <v>1</v>
      </c>
      <c r="AS23" s="10" t="s">
        <v>52</v>
      </c>
      <c r="AT23" s="10" t="s">
        <v>53</v>
      </c>
      <c r="AU23" s="8"/>
      <c r="AV23" s="10" t="s">
        <v>54</v>
      </c>
      <c r="AW23" s="10" t="s">
        <v>51</v>
      </c>
      <c r="AX23" s="10" t="s">
        <v>55</v>
      </c>
      <c r="AY23" s="8"/>
    </row>
    <row r="24" spans="1:51" x14ac:dyDescent="0.15">
      <c r="A24" s="11" t="s">
        <v>64</v>
      </c>
      <c r="B24" s="12" t="s">
        <v>61</v>
      </c>
      <c r="C24" s="10" t="s">
        <v>62</v>
      </c>
      <c r="D24" s="10" t="s">
        <v>63</v>
      </c>
      <c r="E24" s="9">
        <v>67</v>
      </c>
      <c r="F24" s="9">
        <v>67</v>
      </c>
      <c r="G24" s="9">
        <v>1</v>
      </c>
      <c r="H24" s="10" t="s">
        <v>63</v>
      </c>
      <c r="I24" s="9">
        <v>1</v>
      </c>
      <c r="J24" s="9">
        <v>0.30017416599730501</v>
      </c>
      <c r="K24" s="10" t="s">
        <v>51</v>
      </c>
      <c r="L24" s="9">
        <v>1</v>
      </c>
      <c r="M24" s="9">
        <v>67</v>
      </c>
      <c r="N24" s="9">
        <v>67</v>
      </c>
      <c r="O24" s="9">
        <v>5</v>
      </c>
      <c r="P24" s="9">
        <v>85.749868375001796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9">
        <v>85.741618917003507</v>
      </c>
      <c r="AD24" s="9">
        <v>85.749868375001796</v>
      </c>
      <c r="AE24" s="9">
        <v>86.234136083003307</v>
      </c>
      <c r="AF24" s="9">
        <v>86.234136083003307</v>
      </c>
      <c r="AG24" s="9">
        <v>86.234136083003307</v>
      </c>
      <c r="AH24" s="9">
        <v>86.536063500010599</v>
      </c>
      <c r="AI24" s="10" t="s">
        <v>63</v>
      </c>
      <c r="AJ24" s="9">
        <v>1</v>
      </c>
      <c r="AK24" s="9">
        <v>0.30017416599730501</v>
      </c>
      <c r="AL24" s="10" t="s">
        <v>51</v>
      </c>
      <c r="AM24" s="8"/>
      <c r="AN24" s="8"/>
      <c r="AO24" s="8"/>
      <c r="AP24" s="8"/>
      <c r="AQ24" s="9">
        <v>2</v>
      </c>
      <c r="AR24" s="9">
        <v>1</v>
      </c>
      <c r="AS24" s="10" t="s">
        <v>52</v>
      </c>
      <c r="AT24" s="10" t="s">
        <v>53</v>
      </c>
      <c r="AU24" s="8"/>
      <c r="AV24" s="10" t="s">
        <v>54</v>
      </c>
      <c r="AW24" s="10" t="s">
        <v>51</v>
      </c>
      <c r="AX24" s="10" t="s">
        <v>55</v>
      </c>
      <c r="AY24" s="8"/>
    </row>
    <row r="25" spans="1:51" x14ac:dyDescent="0.15">
      <c r="A25" s="11" t="s">
        <v>73</v>
      </c>
      <c r="B25" s="12" t="s">
        <v>61</v>
      </c>
      <c r="C25" s="10" t="s">
        <v>62</v>
      </c>
      <c r="D25" s="10" t="s">
        <v>63</v>
      </c>
      <c r="E25" s="9">
        <v>70</v>
      </c>
      <c r="F25" s="9">
        <v>70</v>
      </c>
      <c r="G25" s="9">
        <v>0</v>
      </c>
      <c r="H25" s="10" t="s">
        <v>63</v>
      </c>
      <c r="I25" s="9">
        <v>1</v>
      </c>
      <c r="J25" s="9">
        <v>0.33984162499837101</v>
      </c>
      <c r="K25" s="10" t="s">
        <v>51</v>
      </c>
      <c r="L25" s="9">
        <v>0</v>
      </c>
      <c r="M25" s="9">
        <v>70</v>
      </c>
      <c r="N25" s="9">
        <v>70</v>
      </c>
      <c r="O25" s="9">
        <v>15</v>
      </c>
      <c r="P25" s="9">
        <v>88.299283792002797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9">
        <v>88.2911187080026</v>
      </c>
      <c r="AD25" s="9">
        <v>88.299283792002797</v>
      </c>
      <c r="AE25" s="9">
        <v>88.7844027500105</v>
      </c>
      <c r="AF25" s="9">
        <v>88.7844027500105</v>
      </c>
      <c r="AG25" s="9">
        <v>88.7844027500105</v>
      </c>
      <c r="AH25" s="9">
        <v>89.136050542001598</v>
      </c>
      <c r="AI25" s="10" t="s">
        <v>63</v>
      </c>
      <c r="AJ25" s="9">
        <v>1</v>
      </c>
      <c r="AK25" s="9">
        <v>0.33984162499837101</v>
      </c>
      <c r="AL25" s="10" t="s">
        <v>51</v>
      </c>
      <c r="AM25" s="8"/>
      <c r="AN25" s="8"/>
      <c r="AO25" s="8"/>
      <c r="AP25" s="8"/>
      <c r="AQ25" s="9">
        <v>2</v>
      </c>
      <c r="AR25" s="9">
        <v>1</v>
      </c>
      <c r="AS25" s="10" t="s">
        <v>52</v>
      </c>
      <c r="AT25" s="10" t="s">
        <v>53</v>
      </c>
      <c r="AU25" s="8"/>
      <c r="AV25" s="10" t="s">
        <v>54</v>
      </c>
      <c r="AW25" s="10" t="s">
        <v>51</v>
      </c>
      <c r="AX25" s="10" t="s">
        <v>55</v>
      </c>
      <c r="AY25" s="8"/>
    </row>
    <row r="26" spans="1:51" x14ac:dyDescent="0.15">
      <c r="A26" s="11" t="s">
        <v>60</v>
      </c>
      <c r="B26" s="12" t="s">
        <v>61</v>
      </c>
      <c r="C26" s="10" t="s">
        <v>58</v>
      </c>
      <c r="D26" s="10" t="s">
        <v>59</v>
      </c>
      <c r="E26" s="9">
        <v>72</v>
      </c>
      <c r="F26" s="9">
        <v>72</v>
      </c>
      <c r="G26" s="9">
        <v>1</v>
      </c>
      <c r="H26" s="10" t="s">
        <v>59</v>
      </c>
      <c r="I26" s="9">
        <v>1</v>
      </c>
      <c r="J26" s="9">
        <v>0.50783583300653901</v>
      </c>
      <c r="K26" s="10" t="s">
        <v>51</v>
      </c>
      <c r="L26" s="9">
        <v>1</v>
      </c>
      <c r="M26" s="9">
        <v>72</v>
      </c>
      <c r="N26" s="9">
        <v>72</v>
      </c>
      <c r="O26" s="9">
        <v>8</v>
      </c>
      <c r="P26" s="9">
        <v>89.988890958004106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9">
        <v>89.979476667009294</v>
      </c>
      <c r="AD26" s="9">
        <v>89.988890958004106</v>
      </c>
      <c r="AE26" s="9">
        <v>90.4755936250003</v>
      </c>
      <c r="AF26" s="9">
        <v>90.4755936250003</v>
      </c>
      <c r="AG26" s="9">
        <v>90.4755936250003</v>
      </c>
      <c r="AH26" s="9">
        <v>90.985960833000703</v>
      </c>
      <c r="AI26" s="10" t="s">
        <v>59</v>
      </c>
      <c r="AJ26" s="9">
        <v>1</v>
      </c>
      <c r="AK26" s="9">
        <v>0.50783583300653901</v>
      </c>
      <c r="AL26" s="10" t="s">
        <v>51</v>
      </c>
      <c r="AM26" s="8"/>
      <c r="AN26" s="8"/>
      <c r="AO26" s="8"/>
      <c r="AP26" s="8"/>
      <c r="AQ26" s="9">
        <v>2</v>
      </c>
      <c r="AR26" s="9">
        <v>1</v>
      </c>
      <c r="AS26" s="10" t="s">
        <v>52</v>
      </c>
      <c r="AT26" s="10" t="s">
        <v>53</v>
      </c>
      <c r="AU26" s="8"/>
      <c r="AV26" s="10" t="s">
        <v>54</v>
      </c>
      <c r="AW26" s="10" t="s">
        <v>51</v>
      </c>
      <c r="AX26" s="10" t="s">
        <v>55</v>
      </c>
      <c r="AY26" s="8"/>
    </row>
    <row r="27" spans="1:51" x14ac:dyDescent="0.15">
      <c r="A27" s="11" t="s">
        <v>85</v>
      </c>
      <c r="B27" s="12" t="s">
        <v>61</v>
      </c>
      <c r="C27" s="10" t="s">
        <v>62</v>
      </c>
      <c r="D27" s="10" t="s">
        <v>63</v>
      </c>
      <c r="E27" s="9">
        <v>77</v>
      </c>
      <c r="F27" s="9">
        <v>77</v>
      </c>
      <c r="G27" s="9">
        <v>1</v>
      </c>
      <c r="H27" s="10" t="s">
        <v>63</v>
      </c>
      <c r="I27" s="9">
        <v>1</v>
      </c>
      <c r="J27" s="9">
        <v>0.307093541006907</v>
      </c>
      <c r="K27" s="10" t="s">
        <v>51</v>
      </c>
      <c r="L27" s="9">
        <v>1</v>
      </c>
      <c r="M27" s="9">
        <v>77</v>
      </c>
      <c r="N27" s="9">
        <v>77</v>
      </c>
      <c r="O27" s="9">
        <v>11</v>
      </c>
      <c r="P27" s="9">
        <v>94.815657083003302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9">
        <v>94.807420124998302</v>
      </c>
      <c r="AD27" s="9">
        <v>94.815657083003302</v>
      </c>
      <c r="AE27" s="9">
        <v>95.301226583003896</v>
      </c>
      <c r="AF27" s="9">
        <v>95.301226583003896</v>
      </c>
      <c r="AG27" s="9">
        <v>95.301226583003896</v>
      </c>
      <c r="AH27" s="9">
        <v>95.619641458004494</v>
      </c>
      <c r="AI27" s="10" t="s">
        <v>63</v>
      </c>
      <c r="AJ27" s="9">
        <v>1</v>
      </c>
      <c r="AK27" s="9">
        <v>0.307093541006907</v>
      </c>
      <c r="AL27" s="10" t="s">
        <v>51</v>
      </c>
      <c r="AM27" s="8"/>
      <c r="AN27" s="8"/>
      <c r="AO27" s="8"/>
      <c r="AP27" s="8"/>
      <c r="AQ27" s="9">
        <v>2</v>
      </c>
      <c r="AR27" s="9">
        <v>1</v>
      </c>
      <c r="AS27" s="10" t="s">
        <v>52</v>
      </c>
      <c r="AT27" s="10" t="s">
        <v>53</v>
      </c>
      <c r="AU27" s="8"/>
      <c r="AV27" s="10" t="s">
        <v>54</v>
      </c>
      <c r="AW27" s="10" t="s">
        <v>51</v>
      </c>
      <c r="AX27" s="10" t="s">
        <v>55</v>
      </c>
      <c r="AY27" s="8"/>
    </row>
    <row r="28" spans="1:51" x14ac:dyDescent="0.15">
      <c r="A28" s="11" t="s">
        <v>79</v>
      </c>
      <c r="B28" s="12" t="s">
        <v>61</v>
      </c>
      <c r="C28" s="10" t="s">
        <v>58</v>
      </c>
      <c r="D28" s="10" t="s">
        <v>59</v>
      </c>
      <c r="E28" s="9">
        <v>78</v>
      </c>
      <c r="F28" s="9">
        <v>78</v>
      </c>
      <c r="G28" s="9">
        <v>0</v>
      </c>
      <c r="H28" s="10" t="s">
        <v>59</v>
      </c>
      <c r="I28" s="9">
        <v>1</v>
      </c>
      <c r="J28" s="9">
        <v>0.31746408301114598</v>
      </c>
      <c r="K28" s="10" t="s">
        <v>51</v>
      </c>
      <c r="L28" s="9">
        <v>0</v>
      </c>
      <c r="M28" s="9">
        <v>78</v>
      </c>
      <c r="N28" s="9">
        <v>78</v>
      </c>
      <c r="O28" s="9">
        <v>6</v>
      </c>
      <c r="P28" s="9">
        <v>95.631635500001707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9">
        <v>95.623619417005102</v>
      </c>
      <c r="AD28" s="9">
        <v>95.631635500001707</v>
      </c>
      <c r="AE28" s="9">
        <v>96.118006667005801</v>
      </c>
      <c r="AF28" s="9">
        <v>96.118006667005801</v>
      </c>
      <c r="AG28" s="9">
        <v>96.118006667005801</v>
      </c>
      <c r="AH28" s="9">
        <v>96.441712875006502</v>
      </c>
      <c r="AI28" s="10" t="s">
        <v>59</v>
      </c>
      <c r="AJ28" s="9">
        <v>1</v>
      </c>
      <c r="AK28" s="9">
        <v>0.31746408301114598</v>
      </c>
      <c r="AL28" s="10" t="s">
        <v>51</v>
      </c>
      <c r="AM28" s="8"/>
      <c r="AN28" s="8"/>
      <c r="AO28" s="8"/>
      <c r="AP28" s="8"/>
      <c r="AQ28" s="9">
        <v>2</v>
      </c>
      <c r="AR28" s="9">
        <v>1</v>
      </c>
      <c r="AS28" s="10" t="s">
        <v>52</v>
      </c>
      <c r="AT28" s="10" t="s">
        <v>53</v>
      </c>
      <c r="AU28" s="8"/>
      <c r="AV28" s="10" t="s">
        <v>54</v>
      </c>
      <c r="AW28" s="10" t="s">
        <v>51</v>
      </c>
      <c r="AX28" s="10" t="s">
        <v>55</v>
      </c>
      <c r="AY28" s="8"/>
    </row>
    <row r="29" spans="1:51" x14ac:dyDescent="0.15">
      <c r="A29" s="11" t="s">
        <v>79</v>
      </c>
      <c r="B29" s="12" t="s">
        <v>61</v>
      </c>
      <c r="C29" s="10" t="s">
        <v>58</v>
      </c>
      <c r="D29" s="10" t="s">
        <v>59</v>
      </c>
      <c r="E29" s="9">
        <v>79</v>
      </c>
      <c r="F29" s="9">
        <v>79</v>
      </c>
      <c r="G29" s="9">
        <v>1</v>
      </c>
      <c r="H29" s="10" t="s">
        <v>59</v>
      </c>
      <c r="I29" s="9">
        <v>1</v>
      </c>
      <c r="J29" s="9">
        <v>0.38221116700151497</v>
      </c>
      <c r="K29" s="10" t="s">
        <v>51</v>
      </c>
      <c r="L29" s="9">
        <v>1</v>
      </c>
      <c r="M29" s="9">
        <v>79</v>
      </c>
      <c r="N29" s="9">
        <v>79</v>
      </c>
      <c r="O29" s="9">
        <v>6</v>
      </c>
      <c r="P29" s="9">
        <v>96.451047374997898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9">
        <v>96.442646958006705</v>
      </c>
      <c r="AD29" s="9">
        <v>96.451047374997898</v>
      </c>
      <c r="AE29" s="9">
        <v>96.942210958004594</v>
      </c>
      <c r="AF29" s="9">
        <v>96.942210958004594</v>
      </c>
      <c r="AG29" s="9">
        <v>96.942210958004594</v>
      </c>
      <c r="AH29" s="9">
        <v>97.3363294169976</v>
      </c>
      <c r="AI29" s="10" t="s">
        <v>59</v>
      </c>
      <c r="AJ29" s="9">
        <v>1</v>
      </c>
      <c r="AK29" s="9">
        <v>0.38221116700151497</v>
      </c>
      <c r="AL29" s="10" t="s">
        <v>51</v>
      </c>
      <c r="AM29" s="8"/>
      <c r="AN29" s="8"/>
      <c r="AO29" s="8"/>
      <c r="AP29" s="8"/>
      <c r="AQ29" s="9">
        <v>2</v>
      </c>
      <c r="AR29" s="9">
        <v>1</v>
      </c>
      <c r="AS29" s="10" t="s">
        <v>52</v>
      </c>
      <c r="AT29" s="10" t="s">
        <v>53</v>
      </c>
      <c r="AU29" s="8"/>
      <c r="AV29" s="10" t="s">
        <v>54</v>
      </c>
      <c r="AW29" s="10" t="s">
        <v>51</v>
      </c>
      <c r="AX29" s="10" t="s">
        <v>55</v>
      </c>
      <c r="AY29" s="8"/>
    </row>
    <row r="30" spans="1:51" x14ac:dyDescent="0.15">
      <c r="A30" s="11" t="s">
        <v>74</v>
      </c>
      <c r="B30" s="12" t="s">
        <v>61</v>
      </c>
      <c r="C30" s="10" t="s">
        <v>62</v>
      </c>
      <c r="D30" s="10" t="s">
        <v>63</v>
      </c>
      <c r="E30" s="9">
        <v>82</v>
      </c>
      <c r="F30" s="9">
        <v>82</v>
      </c>
      <c r="G30" s="9">
        <v>2</v>
      </c>
      <c r="H30" s="10" t="s">
        <v>63</v>
      </c>
      <c r="I30" s="9">
        <v>1</v>
      </c>
      <c r="J30" s="9">
        <v>0.48280533299839601</v>
      </c>
      <c r="K30" s="10" t="s">
        <v>51</v>
      </c>
      <c r="L30" s="9">
        <v>2</v>
      </c>
      <c r="M30" s="9">
        <v>82</v>
      </c>
      <c r="N30" s="9">
        <v>82</v>
      </c>
      <c r="O30" s="9">
        <v>1</v>
      </c>
      <c r="P30" s="9">
        <v>99.549889667003299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9">
        <v>99.541729042000995</v>
      </c>
      <c r="AD30" s="9">
        <v>99.549889667003299</v>
      </c>
      <c r="AE30" s="9">
        <v>100.03477666700201</v>
      </c>
      <c r="AF30" s="9">
        <v>100.03477666700201</v>
      </c>
      <c r="AG30" s="9">
        <v>100.03477666700201</v>
      </c>
      <c r="AH30" s="9">
        <v>100.520076417</v>
      </c>
      <c r="AI30" s="10" t="s">
        <v>63</v>
      </c>
      <c r="AJ30" s="9">
        <v>1</v>
      </c>
      <c r="AK30" s="9">
        <v>0.48280533299839601</v>
      </c>
      <c r="AL30" s="10" t="s">
        <v>51</v>
      </c>
      <c r="AM30" s="8"/>
      <c r="AN30" s="8"/>
      <c r="AO30" s="8"/>
      <c r="AP30" s="8"/>
      <c r="AQ30" s="9">
        <v>2</v>
      </c>
      <c r="AR30" s="9">
        <v>1</v>
      </c>
      <c r="AS30" s="10" t="s">
        <v>52</v>
      </c>
      <c r="AT30" s="10" t="s">
        <v>53</v>
      </c>
      <c r="AU30" s="8"/>
      <c r="AV30" s="10" t="s">
        <v>54</v>
      </c>
      <c r="AW30" s="10" t="s">
        <v>51</v>
      </c>
      <c r="AX30" s="10" t="s">
        <v>55</v>
      </c>
      <c r="AY30" s="8"/>
    </row>
    <row r="31" spans="1:51" x14ac:dyDescent="0.15">
      <c r="A31" s="11" t="s">
        <v>74</v>
      </c>
      <c r="B31" s="12" t="s">
        <v>61</v>
      </c>
      <c r="C31" s="10" t="s">
        <v>58</v>
      </c>
      <c r="D31" s="10" t="s">
        <v>59</v>
      </c>
      <c r="E31" s="9">
        <v>85</v>
      </c>
      <c r="F31" s="9">
        <v>85</v>
      </c>
      <c r="G31" s="9">
        <v>1</v>
      </c>
      <c r="H31" s="10" t="s">
        <v>59</v>
      </c>
      <c r="I31" s="9">
        <v>1</v>
      </c>
      <c r="J31" s="9">
        <v>0.58268824899278104</v>
      </c>
      <c r="K31" s="10" t="s">
        <v>51</v>
      </c>
      <c r="L31" s="9">
        <v>1</v>
      </c>
      <c r="M31" s="9">
        <v>85</v>
      </c>
      <c r="N31" s="9">
        <v>85</v>
      </c>
      <c r="O31" s="9">
        <v>0</v>
      </c>
      <c r="P31" s="9">
        <v>102.649585332998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9">
        <v>102.641355208005</v>
      </c>
      <c r="AD31" s="9">
        <v>102.649585332998</v>
      </c>
      <c r="AE31" s="9">
        <v>103.134902457998</v>
      </c>
      <c r="AF31" s="9">
        <v>103.134902457998</v>
      </c>
      <c r="AG31" s="9">
        <v>103.134902457998</v>
      </c>
      <c r="AH31" s="9">
        <v>103.720169417007</v>
      </c>
      <c r="AI31" s="10" t="s">
        <v>59</v>
      </c>
      <c r="AJ31" s="9">
        <v>1</v>
      </c>
      <c r="AK31" s="9">
        <v>0.58268824899278104</v>
      </c>
      <c r="AL31" s="10" t="s">
        <v>51</v>
      </c>
      <c r="AM31" s="8"/>
      <c r="AN31" s="8"/>
      <c r="AO31" s="8"/>
      <c r="AP31" s="8"/>
      <c r="AQ31" s="9">
        <v>2</v>
      </c>
      <c r="AR31" s="9">
        <v>1</v>
      </c>
      <c r="AS31" s="10" t="s">
        <v>52</v>
      </c>
      <c r="AT31" s="10" t="s">
        <v>53</v>
      </c>
      <c r="AU31" s="8"/>
      <c r="AV31" s="10" t="s">
        <v>54</v>
      </c>
      <c r="AW31" s="10" t="s">
        <v>51</v>
      </c>
      <c r="AX31" s="10" t="s">
        <v>55</v>
      </c>
      <c r="AY31" s="8"/>
    </row>
    <row r="32" spans="1:51" x14ac:dyDescent="0.15">
      <c r="A32" s="11" t="s">
        <v>73</v>
      </c>
      <c r="B32" s="12" t="s">
        <v>61</v>
      </c>
      <c r="C32" s="10" t="s">
        <v>62</v>
      </c>
      <c r="D32" s="10" t="s">
        <v>63</v>
      </c>
      <c r="E32" s="9">
        <v>87</v>
      </c>
      <c r="F32" s="9">
        <v>87</v>
      </c>
      <c r="G32" s="9">
        <v>1</v>
      </c>
      <c r="H32" s="10" t="s">
        <v>59</v>
      </c>
      <c r="I32" s="9">
        <v>0</v>
      </c>
      <c r="J32" s="9">
        <v>0.53934787500475101</v>
      </c>
      <c r="K32" s="10" t="s">
        <v>51</v>
      </c>
      <c r="L32" s="9">
        <v>1</v>
      </c>
      <c r="M32" s="9">
        <v>87</v>
      </c>
      <c r="N32" s="9">
        <v>87</v>
      </c>
      <c r="O32" s="9">
        <v>15</v>
      </c>
      <c r="P32" s="9">
        <v>104.883674875004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9">
        <v>104.87552520800099</v>
      </c>
      <c r="AD32" s="9">
        <v>104.883674875004</v>
      </c>
      <c r="AE32" s="9">
        <v>105.36824750001</v>
      </c>
      <c r="AF32" s="9">
        <v>105.36824750001</v>
      </c>
      <c r="AG32" s="9">
        <v>105.36824750001</v>
      </c>
      <c r="AH32" s="9">
        <v>105.919916875006</v>
      </c>
      <c r="AI32" s="10" t="s">
        <v>59</v>
      </c>
      <c r="AJ32" s="9">
        <v>0</v>
      </c>
      <c r="AK32" s="9">
        <v>0.53934787500475101</v>
      </c>
      <c r="AL32" s="10" t="s">
        <v>51</v>
      </c>
      <c r="AM32" s="8"/>
      <c r="AN32" s="8"/>
      <c r="AO32" s="8"/>
      <c r="AP32" s="8"/>
      <c r="AQ32" s="9">
        <v>2</v>
      </c>
      <c r="AR32" s="9">
        <v>1</v>
      </c>
      <c r="AS32" s="10" t="s">
        <v>52</v>
      </c>
      <c r="AT32" s="10" t="s">
        <v>53</v>
      </c>
      <c r="AU32" s="8"/>
      <c r="AV32" s="10" t="s">
        <v>54</v>
      </c>
      <c r="AW32" s="10" t="s">
        <v>51</v>
      </c>
      <c r="AX32" s="10" t="s">
        <v>55</v>
      </c>
      <c r="AY32" s="8"/>
    </row>
    <row r="33" spans="1:51" x14ac:dyDescent="0.15">
      <c r="A33" s="11" t="s">
        <v>70</v>
      </c>
      <c r="B33" s="12" t="s">
        <v>61</v>
      </c>
      <c r="C33" s="10" t="s">
        <v>58</v>
      </c>
      <c r="D33" s="10" t="s">
        <v>59</v>
      </c>
      <c r="E33" s="9">
        <v>89</v>
      </c>
      <c r="F33" s="9">
        <v>89</v>
      </c>
      <c r="G33" s="9">
        <v>1</v>
      </c>
      <c r="H33" s="10" t="s">
        <v>59</v>
      </c>
      <c r="I33" s="9">
        <v>1</v>
      </c>
      <c r="J33" s="9">
        <v>0.75971945798664797</v>
      </c>
      <c r="K33" s="10" t="s">
        <v>51</v>
      </c>
      <c r="L33" s="9">
        <v>1</v>
      </c>
      <c r="M33" s="9">
        <v>89</v>
      </c>
      <c r="N33" s="9">
        <v>89</v>
      </c>
      <c r="O33" s="9">
        <v>12</v>
      </c>
      <c r="P33" s="9">
        <v>107.356815417006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9">
        <v>107.34717495800599</v>
      </c>
      <c r="AD33" s="9">
        <v>107.356815417006</v>
      </c>
      <c r="AE33" s="9">
        <v>107.842826250009</v>
      </c>
      <c r="AF33" s="9">
        <v>107.842826250009</v>
      </c>
      <c r="AG33" s="9">
        <v>107.842826250009</v>
      </c>
      <c r="AH33" s="9">
        <v>108.60846324999901</v>
      </c>
      <c r="AI33" s="10" t="s">
        <v>59</v>
      </c>
      <c r="AJ33" s="9">
        <v>1</v>
      </c>
      <c r="AK33" s="9">
        <v>0.75971945798664797</v>
      </c>
      <c r="AL33" s="10" t="s">
        <v>51</v>
      </c>
      <c r="AM33" s="8"/>
      <c r="AN33" s="8"/>
      <c r="AO33" s="8"/>
      <c r="AP33" s="8"/>
      <c r="AQ33" s="9">
        <v>2</v>
      </c>
      <c r="AR33" s="9">
        <v>1</v>
      </c>
      <c r="AS33" s="10" t="s">
        <v>52</v>
      </c>
      <c r="AT33" s="10" t="s">
        <v>53</v>
      </c>
      <c r="AU33" s="8"/>
      <c r="AV33" s="10" t="s">
        <v>54</v>
      </c>
      <c r="AW33" s="10" t="s">
        <v>51</v>
      </c>
      <c r="AX33" s="10" t="s">
        <v>55</v>
      </c>
      <c r="AY33" s="8"/>
    </row>
    <row r="34" spans="1:51" x14ac:dyDescent="0.15">
      <c r="A34" s="11" t="s">
        <v>73</v>
      </c>
      <c r="B34" s="12" t="s">
        <v>61</v>
      </c>
      <c r="C34" s="10" t="s">
        <v>62</v>
      </c>
      <c r="D34" s="10" t="s">
        <v>63</v>
      </c>
      <c r="E34" s="9">
        <v>90</v>
      </c>
      <c r="F34" s="9">
        <v>90</v>
      </c>
      <c r="G34" s="9">
        <v>2</v>
      </c>
      <c r="H34" s="10" t="s">
        <v>63</v>
      </c>
      <c r="I34" s="9">
        <v>1</v>
      </c>
      <c r="J34" s="9">
        <v>0.68023037500097405</v>
      </c>
      <c r="K34" s="10" t="s">
        <v>51</v>
      </c>
      <c r="L34" s="9">
        <v>2</v>
      </c>
      <c r="M34" s="9">
        <v>90</v>
      </c>
      <c r="N34" s="9">
        <v>90</v>
      </c>
      <c r="O34" s="9">
        <v>15</v>
      </c>
      <c r="P34" s="9">
        <v>108.623723042008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9">
        <v>108.613032375011</v>
      </c>
      <c r="AD34" s="9">
        <v>108.623723042008</v>
      </c>
      <c r="AE34" s="9">
        <v>109.101534875008</v>
      </c>
      <c r="AF34" s="9">
        <v>109.101534875008</v>
      </c>
      <c r="AG34" s="9">
        <v>109.101534875008</v>
      </c>
      <c r="AH34" s="9">
        <v>109.786984792008</v>
      </c>
      <c r="AI34" s="10" t="s">
        <v>63</v>
      </c>
      <c r="AJ34" s="9">
        <v>1</v>
      </c>
      <c r="AK34" s="9">
        <v>0.68023037500097405</v>
      </c>
      <c r="AL34" s="10" t="s">
        <v>51</v>
      </c>
      <c r="AM34" s="8"/>
      <c r="AN34" s="8"/>
      <c r="AO34" s="8"/>
      <c r="AP34" s="8"/>
      <c r="AQ34" s="9">
        <v>2</v>
      </c>
      <c r="AR34" s="9">
        <v>1</v>
      </c>
      <c r="AS34" s="10" t="s">
        <v>52</v>
      </c>
      <c r="AT34" s="10" t="s">
        <v>53</v>
      </c>
      <c r="AU34" s="8"/>
      <c r="AV34" s="10" t="s">
        <v>54</v>
      </c>
      <c r="AW34" s="10" t="s">
        <v>51</v>
      </c>
      <c r="AX34" s="10" t="s">
        <v>55</v>
      </c>
      <c r="AY34" s="8"/>
    </row>
    <row r="35" spans="1:51" x14ac:dyDescent="0.15">
      <c r="A35" s="11" t="s">
        <v>79</v>
      </c>
      <c r="B35" s="12" t="s">
        <v>61</v>
      </c>
      <c r="C35" s="10" t="s">
        <v>62</v>
      </c>
      <c r="D35" s="10" t="s">
        <v>63</v>
      </c>
      <c r="E35" s="9">
        <v>91</v>
      </c>
      <c r="F35" s="9">
        <v>91</v>
      </c>
      <c r="G35" s="9">
        <v>2</v>
      </c>
      <c r="H35" s="10" t="s">
        <v>63</v>
      </c>
      <c r="I35" s="9">
        <v>1</v>
      </c>
      <c r="J35" s="9">
        <v>1.49884824900073</v>
      </c>
      <c r="K35" s="10" t="s">
        <v>51</v>
      </c>
      <c r="L35" s="9">
        <v>2</v>
      </c>
      <c r="M35" s="9">
        <v>91</v>
      </c>
      <c r="N35" s="9">
        <v>91</v>
      </c>
      <c r="O35" s="9">
        <v>7</v>
      </c>
      <c r="P35" s="9">
        <v>109.798720833001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9">
        <v>109.79067850000899</v>
      </c>
      <c r="AD35" s="9">
        <v>109.798720833001</v>
      </c>
      <c r="AE35" s="9">
        <v>110.284940875004</v>
      </c>
      <c r="AF35" s="9">
        <v>110.284940875004</v>
      </c>
      <c r="AG35" s="9">
        <v>110.284940875004</v>
      </c>
      <c r="AH35" s="9">
        <v>111.786899167011</v>
      </c>
      <c r="AI35" s="10" t="s">
        <v>63</v>
      </c>
      <c r="AJ35" s="9">
        <v>1</v>
      </c>
      <c r="AK35" s="9">
        <v>1.49884824900073</v>
      </c>
      <c r="AL35" s="10" t="s">
        <v>51</v>
      </c>
      <c r="AM35" s="8"/>
      <c r="AN35" s="8"/>
      <c r="AO35" s="8"/>
      <c r="AP35" s="8"/>
      <c r="AQ35" s="9">
        <v>2</v>
      </c>
      <c r="AR35" s="9">
        <v>1</v>
      </c>
      <c r="AS35" s="10" t="s">
        <v>52</v>
      </c>
      <c r="AT35" s="10" t="s">
        <v>53</v>
      </c>
      <c r="AU35" s="8"/>
      <c r="AV35" s="10" t="s">
        <v>54</v>
      </c>
      <c r="AW35" s="10" t="s">
        <v>51</v>
      </c>
      <c r="AX35" s="10" t="s">
        <v>55</v>
      </c>
      <c r="AY35" s="8"/>
    </row>
    <row r="36" spans="1:51" x14ac:dyDescent="0.15">
      <c r="A36" s="11" t="s">
        <v>73</v>
      </c>
      <c r="B36" s="12" t="s">
        <v>61</v>
      </c>
      <c r="C36" s="10" t="s">
        <v>62</v>
      </c>
      <c r="D36" s="10" t="s">
        <v>63</v>
      </c>
      <c r="E36" s="9">
        <v>93</v>
      </c>
      <c r="F36" s="9">
        <v>93</v>
      </c>
      <c r="G36" s="9">
        <v>3</v>
      </c>
      <c r="H36" s="10" t="s">
        <v>63</v>
      </c>
      <c r="I36" s="9">
        <v>1</v>
      </c>
      <c r="J36" s="9">
        <v>0.60213095801009298</v>
      </c>
      <c r="K36" s="10" t="s">
        <v>51</v>
      </c>
      <c r="L36" s="9">
        <v>3</v>
      </c>
      <c r="M36" s="9">
        <v>93</v>
      </c>
      <c r="N36" s="9">
        <v>93</v>
      </c>
      <c r="O36" s="9">
        <v>15</v>
      </c>
      <c r="P36" s="9">
        <v>112.90657874999999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9">
        <v>112.898006957999</v>
      </c>
      <c r="AD36" s="9">
        <v>112.90657874999999</v>
      </c>
      <c r="AE36" s="9">
        <v>113.393485667009</v>
      </c>
      <c r="AF36" s="9">
        <v>113.393485667009</v>
      </c>
      <c r="AG36" s="9">
        <v>113.393485667009</v>
      </c>
      <c r="AH36" s="9">
        <v>114.003784</v>
      </c>
      <c r="AI36" s="10" t="s">
        <v>63</v>
      </c>
      <c r="AJ36" s="9">
        <v>1</v>
      </c>
      <c r="AK36" s="9">
        <v>0.60213095801009298</v>
      </c>
      <c r="AL36" s="10" t="s">
        <v>51</v>
      </c>
      <c r="AM36" s="8"/>
      <c r="AN36" s="8"/>
      <c r="AO36" s="8"/>
      <c r="AP36" s="8"/>
      <c r="AQ36" s="9">
        <v>2</v>
      </c>
      <c r="AR36" s="9">
        <v>1</v>
      </c>
      <c r="AS36" s="10" t="s">
        <v>52</v>
      </c>
      <c r="AT36" s="10" t="s">
        <v>53</v>
      </c>
      <c r="AU36" s="8"/>
      <c r="AV36" s="10" t="s">
        <v>54</v>
      </c>
      <c r="AW36" s="10" t="s">
        <v>51</v>
      </c>
      <c r="AX36" s="10" t="s">
        <v>55</v>
      </c>
      <c r="AY36" s="8"/>
    </row>
    <row r="37" spans="1:51" x14ac:dyDescent="0.15">
      <c r="A37" s="11" t="s">
        <v>79</v>
      </c>
      <c r="B37" s="12" t="s">
        <v>61</v>
      </c>
      <c r="C37" s="10" t="s">
        <v>58</v>
      </c>
      <c r="D37" s="10" t="s">
        <v>59</v>
      </c>
      <c r="E37" s="9">
        <v>94</v>
      </c>
      <c r="F37" s="9">
        <v>94</v>
      </c>
      <c r="G37" s="9">
        <v>2</v>
      </c>
      <c r="H37" s="10" t="s">
        <v>59</v>
      </c>
      <c r="I37" s="9">
        <v>1</v>
      </c>
      <c r="J37" s="9">
        <v>0.54202441700908799</v>
      </c>
      <c r="K37" s="10" t="s">
        <v>51</v>
      </c>
      <c r="L37" s="9">
        <v>2</v>
      </c>
      <c r="M37" s="9">
        <v>94</v>
      </c>
      <c r="N37" s="9">
        <v>94</v>
      </c>
      <c r="O37" s="9">
        <v>6</v>
      </c>
      <c r="P37" s="9">
        <v>114.017093542003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9">
        <v>114.008877333006</v>
      </c>
      <c r="AD37" s="9">
        <v>114.017093542003</v>
      </c>
      <c r="AE37" s="9">
        <v>114.50162437500001</v>
      </c>
      <c r="AF37" s="9">
        <v>114.50162437500001</v>
      </c>
      <c r="AG37" s="9">
        <v>114.50162437500001</v>
      </c>
      <c r="AH37" s="9">
        <v>115.053661958009</v>
      </c>
      <c r="AI37" s="10" t="s">
        <v>59</v>
      </c>
      <c r="AJ37" s="9">
        <v>1</v>
      </c>
      <c r="AK37" s="9">
        <v>0.54202441700908799</v>
      </c>
      <c r="AL37" s="10" t="s">
        <v>51</v>
      </c>
      <c r="AM37" s="8"/>
      <c r="AN37" s="8"/>
      <c r="AO37" s="8"/>
      <c r="AP37" s="8"/>
      <c r="AQ37" s="9">
        <v>2</v>
      </c>
      <c r="AR37" s="9">
        <v>1</v>
      </c>
      <c r="AS37" s="10" t="s">
        <v>52</v>
      </c>
      <c r="AT37" s="10" t="s">
        <v>53</v>
      </c>
      <c r="AU37" s="8"/>
      <c r="AV37" s="10" t="s">
        <v>54</v>
      </c>
      <c r="AW37" s="10" t="s">
        <v>51</v>
      </c>
      <c r="AX37" s="10" t="s">
        <v>55</v>
      </c>
      <c r="AY37" s="8"/>
    </row>
    <row r="38" spans="1:51" x14ac:dyDescent="0.15">
      <c r="A38" s="11" t="s">
        <v>79</v>
      </c>
      <c r="B38" s="12" t="s">
        <v>61</v>
      </c>
      <c r="C38" s="10" t="s">
        <v>62</v>
      </c>
      <c r="D38" s="10" t="s">
        <v>63</v>
      </c>
      <c r="E38" s="9">
        <v>95</v>
      </c>
      <c r="F38" s="9">
        <v>95</v>
      </c>
      <c r="G38" s="9">
        <v>3</v>
      </c>
      <c r="H38" s="10" t="s">
        <v>63</v>
      </c>
      <c r="I38" s="9">
        <v>1</v>
      </c>
      <c r="J38" s="9">
        <v>1.09983958299563</v>
      </c>
      <c r="K38" s="10" t="s">
        <v>51</v>
      </c>
      <c r="L38" s="9">
        <v>3</v>
      </c>
      <c r="M38" s="9">
        <v>95</v>
      </c>
      <c r="N38" s="9">
        <v>95</v>
      </c>
      <c r="O38" s="9">
        <v>7</v>
      </c>
      <c r="P38" s="9">
        <v>115.06352424999901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9">
        <v>115.05478491701101</v>
      </c>
      <c r="AD38" s="9">
        <v>115.06352424999901</v>
      </c>
      <c r="AE38" s="9">
        <v>115.55199104201201</v>
      </c>
      <c r="AF38" s="9">
        <v>115.55199104201201</v>
      </c>
      <c r="AG38" s="9">
        <v>115.55199104201201</v>
      </c>
      <c r="AH38" s="9">
        <v>116.653592708011</v>
      </c>
      <c r="AI38" s="10" t="s">
        <v>63</v>
      </c>
      <c r="AJ38" s="9">
        <v>1</v>
      </c>
      <c r="AK38" s="9">
        <v>1.09983958299563</v>
      </c>
      <c r="AL38" s="10" t="s">
        <v>51</v>
      </c>
      <c r="AM38" s="8"/>
      <c r="AN38" s="8"/>
      <c r="AO38" s="8"/>
      <c r="AP38" s="8"/>
      <c r="AQ38" s="9">
        <v>2</v>
      </c>
      <c r="AR38" s="9">
        <v>1</v>
      </c>
      <c r="AS38" s="10" t="s">
        <v>52</v>
      </c>
      <c r="AT38" s="10" t="s">
        <v>53</v>
      </c>
      <c r="AU38" s="8"/>
      <c r="AV38" s="10" t="s">
        <v>54</v>
      </c>
      <c r="AW38" s="10" t="s">
        <v>51</v>
      </c>
      <c r="AX38" s="10" t="s">
        <v>55</v>
      </c>
      <c r="AY38" s="8"/>
    </row>
    <row r="39" spans="1:51" x14ac:dyDescent="0.15">
      <c r="A39" s="11" t="s">
        <v>64</v>
      </c>
      <c r="B39" s="12" t="s">
        <v>61</v>
      </c>
      <c r="C39" s="10" t="s">
        <v>62</v>
      </c>
      <c r="D39" s="10" t="s">
        <v>63</v>
      </c>
      <c r="E39" s="9">
        <v>103</v>
      </c>
      <c r="F39" s="9">
        <v>103</v>
      </c>
      <c r="G39" s="9">
        <v>2</v>
      </c>
      <c r="H39" s="10" t="s">
        <v>63</v>
      </c>
      <c r="I39" s="9">
        <v>1</v>
      </c>
      <c r="J39" s="9">
        <v>0.46291758300503699</v>
      </c>
      <c r="K39" s="10" t="s">
        <v>51</v>
      </c>
      <c r="L39" s="9">
        <v>2</v>
      </c>
      <c r="M39" s="9">
        <v>103</v>
      </c>
      <c r="N39" s="9">
        <v>103</v>
      </c>
      <c r="O39" s="9">
        <v>5</v>
      </c>
      <c r="P39" s="9">
        <v>125.07477795799799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9">
        <v>125.06398216700499</v>
      </c>
      <c r="AD39" s="9">
        <v>125.07477795799799</v>
      </c>
      <c r="AE39" s="9">
        <v>125.559880000001</v>
      </c>
      <c r="AF39" s="9">
        <v>125.559880000001</v>
      </c>
      <c r="AG39" s="9">
        <v>125.559880000001</v>
      </c>
      <c r="AH39" s="9">
        <v>126.025987000001</v>
      </c>
      <c r="AI39" s="10" t="s">
        <v>63</v>
      </c>
      <c r="AJ39" s="9">
        <v>1</v>
      </c>
      <c r="AK39" s="9">
        <v>0.46291758300503699</v>
      </c>
      <c r="AL39" s="10" t="s">
        <v>51</v>
      </c>
      <c r="AM39" s="8"/>
      <c r="AN39" s="8"/>
      <c r="AO39" s="8"/>
      <c r="AP39" s="8"/>
      <c r="AQ39" s="9">
        <v>2</v>
      </c>
      <c r="AR39" s="9">
        <v>1</v>
      </c>
      <c r="AS39" s="10" t="s">
        <v>52</v>
      </c>
      <c r="AT39" s="10" t="s">
        <v>53</v>
      </c>
      <c r="AU39" s="8"/>
      <c r="AV39" s="10" t="s">
        <v>54</v>
      </c>
      <c r="AW39" s="10" t="s">
        <v>51</v>
      </c>
      <c r="AX39" s="10" t="s">
        <v>55</v>
      </c>
      <c r="AY39" s="8"/>
    </row>
    <row r="40" spans="1:51" x14ac:dyDescent="0.15">
      <c r="A40" s="11" t="s">
        <v>74</v>
      </c>
      <c r="B40" s="12" t="s">
        <v>61</v>
      </c>
      <c r="C40" s="10" t="s">
        <v>62</v>
      </c>
      <c r="D40" s="10" t="s">
        <v>63</v>
      </c>
      <c r="E40" s="9">
        <v>106</v>
      </c>
      <c r="F40" s="9">
        <v>106</v>
      </c>
      <c r="G40" s="9">
        <v>3</v>
      </c>
      <c r="H40" s="10" t="s">
        <v>63</v>
      </c>
      <c r="I40" s="9">
        <v>1</v>
      </c>
      <c r="J40" s="9">
        <v>1.5363406660035299</v>
      </c>
      <c r="K40" s="10" t="s">
        <v>51</v>
      </c>
      <c r="L40" s="9">
        <v>3</v>
      </c>
      <c r="M40" s="9">
        <v>106</v>
      </c>
      <c r="N40" s="9">
        <v>106</v>
      </c>
      <c r="O40" s="9">
        <v>1</v>
      </c>
      <c r="P40" s="9">
        <v>130.12367091700401</v>
      </c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9">
        <v>130.113628792009</v>
      </c>
      <c r="AD40" s="9">
        <v>130.12367091700401</v>
      </c>
      <c r="AE40" s="9">
        <v>130.61067587501</v>
      </c>
      <c r="AF40" s="9">
        <v>130.61067587501</v>
      </c>
      <c r="AG40" s="9">
        <v>130.61067587501</v>
      </c>
      <c r="AH40" s="9">
        <v>132.15404391700599</v>
      </c>
      <c r="AI40" s="10" t="s">
        <v>63</v>
      </c>
      <c r="AJ40" s="9">
        <v>1</v>
      </c>
      <c r="AK40" s="9">
        <v>1.5363406660035299</v>
      </c>
      <c r="AL40" s="10" t="s">
        <v>51</v>
      </c>
      <c r="AM40" s="8"/>
      <c r="AN40" s="8"/>
      <c r="AO40" s="8"/>
      <c r="AP40" s="8"/>
      <c r="AQ40" s="9">
        <v>2</v>
      </c>
      <c r="AR40" s="9">
        <v>1</v>
      </c>
      <c r="AS40" s="10" t="s">
        <v>52</v>
      </c>
      <c r="AT40" s="10" t="s">
        <v>53</v>
      </c>
      <c r="AU40" s="8"/>
      <c r="AV40" s="10" t="s">
        <v>54</v>
      </c>
      <c r="AW40" s="10" t="s">
        <v>51</v>
      </c>
      <c r="AX40" s="10" t="s">
        <v>55</v>
      </c>
      <c r="AY40" s="8"/>
    </row>
    <row r="41" spans="1:51" x14ac:dyDescent="0.15">
      <c r="A41" s="11" t="s">
        <v>85</v>
      </c>
      <c r="B41" s="12" t="s">
        <v>61</v>
      </c>
      <c r="C41" s="10" t="s">
        <v>62</v>
      </c>
      <c r="D41" s="10" t="s">
        <v>63</v>
      </c>
      <c r="E41" s="9">
        <v>112</v>
      </c>
      <c r="F41" s="9">
        <v>112</v>
      </c>
      <c r="G41" s="9">
        <v>2</v>
      </c>
      <c r="H41" s="10" t="s">
        <v>63</v>
      </c>
      <c r="I41" s="9">
        <v>1</v>
      </c>
      <c r="J41" s="9">
        <v>0.49849508301122097</v>
      </c>
      <c r="K41" s="10" t="s">
        <v>51</v>
      </c>
      <c r="L41" s="9">
        <v>2</v>
      </c>
      <c r="M41" s="9">
        <v>112</v>
      </c>
      <c r="N41" s="9">
        <v>112</v>
      </c>
      <c r="O41" s="9">
        <v>11</v>
      </c>
      <c r="P41" s="9">
        <v>137.51784895799901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9">
        <v>137.50926429200601</v>
      </c>
      <c r="AD41" s="9">
        <v>137.51784895799901</v>
      </c>
      <c r="AE41" s="9">
        <v>138.00272600000599</v>
      </c>
      <c r="AF41" s="9">
        <v>138.00272600000599</v>
      </c>
      <c r="AG41" s="9">
        <v>138.00272600000599</v>
      </c>
      <c r="AH41" s="9">
        <v>138.50468583300199</v>
      </c>
      <c r="AI41" s="10" t="s">
        <v>63</v>
      </c>
      <c r="AJ41" s="9">
        <v>1</v>
      </c>
      <c r="AK41" s="9">
        <v>0.49849508301122097</v>
      </c>
      <c r="AL41" s="10" t="s">
        <v>51</v>
      </c>
      <c r="AM41" s="8"/>
      <c r="AN41" s="8"/>
      <c r="AO41" s="8"/>
      <c r="AP41" s="8"/>
      <c r="AQ41" s="9">
        <v>2</v>
      </c>
      <c r="AR41" s="9">
        <v>1</v>
      </c>
      <c r="AS41" s="10" t="s">
        <v>52</v>
      </c>
      <c r="AT41" s="10" t="s">
        <v>53</v>
      </c>
      <c r="AU41" s="8"/>
      <c r="AV41" s="10" t="s">
        <v>54</v>
      </c>
      <c r="AW41" s="10" t="s">
        <v>51</v>
      </c>
      <c r="AX41" s="10" t="s">
        <v>55</v>
      </c>
      <c r="AY41" s="8"/>
    </row>
    <row r="42" spans="1:51" x14ac:dyDescent="0.15">
      <c r="A42" s="11" t="s">
        <v>64</v>
      </c>
      <c r="B42" s="12" t="s">
        <v>61</v>
      </c>
      <c r="C42" s="10" t="s">
        <v>58</v>
      </c>
      <c r="D42" s="10" t="s">
        <v>59</v>
      </c>
      <c r="E42" s="9">
        <v>120</v>
      </c>
      <c r="F42" s="9">
        <v>120</v>
      </c>
      <c r="G42" s="9">
        <v>1</v>
      </c>
      <c r="H42" s="10" t="s">
        <v>59</v>
      </c>
      <c r="I42" s="9">
        <v>1</v>
      </c>
      <c r="J42" s="9">
        <v>0.52657866600202397</v>
      </c>
      <c r="K42" s="10" t="s">
        <v>51</v>
      </c>
      <c r="L42" s="9">
        <v>1</v>
      </c>
      <c r="M42" s="9">
        <v>120</v>
      </c>
      <c r="N42" s="9">
        <v>120</v>
      </c>
      <c r="O42" s="9">
        <v>4</v>
      </c>
      <c r="P42" s="9">
        <v>145.01750308300001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9">
        <v>145.009391083004</v>
      </c>
      <c r="AD42" s="9">
        <v>145.01750308300001</v>
      </c>
      <c r="AE42" s="9">
        <v>145.502653542004</v>
      </c>
      <c r="AF42" s="9">
        <v>145.502653542004</v>
      </c>
      <c r="AG42" s="9">
        <v>145.502653542004</v>
      </c>
      <c r="AH42" s="9">
        <v>146.03801825000801</v>
      </c>
      <c r="AI42" s="10" t="s">
        <v>59</v>
      </c>
      <c r="AJ42" s="9">
        <v>1</v>
      </c>
      <c r="AK42" s="9">
        <v>0.52657866600202397</v>
      </c>
      <c r="AL42" s="10" t="s">
        <v>51</v>
      </c>
      <c r="AM42" s="8"/>
      <c r="AN42" s="8"/>
      <c r="AO42" s="8"/>
      <c r="AP42" s="8"/>
      <c r="AQ42" s="9">
        <v>2</v>
      </c>
      <c r="AR42" s="9">
        <v>1</v>
      </c>
      <c r="AS42" s="10" t="s">
        <v>52</v>
      </c>
      <c r="AT42" s="10" t="s">
        <v>53</v>
      </c>
      <c r="AU42" s="8"/>
      <c r="AV42" s="10" t="s">
        <v>54</v>
      </c>
      <c r="AW42" s="10" t="s">
        <v>51</v>
      </c>
      <c r="AX42" s="10" t="s">
        <v>55</v>
      </c>
      <c r="AY42" s="8"/>
    </row>
    <row r="43" spans="1:51" x14ac:dyDescent="0.15">
      <c r="A43" s="11" t="s">
        <v>83</v>
      </c>
      <c r="B43" s="12" t="s">
        <v>61</v>
      </c>
      <c r="C43" s="10" t="s">
        <v>62</v>
      </c>
      <c r="D43" s="10" t="s">
        <v>63</v>
      </c>
      <c r="E43" s="9">
        <v>122</v>
      </c>
      <c r="F43" s="9">
        <v>122</v>
      </c>
      <c r="G43" s="9">
        <v>3</v>
      </c>
      <c r="H43" s="10" t="s">
        <v>63</v>
      </c>
      <c r="I43" s="9">
        <v>1</v>
      </c>
      <c r="J43" s="9">
        <v>0.37398158299038198</v>
      </c>
      <c r="K43" s="10" t="s">
        <v>51</v>
      </c>
      <c r="L43" s="9">
        <v>3</v>
      </c>
      <c r="M43" s="9">
        <v>122</v>
      </c>
      <c r="N43" s="9">
        <v>122</v>
      </c>
      <c r="O43" s="9">
        <v>3</v>
      </c>
      <c r="P43" s="9">
        <v>147.07456958301199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9">
        <v>147.06465512501001</v>
      </c>
      <c r="AD43" s="9">
        <v>147.07456958301199</v>
      </c>
      <c r="AE43" s="9">
        <v>147.562243708002</v>
      </c>
      <c r="AF43" s="9">
        <v>147.562243708002</v>
      </c>
      <c r="AG43" s="9">
        <v>147.562243708002</v>
      </c>
      <c r="AH43" s="9">
        <v>147.937914624999</v>
      </c>
      <c r="AI43" s="10" t="s">
        <v>63</v>
      </c>
      <c r="AJ43" s="9">
        <v>1</v>
      </c>
      <c r="AK43" s="9">
        <v>0.37398158299038198</v>
      </c>
      <c r="AL43" s="10" t="s">
        <v>51</v>
      </c>
      <c r="AM43" s="8"/>
      <c r="AN43" s="8"/>
      <c r="AO43" s="8"/>
      <c r="AP43" s="8"/>
      <c r="AQ43" s="9">
        <v>2</v>
      </c>
      <c r="AR43" s="9">
        <v>1</v>
      </c>
      <c r="AS43" s="10" t="s">
        <v>52</v>
      </c>
      <c r="AT43" s="10" t="s">
        <v>53</v>
      </c>
      <c r="AU43" s="8"/>
      <c r="AV43" s="10" t="s">
        <v>54</v>
      </c>
      <c r="AW43" s="10" t="s">
        <v>51</v>
      </c>
      <c r="AX43" s="10" t="s">
        <v>55</v>
      </c>
      <c r="AY43" s="8"/>
    </row>
    <row r="44" spans="1:51" x14ac:dyDescent="0.15">
      <c r="A44" s="11" t="s">
        <v>74</v>
      </c>
      <c r="B44" s="12" t="s">
        <v>61</v>
      </c>
      <c r="C44" s="10" t="s">
        <v>62</v>
      </c>
      <c r="D44" s="10" t="s">
        <v>63</v>
      </c>
      <c r="E44" s="9">
        <v>123</v>
      </c>
      <c r="F44" s="9">
        <v>123</v>
      </c>
      <c r="G44" s="9">
        <v>4</v>
      </c>
      <c r="H44" s="10" t="s">
        <v>63</v>
      </c>
      <c r="I44" s="9">
        <v>1</v>
      </c>
      <c r="J44" s="9">
        <v>0.39501666599244301</v>
      </c>
      <c r="K44" s="10" t="s">
        <v>51</v>
      </c>
      <c r="L44" s="9">
        <v>4</v>
      </c>
      <c r="M44" s="9">
        <v>123</v>
      </c>
      <c r="N44" s="9">
        <v>123</v>
      </c>
      <c r="O44" s="9">
        <v>1</v>
      </c>
      <c r="P44" s="9">
        <v>147.951452833004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9">
        <v>147.942650292011</v>
      </c>
      <c r="AD44" s="9">
        <v>147.951452833004</v>
      </c>
      <c r="AE44" s="9">
        <v>148.43632854201101</v>
      </c>
      <c r="AF44" s="9">
        <v>148.43632854201101</v>
      </c>
      <c r="AG44" s="9">
        <v>148.43632854201101</v>
      </c>
      <c r="AH44" s="9">
        <v>148.83829595800501</v>
      </c>
      <c r="AI44" s="10" t="s">
        <v>63</v>
      </c>
      <c r="AJ44" s="9">
        <v>1</v>
      </c>
      <c r="AK44" s="9">
        <v>0.39501666599244301</v>
      </c>
      <c r="AL44" s="10" t="s">
        <v>51</v>
      </c>
      <c r="AM44" s="8"/>
      <c r="AN44" s="8"/>
      <c r="AO44" s="8"/>
      <c r="AP44" s="8"/>
      <c r="AQ44" s="9">
        <v>2</v>
      </c>
      <c r="AR44" s="9">
        <v>1</v>
      </c>
      <c r="AS44" s="10" t="s">
        <v>52</v>
      </c>
      <c r="AT44" s="10" t="s">
        <v>53</v>
      </c>
      <c r="AU44" s="8"/>
      <c r="AV44" s="10" t="s">
        <v>54</v>
      </c>
      <c r="AW44" s="10" t="s">
        <v>51</v>
      </c>
      <c r="AX44" s="10" t="s">
        <v>55</v>
      </c>
      <c r="AY44" s="8"/>
    </row>
    <row r="45" spans="1:51" x14ac:dyDescent="0.15">
      <c r="A45" s="11" t="s">
        <v>85</v>
      </c>
      <c r="B45" s="12" t="s">
        <v>61</v>
      </c>
      <c r="C45" s="10" t="s">
        <v>58</v>
      </c>
      <c r="D45" s="10" t="s">
        <v>59</v>
      </c>
      <c r="E45" s="9">
        <v>126</v>
      </c>
      <c r="F45" s="9">
        <v>126</v>
      </c>
      <c r="G45" s="9">
        <v>0</v>
      </c>
      <c r="H45" s="10" t="s">
        <v>59</v>
      </c>
      <c r="I45" s="9">
        <v>1</v>
      </c>
      <c r="J45" s="9">
        <v>0.97661508299643196</v>
      </c>
      <c r="K45" s="10" t="s">
        <v>51</v>
      </c>
      <c r="L45" s="9">
        <v>0</v>
      </c>
      <c r="M45" s="9">
        <v>126</v>
      </c>
      <c r="N45" s="9">
        <v>126</v>
      </c>
      <c r="O45" s="9">
        <v>10</v>
      </c>
      <c r="P45" s="9">
        <v>150.866166292006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9">
        <v>150.85785516700699</v>
      </c>
      <c r="AD45" s="9">
        <v>150.866166292006</v>
      </c>
      <c r="AE45" s="9">
        <v>151.35264216701</v>
      </c>
      <c r="AF45" s="9">
        <v>151.35264216701</v>
      </c>
      <c r="AG45" s="9">
        <v>151.35264216701</v>
      </c>
      <c r="AH45" s="9">
        <v>152.33812374999999</v>
      </c>
      <c r="AI45" s="10" t="s">
        <v>59</v>
      </c>
      <c r="AJ45" s="9">
        <v>1</v>
      </c>
      <c r="AK45" s="9">
        <v>0.97661508299643196</v>
      </c>
      <c r="AL45" s="10" t="s">
        <v>51</v>
      </c>
      <c r="AM45" s="8"/>
      <c r="AN45" s="8"/>
      <c r="AO45" s="8"/>
      <c r="AP45" s="8"/>
      <c r="AQ45" s="9">
        <v>2</v>
      </c>
      <c r="AR45" s="9">
        <v>1</v>
      </c>
      <c r="AS45" s="10" t="s">
        <v>52</v>
      </c>
      <c r="AT45" s="10" t="s">
        <v>53</v>
      </c>
      <c r="AU45" s="8"/>
      <c r="AV45" s="10" t="s">
        <v>54</v>
      </c>
      <c r="AW45" s="10" t="s">
        <v>51</v>
      </c>
      <c r="AX45" s="10" t="s">
        <v>55</v>
      </c>
      <c r="AY45" s="8"/>
    </row>
    <row r="46" spans="1:51" x14ac:dyDescent="0.15">
      <c r="A46" s="11" t="s">
        <v>74</v>
      </c>
      <c r="B46" s="12" t="s">
        <v>61</v>
      </c>
      <c r="C46" s="10" t="s">
        <v>58</v>
      </c>
      <c r="D46" s="10" t="s">
        <v>59</v>
      </c>
      <c r="E46" s="9">
        <v>127</v>
      </c>
      <c r="F46" s="9">
        <v>127</v>
      </c>
      <c r="G46" s="9">
        <v>2</v>
      </c>
      <c r="H46" s="10" t="s">
        <v>59</v>
      </c>
      <c r="I46" s="9">
        <v>1</v>
      </c>
      <c r="J46" s="9">
        <v>0.44803875000798099</v>
      </c>
      <c r="K46" s="10" t="s">
        <v>51</v>
      </c>
      <c r="L46" s="9">
        <v>2</v>
      </c>
      <c r="M46" s="9">
        <v>127</v>
      </c>
      <c r="N46" s="9">
        <v>127</v>
      </c>
      <c r="O46" s="9">
        <v>0</v>
      </c>
      <c r="P46" s="9">
        <v>152.35133979200299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9">
        <v>152.342690707999</v>
      </c>
      <c r="AD46" s="9">
        <v>152.35133979200299</v>
      </c>
      <c r="AE46" s="9">
        <v>152.83647804200899</v>
      </c>
      <c r="AF46" s="9">
        <v>152.83647804200899</v>
      </c>
      <c r="AG46" s="9">
        <v>152.83647804200899</v>
      </c>
      <c r="AH46" s="9">
        <v>153.28826866700501</v>
      </c>
      <c r="AI46" s="10" t="s">
        <v>59</v>
      </c>
      <c r="AJ46" s="9">
        <v>1</v>
      </c>
      <c r="AK46" s="9">
        <v>0.44803875000798099</v>
      </c>
      <c r="AL46" s="10" t="s">
        <v>51</v>
      </c>
      <c r="AM46" s="8"/>
      <c r="AN46" s="8"/>
      <c r="AO46" s="8"/>
      <c r="AP46" s="8"/>
      <c r="AQ46" s="9">
        <v>2</v>
      </c>
      <c r="AR46" s="9">
        <v>1</v>
      </c>
      <c r="AS46" s="10" t="s">
        <v>52</v>
      </c>
      <c r="AT46" s="10" t="s">
        <v>53</v>
      </c>
      <c r="AU46" s="8"/>
      <c r="AV46" s="10" t="s">
        <v>54</v>
      </c>
      <c r="AW46" s="10" t="s">
        <v>51</v>
      </c>
      <c r="AX46" s="10" t="s">
        <v>55</v>
      </c>
      <c r="AY46" s="8"/>
    </row>
    <row r="47" spans="1:51" x14ac:dyDescent="0.15">
      <c r="A47" s="11" t="s">
        <v>79</v>
      </c>
      <c r="B47" s="12" t="s">
        <v>61</v>
      </c>
      <c r="C47" s="10" t="s">
        <v>62</v>
      </c>
      <c r="D47" s="10" t="s">
        <v>63</v>
      </c>
      <c r="E47" s="9">
        <v>129</v>
      </c>
      <c r="F47" s="9">
        <v>129</v>
      </c>
      <c r="G47" s="9">
        <v>4</v>
      </c>
      <c r="H47" s="10" t="s">
        <v>63</v>
      </c>
      <c r="I47" s="9">
        <v>1</v>
      </c>
      <c r="J47" s="9">
        <v>0.79003779099730298</v>
      </c>
      <c r="K47" s="10" t="s">
        <v>51</v>
      </c>
      <c r="L47" s="9">
        <v>4</v>
      </c>
      <c r="M47" s="9">
        <v>129</v>
      </c>
      <c r="N47" s="9">
        <v>129</v>
      </c>
      <c r="O47" s="9">
        <v>7</v>
      </c>
      <c r="P47" s="9">
        <v>154.267841500012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9">
        <v>154.259593458002</v>
      </c>
      <c r="AD47" s="9">
        <v>154.267841500012</v>
      </c>
      <c r="AE47" s="9">
        <v>154.753227125009</v>
      </c>
      <c r="AF47" s="9">
        <v>154.753227125009</v>
      </c>
      <c r="AG47" s="9">
        <v>154.753227125009</v>
      </c>
      <c r="AH47" s="9">
        <v>155.55492933301099</v>
      </c>
      <c r="AI47" s="10" t="s">
        <v>63</v>
      </c>
      <c r="AJ47" s="9">
        <v>1</v>
      </c>
      <c r="AK47" s="9">
        <v>0.79003779099730298</v>
      </c>
      <c r="AL47" s="10" t="s">
        <v>51</v>
      </c>
      <c r="AM47" s="8"/>
      <c r="AN47" s="8"/>
      <c r="AO47" s="8"/>
      <c r="AP47" s="8"/>
      <c r="AQ47" s="9">
        <v>2</v>
      </c>
      <c r="AR47" s="9">
        <v>1</v>
      </c>
      <c r="AS47" s="10" t="s">
        <v>52</v>
      </c>
      <c r="AT47" s="10" t="s">
        <v>53</v>
      </c>
      <c r="AU47" s="8"/>
      <c r="AV47" s="10" t="s">
        <v>54</v>
      </c>
      <c r="AW47" s="10" t="s">
        <v>51</v>
      </c>
      <c r="AX47" s="10" t="s">
        <v>55</v>
      </c>
      <c r="AY47" s="8"/>
    </row>
    <row r="48" spans="1:51" x14ac:dyDescent="0.15">
      <c r="A48" s="11" t="s">
        <v>85</v>
      </c>
      <c r="B48" s="12" t="s">
        <v>61</v>
      </c>
      <c r="C48" s="10" t="s">
        <v>58</v>
      </c>
      <c r="D48" s="10" t="s">
        <v>59</v>
      </c>
      <c r="E48" s="9">
        <v>131</v>
      </c>
      <c r="F48" s="9">
        <v>131</v>
      </c>
      <c r="G48" s="9">
        <v>1</v>
      </c>
      <c r="H48" s="10" t="s">
        <v>59</v>
      </c>
      <c r="I48" s="9">
        <v>1</v>
      </c>
      <c r="J48" s="9">
        <v>0.35993137500190597</v>
      </c>
      <c r="K48" s="10" t="s">
        <v>51</v>
      </c>
      <c r="L48" s="9">
        <v>1</v>
      </c>
      <c r="M48" s="9">
        <v>131</v>
      </c>
      <c r="N48" s="9">
        <v>131</v>
      </c>
      <c r="O48" s="9">
        <v>10</v>
      </c>
      <c r="P48" s="9">
        <v>156.85200129200501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9">
        <v>156.843642250009</v>
      </c>
      <c r="AD48" s="9">
        <v>156.85200129200501</v>
      </c>
      <c r="AE48" s="9">
        <v>157.33654804200299</v>
      </c>
      <c r="AF48" s="9">
        <v>157.33654804200299</v>
      </c>
      <c r="AG48" s="9">
        <v>157.33654804200299</v>
      </c>
      <c r="AH48" s="9">
        <v>157.70498083300501</v>
      </c>
      <c r="AI48" s="10" t="s">
        <v>59</v>
      </c>
      <c r="AJ48" s="9">
        <v>1</v>
      </c>
      <c r="AK48" s="9">
        <v>0.35993137500190597</v>
      </c>
      <c r="AL48" s="10" t="s">
        <v>51</v>
      </c>
      <c r="AM48" s="8"/>
      <c r="AN48" s="8"/>
      <c r="AO48" s="8"/>
      <c r="AP48" s="8"/>
      <c r="AQ48" s="9">
        <v>2</v>
      </c>
      <c r="AR48" s="9">
        <v>1</v>
      </c>
      <c r="AS48" s="10" t="s">
        <v>52</v>
      </c>
      <c r="AT48" s="10" t="s">
        <v>53</v>
      </c>
      <c r="AU48" s="8"/>
      <c r="AV48" s="10" t="s">
        <v>54</v>
      </c>
      <c r="AW48" s="10" t="s">
        <v>51</v>
      </c>
      <c r="AX48" s="10" t="s">
        <v>55</v>
      </c>
      <c r="AY48" s="8"/>
    </row>
    <row r="49" spans="1:51" x14ac:dyDescent="0.15">
      <c r="A49" s="11" t="s">
        <v>64</v>
      </c>
      <c r="B49" s="12" t="s">
        <v>61</v>
      </c>
      <c r="C49" s="10" t="s">
        <v>62</v>
      </c>
      <c r="D49" s="10" t="s">
        <v>63</v>
      </c>
      <c r="E49" s="9">
        <v>132</v>
      </c>
      <c r="F49" s="9">
        <v>132</v>
      </c>
      <c r="G49" s="9">
        <v>3</v>
      </c>
      <c r="H49" s="10" t="s">
        <v>63</v>
      </c>
      <c r="I49" s="9">
        <v>1</v>
      </c>
      <c r="J49" s="9">
        <v>0.75409570800547998</v>
      </c>
      <c r="K49" s="10" t="s">
        <v>51</v>
      </c>
      <c r="L49" s="9">
        <v>3</v>
      </c>
      <c r="M49" s="9">
        <v>132</v>
      </c>
      <c r="N49" s="9">
        <v>132</v>
      </c>
      <c r="O49" s="9">
        <v>5</v>
      </c>
      <c r="P49" s="9">
        <v>157.71846191700001</v>
      </c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9">
        <v>157.71023675000501</v>
      </c>
      <c r="AD49" s="9">
        <v>157.71846191700001</v>
      </c>
      <c r="AE49" s="9">
        <v>158.20322554200499</v>
      </c>
      <c r="AF49" s="9">
        <v>158.20322554200499</v>
      </c>
      <c r="AG49" s="9">
        <v>158.20322554200499</v>
      </c>
      <c r="AH49" s="9">
        <v>158.96015266700101</v>
      </c>
      <c r="AI49" s="10" t="s">
        <v>63</v>
      </c>
      <c r="AJ49" s="9">
        <v>1</v>
      </c>
      <c r="AK49" s="9">
        <v>0.75409570800547998</v>
      </c>
      <c r="AL49" s="10" t="s">
        <v>51</v>
      </c>
      <c r="AM49" s="8"/>
      <c r="AN49" s="8"/>
      <c r="AO49" s="8"/>
      <c r="AP49" s="8"/>
      <c r="AQ49" s="9">
        <v>2</v>
      </c>
      <c r="AR49" s="9">
        <v>1</v>
      </c>
      <c r="AS49" s="10" t="s">
        <v>52</v>
      </c>
      <c r="AT49" s="10" t="s">
        <v>53</v>
      </c>
      <c r="AU49" s="8"/>
      <c r="AV49" s="10" t="s">
        <v>54</v>
      </c>
      <c r="AW49" s="10" t="s">
        <v>51</v>
      </c>
      <c r="AX49" s="10" t="s">
        <v>55</v>
      </c>
      <c r="AY49" s="8"/>
    </row>
    <row r="50" spans="1:51" x14ac:dyDescent="0.15">
      <c r="A50" s="11" t="s">
        <v>85</v>
      </c>
      <c r="B50" s="12" t="s">
        <v>61</v>
      </c>
      <c r="C50" s="10" t="s">
        <v>62</v>
      </c>
      <c r="D50" s="10" t="s">
        <v>63</v>
      </c>
      <c r="E50" s="9">
        <v>134</v>
      </c>
      <c r="F50" s="9">
        <v>134</v>
      </c>
      <c r="G50" s="9">
        <v>3</v>
      </c>
      <c r="H50" s="10" t="s">
        <v>63</v>
      </c>
      <c r="I50" s="9">
        <v>1</v>
      </c>
      <c r="J50" s="9">
        <v>0.35316995800530998</v>
      </c>
      <c r="K50" s="10" t="s">
        <v>51</v>
      </c>
      <c r="L50" s="9">
        <v>3</v>
      </c>
      <c r="M50" s="9">
        <v>134</v>
      </c>
      <c r="N50" s="9">
        <v>134</v>
      </c>
      <c r="O50" s="9">
        <v>11</v>
      </c>
      <c r="P50" s="9">
        <v>160.21830762500801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9">
        <v>160.209471167007</v>
      </c>
      <c r="AD50" s="9">
        <v>160.21830762500801</v>
      </c>
      <c r="AE50" s="9">
        <v>160.703147207998</v>
      </c>
      <c r="AF50" s="9">
        <v>160.703147207998</v>
      </c>
      <c r="AG50" s="9">
        <v>160.703147207998</v>
      </c>
      <c r="AH50" s="9">
        <v>161.060159875007</v>
      </c>
      <c r="AI50" s="10" t="s">
        <v>63</v>
      </c>
      <c r="AJ50" s="9">
        <v>1</v>
      </c>
      <c r="AK50" s="9">
        <v>0.35316995800530998</v>
      </c>
      <c r="AL50" s="10" t="s">
        <v>51</v>
      </c>
      <c r="AM50" s="8"/>
      <c r="AN50" s="8"/>
      <c r="AO50" s="8"/>
      <c r="AP50" s="8"/>
      <c r="AQ50" s="9">
        <v>2</v>
      </c>
      <c r="AR50" s="9">
        <v>1</v>
      </c>
      <c r="AS50" s="10" t="s">
        <v>52</v>
      </c>
      <c r="AT50" s="10" t="s">
        <v>53</v>
      </c>
      <c r="AU50" s="8"/>
      <c r="AV50" s="10" t="s">
        <v>54</v>
      </c>
      <c r="AW50" s="10" t="s">
        <v>51</v>
      </c>
      <c r="AX50" s="10" t="s">
        <v>55</v>
      </c>
      <c r="AY50" s="8"/>
    </row>
    <row r="51" spans="1:51" x14ac:dyDescent="0.15">
      <c r="A51" s="11" t="s">
        <v>70</v>
      </c>
      <c r="B51" s="12" t="s">
        <v>61</v>
      </c>
      <c r="C51" s="10" t="s">
        <v>58</v>
      </c>
      <c r="D51" s="10" t="s">
        <v>59</v>
      </c>
      <c r="E51" s="9">
        <v>135</v>
      </c>
      <c r="F51" s="9">
        <v>135</v>
      </c>
      <c r="G51" s="9">
        <v>2</v>
      </c>
      <c r="H51" s="10" t="s">
        <v>59</v>
      </c>
      <c r="I51" s="9">
        <v>1</v>
      </c>
      <c r="J51" s="9">
        <v>0.65944179099460598</v>
      </c>
      <c r="K51" s="10" t="s">
        <v>51</v>
      </c>
      <c r="L51" s="9">
        <v>2</v>
      </c>
      <c r="M51" s="9">
        <v>135</v>
      </c>
      <c r="N51" s="9">
        <v>135</v>
      </c>
      <c r="O51" s="9">
        <v>12</v>
      </c>
      <c r="P51" s="9">
        <v>161.07493741701199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9">
        <v>161.06476216700699</v>
      </c>
      <c r="AD51" s="9">
        <v>161.07493741701199</v>
      </c>
      <c r="AE51" s="9">
        <v>161.56095958300301</v>
      </c>
      <c r="AF51" s="9">
        <v>161.56095958300301</v>
      </c>
      <c r="AG51" s="9">
        <v>161.56095958300301</v>
      </c>
      <c r="AH51" s="9">
        <v>162.22729900000601</v>
      </c>
      <c r="AI51" s="10" t="s">
        <v>59</v>
      </c>
      <c r="AJ51" s="9">
        <v>1</v>
      </c>
      <c r="AK51" s="9">
        <v>0.65944179099460598</v>
      </c>
      <c r="AL51" s="10" t="s">
        <v>51</v>
      </c>
      <c r="AM51" s="8"/>
      <c r="AN51" s="8"/>
      <c r="AO51" s="8"/>
      <c r="AP51" s="8"/>
      <c r="AQ51" s="9">
        <v>2</v>
      </c>
      <c r="AR51" s="9">
        <v>1</v>
      </c>
      <c r="AS51" s="10" t="s">
        <v>52</v>
      </c>
      <c r="AT51" s="10" t="s">
        <v>53</v>
      </c>
      <c r="AU51" s="8"/>
      <c r="AV51" s="10" t="s">
        <v>54</v>
      </c>
      <c r="AW51" s="10" t="s">
        <v>51</v>
      </c>
      <c r="AX51" s="10" t="s">
        <v>55</v>
      </c>
      <c r="AY51" s="8"/>
    </row>
    <row r="52" spans="1:51" x14ac:dyDescent="0.15">
      <c r="A52" s="11" t="s">
        <v>85</v>
      </c>
      <c r="B52" s="12" t="s">
        <v>61</v>
      </c>
      <c r="C52" s="10" t="s">
        <v>58</v>
      </c>
      <c r="D52" s="10" t="s">
        <v>59</v>
      </c>
      <c r="E52" s="9">
        <v>140</v>
      </c>
      <c r="F52" s="9">
        <v>140</v>
      </c>
      <c r="G52" s="9">
        <v>2</v>
      </c>
      <c r="H52" s="10" t="s">
        <v>59</v>
      </c>
      <c r="I52" s="9">
        <v>1</v>
      </c>
      <c r="J52" s="9">
        <v>0.36310470799799099</v>
      </c>
      <c r="K52" s="10" t="s">
        <v>51</v>
      </c>
      <c r="L52" s="9">
        <v>2</v>
      </c>
      <c r="M52" s="9">
        <v>140</v>
      </c>
      <c r="N52" s="9">
        <v>140</v>
      </c>
      <c r="O52" s="9">
        <v>10</v>
      </c>
      <c r="P52" s="9">
        <v>166.716980500001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9">
        <v>166.70931762500601</v>
      </c>
      <c r="AD52" s="9">
        <v>166.716980500001</v>
      </c>
      <c r="AE52" s="9">
        <v>167.203617457999</v>
      </c>
      <c r="AF52" s="9">
        <v>167.203617457999</v>
      </c>
      <c r="AG52" s="9">
        <v>167.203617457999</v>
      </c>
      <c r="AH52" s="9">
        <v>167.57215183301</v>
      </c>
      <c r="AI52" s="10" t="s">
        <v>59</v>
      </c>
      <c r="AJ52" s="9">
        <v>1</v>
      </c>
      <c r="AK52" s="9">
        <v>0.36310470799799099</v>
      </c>
      <c r="AL52" s="10" t="s">
        <v>51</v>
      </c>
      <c r="AM52" s="8"/>
      <c r="AN52" s="8"/>
      <c r="AO52" s="8"/>
      <c r="AP52" s="8"/>
      <c r="AQ52" s="9">
        <v>2</v>
      </c>
      <c r="AR52" s="9">
        <v>1</v>
      </c>
      <c r="AS52" s="10" t="s">
        <v>52</v>
      </c>
      <c r="AT52" s="10" t="s">
        <v>53</v>
      </c>
      <c r="AU52" s="8"/>
      <c r="AV52" s="10" t="s">
        <v>54</v>
      </c>
      <c r="AW52" s="10" t="s">
        <v>51</v>
      </c>
      <c r="AX52" s="10" t="s">
        <v>55</v>
      </c>
      <c r="AY52" s="8"/>
    </row>
    <row r="53" spans="1:51" x14ac:dyDescent="0.15">
      <c r="A53" s="11" t="s">
        <v>74</v>
      </c>
      <c r="B53" s="12" t="s">
        <v>61</v>
      </c>
      <c r="C53" s="10" t="s">
        <v>58</v>
      </c>
      <c r="D53" s="10" t="s">
        <v>59</v>
      </c>
      <c r="E53" s="9">
        <v>142</v>
      </c>
      <c r="F53" s="9">
        <v>142</v>
      </c>
      <c r="G53" s="9">
        <v>3</v>
      </c>
      <c r="H53" s="10" t="s">
        <v>59</v>
      </c>
      <c r="I53" s="9">
        <v>1</v>
      </c>
      <c r="J53" s="9">
        <v>1.19922358299664</v>
      </c>
      <c r="K53" s="10" t="s">
        <v>51</v>
      </c>
      <c r="L53" s="9">
        <v>3</v>
      </c>
      <c r="M53" s="9">
        <v>142</v>
      </c>
      <c r="N53" s="9">
        <v>142</v>
      </c>
      <c r="O53" s="9">
        <v>0</v>
      </c>
      <c r="P53" s="9">
        <v>168.570473166998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9">
        <v>168.54723279199999</v>
      </c>
      <c r="AD53" s="9">
        <v>168.570473166998</v>
      </c>
      <c r="AE53" s="9">
        <v>169.04428529200999</v>
      </c>
      <c r="AF53" s="9">
        <v>169.04428529200999</v>
      </c>
      <c r="AG53" s="9">
        <v>169.04428529200999</v>
      </c>
      <c r="AH53" s="9">
        <v>170.25557591700601</v>
      </c>
      <c r="AI53" s="10" t="s">
        <v>59</v>
      </c>
      <c r="AJ53" s="9">
        <v>1</v>
      </c>
      <c r="AK53" s="9">
        <v>1.19922358299664</v>
      </c>
      <c r="AL53" s="10" t="s">
        <v>51</v>
      </c>
      <c r="AM53" s="8"/>
      <c r="AN53" s="8"/>
      <c r="AO53" s="8"/>
      <c r="AP53" s="8"/>
      <c r="AQ53" s="9">
        <v>2</v>
      </c>
      <c r="AR53" s="9">
        <v>1</v>
      </c>
      <c r="AS53" s="10" t="s">
        <v>52</v>
      </c>
      <c r="AT53" s="10" t="s">
        <v>53</v>
      </c>
      <c r="AU53" s="8"/>
      <c r="AV53" s="10" t="s">
        <v>54</v>
      </c>
      <c r="AW53" s="10" t="s">
        <v>51</v>
      </c>
      <c r="AX53" s="10" t="s">
        <v>55</v>
      </c>
      <c r="AY53" s="8"/>
    </row>
    <row r="54" spans="1:51" x14ac:dyDescent="0.15">
      <c r="A54" s="11" t="s">
        <v>83</v>
      </c>
      <c r="B54" s="12" t="s">
        <v>61</v>
      </c>
      <c r="C54" s="10" t="s">
        <v>58</v>
      </c>
      <c r="D54" s="10" t="s">
        <v>59</v>
      </c>
      <c r="E54" s="9">
        <v>145</v>
      </c>
      <c r="F54" s="9">
        <v>145</v>
      </c>
      <c r="G54" s="9">
        <v>2</v>
      </c>
      <c r="H54" s="10" t="s">
        <v>63</v>
      </c>
      <c r="I54" s="9">
        <v>0</v>
      </c>
      <c r="J54" s="9">
        <v>0.449666000000434</v>
      </c>
      <c r="K54" s="10" t="s">
        <v>51</v>
      </c>
      <c r="L54" s="9">
        <v>2</v>
      </c>
      <c r="M54" s="9">
        <v>145</v>
      </c>
      <c r="N54" s="9">
        <v>145</v>
      </c>
      <c r="O54" s="9">
        <v>2</v>
      </c>
      <c r="P54" s="9">
        <v>172.23481395799899</v>
      </c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9">
        <v>172.226962625005</v>
      </c>
      <c r="AD54" s="9">
        <v>172.23481395799899</v>
      </c>
      <c r="AE54" s="9">
        <v>172.719988417011</v>
      </c>
      <c r="AF54" s="9">
        <v>172.719988417011</v>
      </c>
      <c r="AG54" s="9">
        <v>172.719988417011</v>
      </c>
      <c r="AH54" s="9">
        <v>173.17235787500999</v>
      </c>
      <c r="AI54" s="10" t="s">
        <v>63</v>
      </c>
      <c r="AJ54" s="9">
        <v>0</v>
      </c>
      <c r="AK54" s="9">
        <v>0.449666000000434</v>
      </c>
      <c r="AL54" s="10" t="s">
        <v>51</v>
      </c>
      <c r="AM54" s="8"/>
      <c r="AN54" s="8"/>
      <c r="AO54" s="8"/>
      <c r="AP54" s="8"/>
      <c r="AQ54" s="9">
        <v>2</v>
      </c>
      <c r="AR54" s="9">
        <v>1</v>
      </c>
      <c r="AS54" s="10" t="s">
        <v>52</v>
      </c>
      <c r="AT54" s="10" t="s">
        <v>53</v>
      </c>
      <c r="AU54" s="8"/>
      <c r="AV54" s="10" t="s">
        <v>54</v>
      </c>
      <c r="AW54" s="10" t="s">
        <v>51</v>
      </c>
      <c r="AX54" s="10" t="s">
        <v>55</v>
      </c>
      <c r="AY54" s="8"/>
    </row>
    <row r="55" spans="1:51" x14ac:dyDescent="0.15">
      <c r="A55" s="11" t="s">
        <v>70</v>
      </c>
      <c r="B55" s="12" t="s">
        <v>61</v>
      </c>
      <c r="C55" s="10" t="s">
        <v>58</v>
      </c>
      <c r="D55" s="10" t="s">
        <v>59</v>
      </c>
      <c r="E55" s="9">
        <v>148</v>
      </c>
      <c r="F55" s="9">
        <v>148</v>
      </c>
      <c r="G55" s="9">
        <v>3</v>
      </c>
      <c r="H55" s="10" t="s">
        <v>59</v>
      </c>
      <c r="I55" s="9">
        <v>1</v>
      </c>
      <c r="J55" s="9">
        <v>0.50255858300079104</v>
      </c>
      <c r="K55" s="10" t="s">
        <v>51</v>
      </c>
      <c r="L55" s="9">
        <v>3</v>
      </c>
      <c r="M55" s="9">
        <v>148</v>
      </c>
      <c r="N55" s="9">
        <v>148</v>
      </c>
      <c r="O55" s="9">
        <v>12</v>
      </c>
      <c r="P55" s="9">
        <v>175.55155983300901</v>
      </c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9">
        <v>175.54332179200699</v>
      </c>
      <c r="AD55" s="9">
        <v>175.55155983300901</v>
      </c>
      <c r="AE55" s="9">
        <v>176.037043167002</v>
      </c>
      <c r="AF55" s="9">
        <v>176.037043167002</v>
      </c>
      <c r="AG55" s="9">
        <v>176.037043167002</v>
      </c>
      <c r="AH55" s="9">
        <v>176.54442958300899</v>
      </c>
      <c r="AI55" s="10" t="s">
        <v>59</v>
      </c>
      <c r="AJ55" s="9">
        <v>1</v>
      </c>
      <c r="AK55" s="9">
        <v>0.50255858300079104</v>
      </c>
      <c r="AL55" s="10" t="s">
        <v>51</v>
      </c>
      <c r="AM55" s="8"/>
      <c r="AN55" s="8"/>
      <c r="AO55" s="8"/>
      <c r="AP55" s="8"/>
      <c r="AQ55" s="9">
        <v>2</v>
      </c>
      <c r="AR55" s="9">
        <v>1</v>
      </c>
      <c r="AS55" s="10" t="s">
        <v>52</v>
      </c>
      <c r="AT55" s="10" t="s">
        <v>53</v>
      </c>
      <c r="AU55" s="8"/>
      <c r="AV55" s="10" t="s">
        <v>54</v>
      </c>
      <c r="AW55" s="10" t="s">
        <v>51</v>
      </c>
      <c r="AX55" s="10" t="s">
        <v>55</v>
      </c>
      <c r="AY55" s="8"/>
    </row>
    <row r="56" spans="1:51" x14ac:dyDescent="0.15">
      <c r="A56" s="11" t="s">
        <v>70</v>
      </c>
      <c r="B56" s="12" t="s">
        <v>61</v>
      </c>
      <c r="C56" s="10" t="s">
        <v>62</v>
      </c>
      <c r="D56" s="10" t="s">
        <v>63</v>
      </c>
      <c r="E56" s="9">
        <v>149</v>
      </c>
      <c r="F56" s="9">
        <v>149</v>
      </c>
      <c r="G56" s="9">
        <v>3</v>
      </c>
      <c r="H56" s="10" t="s">
        <v>63</v>
      </c>
      <c r="I56" s="9">
        <v>1</v>
      </c>
      <c r="J56" s="9">
        <v>0.68416366699966602</v>
      </c>
      <c r="K56" s="10" t="s">
        <v>51</v>
      </c>
      <c r="L56" s="9">
        <v>3</v>
      </c>
      <c r="M56" s="9">
        <v>149</v>
      </c>
      <c r="N56" s="9">
        <v>149</v>
      </c>
      <c r="O56" s="9">
        <v>13</v>
      </c>
      <c r="P56" s="9">
        <v>176.55361475001001</v>
      </c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9">
        <v>176.54532154199799</v>
      </c>
      <c r="AD56" s="9">
        <v>176.55361475001001</v>
      </c>
      <c r="AE56" s="9">
        <v>177.04433241700499</v>
      </c>
      <c r="AF56" s="9">
        <v>177.04433241700499</v>
      </c>
      <c r="AG56" s="9">
        <v>177.04433241700499</v>
      </c>
      <c r="AH56" s="9">
        <v>177.73935800000601</v>
      </c>
      <c r="AI56" s="10" t="s">
        <v>63</v>
      </c>
      <c r="AJ56" s="9">
        <v>1</v>
      </c>
      <c r="AK56" s="9">
        <v>0.68416366699966602</v>
      </c>
      <c r="AL56" s="10" t="s">
        <v>51</v>
      </c>
      <c r="AM56" s="8"/>
      <c r="AN56" s="8"/>
      <c r="AO56" s="8"/>
      <c r="AP56" s="8"/>
      <c r="AQ56" s="9">
        <v>2</v>
      </c>
      <c r="AR56" s="9">
        <v>1</v>
      </c>
      <c r="AS56" s="10" t="s">
        <v>52</v>
      </c>
      <c r="AT56" s="10" t="s">
        <v>53</v>
      </c>
      <c r="AU56" s="8"/>
      <c r="AV56" s="10" t="s">
        <v>54</v>
      </c>
      <c r="AW56" s="10" t="s">
        <v>51</v>
      </c>
      <c r="AX56" s="10" t="s">
        <v>55</v>
      </c>
      <c r="AY56" s="8"/>
    </row>
    <row r="57" spans="1:51" x14ac:dyDescent="0.15">
      <c r="A57" s="11" t="s">
        <v>85</v>
      </c>
      <c r="B57" s="12" t="s">
        <v>61</v>
      </c>
      <c r="C57" s="10" t="s">
        <v>58</v>
      </c>
      <c r="D57" s="10" t="s">
        <v>59</v>
      </c>
      <c r="E57" s="9">
        <v>152</v>
      </c>
      <c r="F57" s="9">
        <v>152</v>
      </c>
      <c r="G57" s="9">
        <v>3</v>
      </c>
      <c r="H57" s="10" t="s">
        <v>63</v>
      </c>
      <c r="I57" s="9">
        <v>0</v>
      </c>
      <c r="J57" s="9">
        <v>0.50180445800651796</v>
      </c>
      <c r="K57" s="10" t="s">
        <v>51</v>
      </c>
      <c r="L57" s="9">
        <v>3</v>
      </c>
      <c r="M57" s="9">
        <v>152</v>
      </c>
      <c r="N57" s="9">
        <v>152</v>
      </c>
      <c r="O57" s="9">
        <v>10</v>
      </c>
      <c r="P57" s="9">
        <v>180.33522400000899</v>
      </c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9">
        <v>180.327016667012</v>
      </c>
      <c r="AD57" s="9">
        <v>180.33522400000899</v>
      </c>
      <c r="AE57" s="9">
        <v>180.820879332998</v>
      </c>
      <c r="AF57" s="9">
        <v>180.820879332998</v>
      </c>
      <c r="AG57" s="9">
        <v>180.820879332998</v>
      </c>
      <c r="AH57" s="9">
        <v>181.32757758301199</v>
      </c>
      <c r="AI57" s="10" t="s">
        <v>63</v>
      </c>
      <c r="AJ57" s="9">
        <v>0</v>
      </c>
      <c r="AK57" s="9">
        <v>0.50180445800651796</v>
      </c>
      <c r="AL57" s="10" t="s">
        <v>51</v>
      </c>
      <c r="AM57" s="8"/>
      <c r="AN57" s="8"/>
      <c r="AO57" s="8"/>
      <c r="AP57" s="8"/>
      <c r="AQ57" s="9">
        <v>2</v>
      </c>
      <c r="AR57" s="9">
        <v>1</v>
      </c>
      <c r="AS57" s="10" t="s">
        <v>52</v>
      </c>
      <c r="AT57" s="10" t="s">
        <v>53</v>
      </c>
      <c r="AU57" s="8"/>
      <c r="AV57" s="10" t="s">
        <v>54</v>
      </c>
      <c r="AW57" s="10" t="s">
        <v>51</v>
      </c>
      <c r="AX57" s="10" t="s">
        <v>55</v>
      </c>
      <c r="AY57" s="8"/>
    </row>
    <row r="58" spans="1:51" x14ac:dyDescent="0.15">
      <c r="A58" s="11" t="s">
        <v>73</v>
      </c>
      <c r="B58" s="12" t="s">
        <v>61</v>
      </c>
      <c r="C58" s="10" t="s">
        <v>58</v>
      </c>
      <c r="D58" s="10" t="s">
        <v>59</v>
      </c>
      <c r="E58" s="9">
        <v>158</v>
      </c>
      <c r="F58" s="9">
        <v>158</v>
      </c>
      <c r="G58" s="9">
        <v>2</v>
      </c>
      <c r="H58" s="10" t="s">
        <v>59</v>
      </c>
      <c r="I58" s="9">
        <v>1</v>
      </c>
      <c r="J58" s="9">
        <v>0.36330583300150499</v>
      </c>
      <c r="K58" s="10" t="s">
        <v>51</v>
      </c>
      <c r="L58" s="9">
        <v>2</v>
      </c>
      <c r="M58" s="9">
        <v>158</v>
      </c>
      <c r="N58" s="9">
        <v>158</v>
      </c>
      <c r="O58" s="9">
        <v>14</v>
      </c>
      <c r="P58" s="9">
        <v>188.25119154200399</v>
      </c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9">
        <v>188.243013875006</v>
      </c>
      <c r="AD58" s="9">
        <v>188.25119154200399</v>
      </c>
      <c r="AE58" s="9">
        <v>188.73771075000701</v>
      </c>
      <c r="AF58" s="9">
        <v>188.73771075000701</v>
      </c>
      <c r="AG58" s="9">
        <v>188.73771075000701</v>
      </c>
      <c r="AH58" s="9">
        <v>189.106010625008</v>
      </c>
      <c r="AI58" s="10" t="s">
        <v>59</v>
      </c>
      <c r="AJ58" s="9">
        <v>1</v>
      </c>
      <c r="AK58" s="9">
        <v>0.36330583300150499</v>
      </c>
      <c r="AL58" s="10" t="s">
        <v>51</v>
      </c>
      <c r="AM58" s="8"/>
      <c r="AN58" s="8"/>
      <c r="AO58" s="8"/>
      <c r="AP58" s="8"/>
      <c r="AQ58" s="9">
        <v>2</v>
      </c>
      <c r="AR58" s="9">
        <v>1</v>
      </c>
      <c r="AS58" s="10" t="s">
        <v>52</v>
      </c>
      <c r="AT58" s="10" t="s">
        <v>53</v>
      </c>
      <c r="AU58" s="8"/>
      <c r="AV58" s="10" t="s">
        <v>54</v>
      </c>
      <c r="AW58" s="10" t="s">
        <v>51</v>
      </c>
      <c r="AX58" s="10" t="s">
        <v>55</v>
      </c>
      <c r="AY58" s="8"/>
    </row>
    <row r="59" spans="1:51" x14ac:dyDescent="0.15">
      <c r="A59" s="11" t="s">
        <v>60</v>
      </c>
      <c r="B59" s="12" t="s">
        <v>61</v>
      </c>
      <c r="C59" s="10" t="s">
        <v>58</v>
      </c>
      <c r="D59" s="10" t="s">
        <v>59</v>
      </c>
      <c r="E59" s="9">
        <v>161</v>
      </c>
      <c r="F59" s="9">
        <v>161</v>
      </c>
      <c r="G59" s="9">
        <v>2</v>
      </c>
      <c r="H59" s="10" t="s">
        <v>59</v>
      </c>
      <c r="I59" s="9">
        <v>1</v>
      </c>
      <c r="J59" s="9">
        <v>1.0750591249961901</v>
      </c>
      <c r="K59" s="10" t="s">
        <v>51</v>
      </c>
      <c r="L59" s="9">
        <v>2</v>
      </c>
      <c r="M59" s="9">
        <v>161</v>
      </c>
      <c r="N59" s="9">
        <v>161</v>
      </c>
      <c r="O59" s="9">
        <v>8</v>
      </c>
      <c r="P59" s="9">
        <v>191.25236383300199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9">
        <v>191.24350991701101</v>
      </c>
      <c r="AD59" s="9">
        <v>191.25236383300199</v>
      </c>
      <c r="AE59" s="9">
        <v>191.73777462499899</v>
      </c>
      <c r="AF59" s="9">
        <v>191.73777462499899</v>
      </c>
      <c r="AG59" s="9">
        <v>191.73777462499899</v>
      </c>
      <c r="AH59" s="9">
        <v>192.82280691700001</v>
      </c>
      <c r="AI59" s="10" t="s">
        <v>59</v>
      </c>
      <c r="AJ59" s="9">
        <v>1</v>
      </c>
      <c r="AK59" s="9">
        <v>1.0750591249961901</v>
      </c>
      <c r="AL59" s="10" t="s">
        <v>51</v>
      </c>
      <c r="AM59" s="8"/>
      <c r="AN59" s="8"/>
      <c r="AO59" s="8"/>
      <c r="AP59" s="8"/>
      <c r="AQ59" s="9">
        <v>2</v>
      </c>
      <c r="AR59" s="9">
        <v>1</v>
      </c>
      <c r="AS59" s="10" t="s">
        <v>52</v>
      </c>
      <c r="AT59" s="10" t="s">
        <v>53</v>
      </c>
      <c r="AU59" s="8"/>
      <c r="AV59" s="10" t="s">
        <v>54</v>
      </c>
      <c r="AW59" s="10" t="s">
        <v>51</v>
      </c>
      <c r="AX59" s="10" t="s">
        <v>55</v>
      </c>
      <c r="AY59" s="8"/>
    </row>
    <row r="60" spans="1:51" x14ac:dyDescent="0.15">
      <c r="A60" s="11" t="s">
        <v>79</v>
      </c>
      <c r="B60" s="12" t="s">
        <v>61</v>
      </c>
      <c r="C60" s="10" t="s">
        <v>58</v>
      </c>
      <c r="D60" s="10" t="s">
        <v>59</v>
      </c>
      <c r="E60" s="9">
        <v>164</v>
      </c>
      <c r="F60" s="9">
        <v>164</v>
      </c>
      <c r="G60" s="9">
        <v>3</v>
      </c>
      <c r="H60" s="10" t="s">
        <v>59</v>
      </c>
      <c r="I60" s="9">
        <v>1</v>
      </c>
      <c r="J60" s="9">
        <v>0.48863837501266999</v>
      </c>
      <c r="K60" s="10" t="s">
        <v>51</v>
      </c>
      <c r="L60" s="9">
        <v>3</v>
      </c>
      <c r="M60" s="9">
        <v>164</v>
      </c>
      <c r="N60" s="9">
        <v>164</v>
      </c>
      <c r="O60" s="9">
        <v>6</v>
      </c>
      <c r="P60" s="9">
        <v>194.80969187500901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9">
        <v>194.79926245800701</v>
      </c>
      <c r="AD60" s="9">
        <v>194.80969187500901</v>
      </c>
      <c r="AE60" s="9">
        <v>195.295399292008</v>
      </c>
      <c r="AF60" s="9">
        <v>195.295399292008</v>
      </c>
      <c r="AG60" s="9">
        <v>195.295399292008</v>
      </c>
      <c r="AH60" s="9">
        <v>195.78963291700299</v>
      </c>
      <c r="AI60" s="10" t="s">
        <v>59</v>
      </c>
      <c r="AJ60" s="9">
        <v>1</v>
      </c>
      <c r="AK60" s="9">
        <v>0.48863837501266999</v>
      </c>
      <c r="AL60" s="10" t="s">
        <v>51</v>
      </c>
      <c r="AM60" s="8"/>
      <c r="AN60" s="8"/>
      <c r="AO60" s="8"/>
      <c r="AP60" s="8"/>
      <c r="AQ60" s="9">
        <v>2</v>
      </c>
      <c r="AR60" s="9">
        <v>1</v>
      </c>
      <c r="AS60" s="10" t="s">
        <v>52</v>
      </c>
      <c r="AT60" s="10" t="s">
        <v>53</v>
      </c>
      <c r="AU60" s="8"/>
      <c r="AV60" s="10" t="s">
        <v>54</v>
      </c>
      <c r="AW60" s="10" t="s">
        <v>51</v>
      </c>
      <c r="AX60" s="10" t="s">
        <v>55</v>
      </c>
      <c r="AY60" s="8"/>
    </row>
    <row r="61" spans="1:51" x14ac:dyDescent="0.15">
      <c r="A61" s="11" t="s">
        <v>79</v>
      </c>
      <c r="B61" s="12" t="s">
        <v>61</v>
      </c>
      <c r="C61" s="10" t="s">
        <v>58</v>
      </c>
      <c r="D61" s="10" t="s">
        <v>59</v>
      </c>
      <c r="E61" s="9">
        <v>166</v>
      </c>
      <c r="F61" s="9">
        <v>166</v>
      </c>
      <c r="G61" s="9">
        <v>4</v>
      </c>
      <c r="H61" s="10" t="s">
        <v>59</v>
      </c>
      <c r="I61" s="9">
        <v>1</v>
      </c>
      <c r="J61" s="9">
        <v>0.66624633299943503</v>
      </c>
      <c r="K61" s="10" t="s">
        <v>51</v>
      </c>
      <c r="L61" s="9">
        <v>4</v>
      </c>
      <c r="M61" s="9">
        <v>166</v>
      </c>
      <c r="N61" s="9">
        <v>166</v>
      </c>
      <c r="O61" s="9">
        <v>6</v>
      </c>
      <c r="P61" s="9">
        <v>196.91009837500999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9">
        <v>196.89922783301199</v>
      </c>
      <c r="AD61" s="9">
        <v>196.91009837500999</v>
      </c>
      <c r="AE61" s="9">
        <v>197.39550845800801</v>
      </c>
      <c r="AF61" s="9">
        <v>197.39550845800801</v>
      </c>
      <c r="AG61" s="9">
        <v>197.39550845800801</v>
      </c>
      <c r="AH61" s="9">
        <v>198.07304279200599</v>
      </c>
      <c r="AI61" s="10" t="s">
        <v>59</v>
      </c>
      <c r="AJ61" s="9">
        <v>1</v>
      </c>
      <c r="AK61" s="9">
        <v>0.66624633299943503</v>
      </c>
      <c r="AL61" s="10" t="s">
        <v>51</v>
      </c>
      <c r="AM61" s="8"/>
      <c r="AN61" s="8"/>
      <c r="AO61" s="8"/>
      <c r="AP61" s="8"/>
      <c r="AQ61" s="9">
        <v>2</v>
      </c>
      <c r="AR61" s="9">
        <v>1</v>
      </c>
      <c r="AS61" s="10" t="s">
        <v>52</v>
      </c>
      <c r="AT61" s="10" t="s">
        <v>53</v>
      </c>
      <c r="AU61" s="8"/>
      <c r="AV61" s="10" t="s">
        <v>54</v>
      </c>
      <c r="AW61" s="10" t="s">
        <v>51</v>
      </c>
      <c r="AX61" s="10" t="s">
        <v>55</v>
      </c>
      <c r="AY61" s="8"/>
    </row>
    <row r="62" spans="1:51" x14ac:dyDescent="0.15">
      <c r="A62" s="11" t="s">
        <v>74</v>
      </c>
      <c r="B62" s="12" t="s">
        <v>61</v>
      </c>
      <c r="C62" s="10" t="s">
        <v>58</v>
      </c>
      <c r="D62" s="10" t="s">
        <v>59</v>
      </c>
      <c r="E62" s="9">
        <v>167</v>
      </c>
      <c r="F62" s="9">
        <v>167</v>
      </c>
      <c r="G62" s="9">
        <v>4</v>
      </c>
      <c r="H62" s="10" t="s">
        <v>59</v>
      </c>
      <c r="I62" s="9">
        <v>1</v>
      </c>
      <c r="J62" s="9">
        <v>0.48206112399930101</v>
      </c>
      <c r="K62" s="10" t="s">
        <v>51</v>
      </c>
      <c r="L62" s="9">
        <v>4</v>
      </c>
      <c r="M62" s="9">
        <v>167</v>
      </c>
      <c r="N62" s="9">
        <v>167</v>
      </c>
      <c r="O62" s="9">
        <v>0</v>
      </c>
      <c r="P62" s="9">
        <v>198.085962292011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9">
        <v>198.077576083</v>
      </c>
      <c r="AD62" s="9">
        <v>198.085962292011</v>
      </c>
      <c r="AE62" s="9">
        <v>198.57107433299799</v>
      </c>
      <c r="AF62" s="9">
        <v>198.57107433299799</v>
      </c>
      <c r="AG62" s="9">
        <v>198.57107433299799</v>
      </c>
      <c r="AH62" s="9">
        <v>199.05661987500201</v>
      </c>
      <c r="AI62" s="10" t="s">
        <v>59</v>
      </c>
      <c r="AJ62" s="9">
        <v>1</v>
      </c>
      <c r="AK62" s="9">
        <v>0.48206112399930101</v>
      </c>
      <c r="AL62" s="10" t="s">
        <v>51</v>
      </c>
      <c r="AM62" s="8"/>
      <c r="AN62" s="8"/>
      <c r="AO62" s="8"/>
      <c r="AP62" s="8"/>
      <c r="AQ62" s="9">
        <v>2</v>
      </c>
      <c r="AR62" s="9">
        <v>1</v>
      </c>
      <c r="AS62" s="10" t="s">
        <v>52</v>
      </c>
      <c r="AT62" s="10" t="s">
        <v>53</v>
      </c>
      <c r="AU62" s="8"/>
      <c r="AV62" s="10" t="s">
        <v>54</v>
      </c>
      <c r="AW62" s="10" t="s">
        <v>51</v>
      </c>
      <c r="AX62" s="10" t="s">
        <v>55</v>
      </c>
      <c r="AY62" s="8"/>
    </row>
    <row r="63" spans="1:51" x14ac:dyDescent="0.15">
      <c r="A63" s="11" t="s">
        <v>64</v>
      </c>
      <c r="B63" s="12" t="s">
        <v>61</v>
      </c>
      <c r="C63" s="10" t="s">
        <v>58</v>
      </c>
      <c r="D63" s="10" t="s">
        <v>59</v>
      </c>
      <c r="E63" s="9">
        <v>174</v>
      </c>
      <c r="F63" s="9">
        <v>174</v>
      </c>
      <c r="G63" s="9">
        <v>2</v>
      </c>
      <c r="H63" s="10" t="s">
        <v>59</v>
      </c>
      <c r="I63" s="9">
        <v>1</v>
      </c>
      <c r="J63" s="9">
        <v>0.473792415999924</v>
      </c>
      <c r="K63" s="10" t="s">
        <v>51</v>
      </c>
      <c r="L63" s="9">
        <v>2</v>
      </c>
      <c r="M63" s="9">
        <v>174</v>
      </c>
      <c r="N63" s="9">
        <v>174</v>
      </c>
      <c r="O63" s="9">
        <v>4</v>
      </c>
      <c r="P63" s="9">
        <v>205.159109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9">
        <v>205.15049591699801</v>
      </c>
      <c r="AD63" s="9">
        <v>205.159109</v>
      </c>
      <c r="AE63" s="9">
        <v>205.645455000005</v>
      </c>
      <c r="AF63" s="9">
        <v>205.645455000005</v>
      </c>
      <c r="AG63" s="9">
        <v>205.645455000005</v>
      </c>
      <c r="AH63" s="9">
        <v>206.12338183300699</v>
      </c>
      <c r="AI63" s="10" t="s">
        <v>59</v>
      </c>
      <c r="AJ63" s="9">
        <v>1</v>
      </c>
      <c r="AK63" s="9">
        <v>0.473792415999924</v>
      </c>
      <c r="AL63" s="10" t="s">
        <v>51</v>
      </c>
      <c r="AM63" s="8"/>
      <c r="AN63" s="8"/>
      <c r="AO63" s="8"/>
      <c r="AP63" s="8"/>
      <c r="AQ63" s="9">
        <v>2</v>
      </c>
      <c r="AR63" s="9">
        <v>1</v>
      </c>
      <c r="AS63" s="10" t="s">
        <v>52</v>
      </c>
      <c r="AT63" s="10" t="s">
        <v>53</v>
      </c>
      <c r="AU63" s="8"/>
      <c r="AV63" s="10" t="s">
        <v>54</v>
      </c>
      <c r="AW63" s="10" t="s">
        <v>51</v>
      </c>
      <c r="AX63" s="10" t="s">
        <v>55</v>
      </c>
      <c r="AY63" s="8"/>
    </row>
    <row r="64" spans="1:51" x14ac:dyDescent="0.15">
      <c r="A64" s="11" t="s">
        <v>73</v>
      </c>
      <c r="B64" s="12" t="s">
        <v>61</v>
      </c>
      <c r="C64" s="10" t="s">
        <v>58</v>
      </c>
      <c r="D64" s="10" t="s">
        <v>59</v>
      </c>
      <c r="E64" s="9">
        <v>180</v>
      </c>
      <c r="F64" s="9">
        <v>180</v>
      </c>
      <c r="G64" s="9">
        <v>3</v>
      </c>
      <c r="H64" s="10" t="s">
        <v>59</v>
      </c>
      <c r="I64" s="9">
        <v>1</v>
      </c>
      <c r="J64" s="9">
        <v>0.38061541599745402</v>
      </c>
      <c r="K64" s="10" t="s">
        <v>51</v>
      </c>
      <c r="L64" s="9">
        <v>3</v>
      </c>
      <c r="M64" s="9">
        <v>180</v>
      </c>
      <c r="N64" s="9">
        <v>180</v>
      </c>
      <c r="O64" s="9">
        <v>14</v>
      </c>
      <c r="P64" s="9">
        <v>211.09373383301099</v>
      </c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9">
        <v>211.08283525000999</v>
      </c>
      <c r="AD64" s="9">
        <v>211.09373383301099</v>
      </c>
      <c r="AE64" s="9">
        <v>211.57947045800401</v>
      </c>
      <c r="AF64" s="9">
        <v>211.57947045800401</v>
      </c>
      <c r="AG64" s="9">
        <v>211.57947045800401</v>
      </c>
      <c r="AH64" s="9">
        <v>211.961605375007</v>
      </c>
      <c r="AI64" s="10" t="s">
        <v>59</v>
      </c>
      <c r="AJ64" s="9">
        <v>1</v>
      </c>
      <c r="AK64" s="9">
        <v>0.38061541599745402</v>
      </c>
      <c r="AL64" s="10" t="s">
        <v>51</v>
      </c>
      <c r="AM64" s="8"/>
      <c r="AN64" s="8"/>
      <c r="AO64" s="8"/>
      <c r="AP64" s="8"/>
      <c r="AQ64" s="9">
        <v>2</v>
      </c>
      <c r="AR64" s="9">
        <v>1</v>
      </c>
      <c r="AS64" s="10" t="s">
        <v>52</v>
      </c>
      <c r="AT64" s="10" t="s">
        <v>53</v>
      </c>
      <c r="AU64" s="8"/>
      <c r="AV64" s="10" t="s">
        <v>54</v>
      </c>
      <c r="AW64" s="10" t="s">
        <v>51</v>
      </c>
      <c r="AX64" s="10" t="s">
        <v>55</v>
      </c>
      <c r="AY64" s="8"/>
    </row>
    <row r="65" spans="1:51" x14ac:dyDescent="0.15">
      <c r="A65" s="11" t="s">
        <v>60</v>
      </c>
      <c r="B65" s="12" t="s">
        <v>61</v>
      </c>
      <c r="C65" s="10" t="s">
        <v>62</v>
      </c>
      <c r="D65" s="10" t="s">
        <v>63</v>
      </c>
      <c r="E65" s="9">
        <v>183</v>
      </c>
      <c r="F65" s="9">
        <v>183</v>
      </c>
      <c r="G65" s="9">
        <v>2</v>
      </c>
      <c r="H65" s="10" t="s">
        <v>63</v>
      </c>
      <c r="I65" s="9">
        <v>1</v>
      </c>
      <c r="J65" s="9">
        <v>0.415549290992203</v>
      </c>
      <c r="K65" s="10" t="s">
        <v>51</v>
      </c>
      <c r="L65" s="9">
        <v>2</v>
      </c>
      <c r="M65" s="9">
        <v>183</v>
      </c>
      <c r="N65" s="9">
        <v>183</v>
      </c>
      <c r="O65" s="9">
        <v>9</v>
      </c>
      <c r="P65" s="9">
        <v>213.68619245800099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9">
        <v>213.67810433301199</v>
      </c>
      <c r="AD65" s="9">
        <v>213.68619245800099</v>
      </c>
      <c r="AE65" s="9">
        <v>214.17178250000899</v>
      </c>
      <c r="AF65" s="9">
        <v>214.17178250000899</v>
      </c>
      <c r="AG65" s="9">
        <v>214.17178250000899</v>
      </c>
      <c r="AH65" s="9">
        <v>214.59023687500999</v>
      </c>
      <c r="AI65" s="10" t="s">
        <v>63</v>
      </c>
      <c r="AJ65" s="9">
        <v>1</v>
      </c>
      <c r="AK65" s="9">
        <v>0.415549290992203</v>
      </c>
      <c r="AL65" s="10" t="s">
        <v>51</v>
      </c>
      <c r="AM65" s="8"/>
      <c r="AN65" s="8"/>
      <c r="AO65" s="8"/>
      <c r="AP65" s="8"/>
      <c r="AQ65" s="9">
        <v>2</v>
      </c>
      <c r="AR65" s="9">
        <v>1</v>
      </c>
      <c r="AS65" s="10" t="s">
        <v>52</v>
      </c>
      <c r="AT65" s="10" t="s">
        <v>53</v>
      </c>
      <c r="AU65" s="8"/>
      <c r="AV65" s="10" t="s">
        <v>54</v>
      </c>
      <c r="AW65" s="10" t="s">
        <v>51</v>
      </c>
      <c r="AX65" s="10" t="s">
        <v>55</v>
      </c>
      <c r="AY65" s="8"/>
    </row>
    <row r="66" spans="1:51" x14ac:dyDescent="0.15">
      <c r="A66" s="11" t="s">
        <v>64</v>
      </c>
      <c r="B66" s="12" t="s">
        <v>61</v>
      </c>
      <c r="C66" s="10" t="s">
        <v>62</v>
      </c>
      <c r="D66" s="10" t="s">
        <v>63</v>
      </c>
      <c r="E66" s="9">
        <v>191</v>
      </c>
      <c r="F66" s="9">
        <v>191</v>
      </c>
      <c r="G66" s="9">
        <v>4</v>
      </c>
      <c r="H66" s="10" t="s">
        <v>63</v>
      </c>
      <c r="I66" s="9">
        <v>1</v>
      </c>
      <c r="J66" s="9">
        <v>0.38885770799242902</v>
      </c>
      <c r="K66" s="10" t="s">
        <v>51</v>
      </c>
      <c r="L66" s="9">
        <v>4</v>
      </c>
      <c r="M66" s="9">
        <v>191</v>
      </c>
      <c r="N66" s="9">
        <v>191</v>
      </c>
      <c r="O66" s="9">
        <v>5</v>
      </c>
      <c r="P66" s="9">
        <v>221.32092391700999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9">
        <v>221.31286283300099</v>
      </c>
      <c r="AD66" s="9">
        <v>221.32092391700999</v>
      </c>
      <c r="AE66" s="9">
        <v>221.805473750006</v>
      </c>
      <c r="AF66" s="9">
        <v>221.805473750006</v>
      </c>
      <c r="AG66" s="9">
        <v>221.805473750006</v>
      </c>
      <c r="AH66" s="9">
        <v>222.19596112500599</v>
      </c>
      <c r="AI66" s="10" t="s">
        <v>63</v>
      </c>
      <c r="AJ66" s="9">
        <v>1</v>
      </c>
      <c r="AK66" s="9">
        <v>0.38885770799242902</v>
      </c>
      <c r="AL66" s="10" t="s">
        <v>51</v>
      </c>
      <c r="AM66" s="8"/>
      <c r="AN66" s="8"/>
      <c r="AO66" s="8"/>
      <c r="AP66" s="8"/>
      <c r="AQ66" s="9">
        <v>2</v>
      </c>
      <c r="AR66" s="9">
        <v>1</v>
      </c>
      <c r="AS66" s="10" t="s">
        <v>52</v>
      </c>
      <c r="AT66" s="10" t="s">
        <v>53</v>
      </c>
      <c r="AU66" s="8"/>
      <c r="AV66" s="10" t="s">
        <v>54</v>
      </c>
      <c r="AW66" s="10" t="s">
        <v>51</v>
      </c>
      <c r="AX66" s="10" t="s">
        <v>55</v>
      </c>
      <c r="AY66" s="8"/>
    </row>
    <row r="67" spans="1:51" x14ac:dyDescent="0.15">
      <c r="A67" s="11" t="s">
        <v>83</v>
      </c>
      <c r="B67" s="12" t="s">
        <v>61</v>
      </c>
      <c r="C67" s="10" t="s">
        <v>58</v>
      </c>
      <c r="D67" s="10" t="s">
        <v>59</v>
      </c>
      <c r="E67" s="9">
        <v>193</v>
      </c>
      <c r="F67" s="9">
        <v>193</v>
      </c>
      <c r="G67" s="9">
        <v>3</v>
      </c>
      <c r="H67" s="10" t="s">
        <v>59</v>
      </c>
      <c r="I67" s="9">
        <v>1</v>
      </c>
      <c r="J67" s="9">
        <v>0.35212749999482201</v>
      </c>
      <c r="K67" s="10" t="s">
        <v>51</v>
      </c>
      <c r="L67" s="9">
        <v>3</v>
      </c>
      <c r="M67" s="9">
        <v>193</v>
      </c>
      <c r="N67" s="9">
        <v>193</v>
      </c>
      <c r="O67" s="9">
        <v>2</v>
      </c>
      <c r="P67" s="9">
        <v>223.087793250001</v>
      </c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9">
        <v>223.07925366700499</v>
      </c>
      <c r="AD67" s="9">
        <v>223.087793250001</v>
      </c>
      <c r="AE67" s="9">
        <v>223.57211641700999</v>
      </c>
      <c r="AF67" s="9">
        <v>223.57211641700999</v>
      </c>
      <c r="AG67" s="9">
        <v>223.57211641700999</v>
      </c>
      <c r="AH67" s="9">
        <v>223.92935145800601</v>
      </c>
      <c r="AI67" s="10" t="s">
        <v>59</v>
      </c>
      <c r="AJ67" s="9">
        <v>1</v>
      </c>
      <c r="AK67" s="9">
        <v>0.35212749999482201</v>
      </c>
      <c r="AL67" s="10" t="s">
        <v>51</v>
      </c>
      <c r="AM67" s="8"/>
      <c r="AN67" s="8"/>
      <c r="AO67" s="8"/>
      <c r="AP67" s="8"/>
      <c r="AQ67" s="9">
        <v>2</v>
      </c>
      <c r="AR67" s="9">
        <v>1</v>
      </c>
      <c r="AS67" s="10" t="s">
        <v>52</v>
      </c>
      <c r="AT67" s="10" t="s">
        <v>53</v>
      </c>
      <c r="AU67" s="8"/>
      <c r="AV67" s="10" t="s">
        <v>54</v>
      </c>
      <c r="AW67" s="10" t="s">
        <v>51</v>
      </c>
      <c r="AX67" s="10" t="s">
        <v>55</v>
      </c>
      <c r="AY67" s="8"/>
    </row>
    <row r="68" spans="1:51" x14ac:dyDescent="0.15">
      <c r="A68" s="11" t="s">
        <v>70</v>
      </c>
      <c r="B68" s="12" t="s">
        <v>61</v>
      </c>
      <c r="C68" s="10" t="s">
        <v>58</v>
      </c>
      <c r="D68" s="10" t="s">
        <v>59</v>
      </c>
      <c r="E68" s="9">
        <v>197</v>
      </c>
      <c r="F68" s="9">
        <v>197</v>
      </c>
      <c r="G68" s="9">
        <v>4</v>
      </c>
      <c r="H68" s="10" t="s">
        <v>59</v>
      </c>
      <c r="I68" s="9">
        <v>1</v>
      </c>
      <c r="J68" s="9">
        <v>1.2946228329965399</v>
      </c>
      <c r="K68" s="10" t="s">
        <v>51</v>
      </c>
      <c r="L68" s="9">
        <v>4</v>
      </c>
      <c r="M68" s="9">
        <v>197</v>
      </c>
      <c r="N68" s="9">
        <v>197</v>
      </c>
      <c r="O68" s="9">
        <v>12</v>
      </c>
      <c r="P68" s="9">
        <v>227.043935542009</v>
      </c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9">
        <v>227.03485275000301</v>
      </c>
      <c r="AD68" s="9">
        <v>227.043935542009</v>
      </c>
      <c r="AE68" s="9">
        <v>227.52972450001101</v>
      </c>
      <c r="AF68" s="9">
        <v>227.52972450001101</v>
      </c>
      <c r="AG68" s="9">
        <v>227.52972450001101</v>
      </c>
      <c r="AH68" s="9">
        <v>228.82950970801201</v>
      </c>
      <c r="AI68" s="10" t="s">
        <v>59</v>
      </c>
      <c r="AJ68" s="9">
        <v>1</v>
      </c>
      <c r="AK68" s="9">
        <v>1.2946228329965399</v>
      </c>
      <c r="AL68" s="10" t="s">
        <v>51</v>
      </c>
      <c r="AM68" s="8"/>
      <c r="AN68" s="8"/>
      <c r="AO68" s="8"/>
      <c r="AP68" s="8"/>
      <c r="AQ68" s="9">
        <v>2</v>
      </c>
      <c r="AR68" s="9">
        <v>1</v>
      </c>
      <c r="AS68" s="10" t="s">
        <v>52</v>
      </c>
      <c r="AT68" s="10" t="s">
        <v>53</v>
      </c>
      <c r="AU68" s="8"/>
      <c r="AV68" s="10" t="s">
        <v>54</v>
      </c>
      <c r="AW68" s="10" t="s">
        <v>51</v>
      </c>
      <c r="AX68" s="10" t="s">
        <v>55</v>
      </c>
      <c r="AY68" s="8"/>
    </row>
    <row r="69" spans="1:51" x14ac:dyDescent="0.15">
      <c r="A69" s="11" t="s">
        <v>60</v>
      </c>
      <c r="B69" s="12" t="s">
        <v>61</v>
      </c>
      <c r="C69" s="10" t="s">
        <v>62</v>
      </c>
      <c r="D69" s="10" t="s">
        <v>63</v>
      </c>
      <c r="E69" s="9">
        <v>202</v>
      </c>
      <c r="F69" s="9">
        <v>202</v>
      </c>
      <c r="G69" s="9">
        <v>3</v>
      </c>
      <c r="H69" s="10" t="s">
        <v>63</v>
      </c>
      <c r="I69" s="9">
        <v>1</v>
      </c>
      <c r="J69" s="9">
        <v>0.42138895799871501</v>
      </c>
      <c r="K69" s="10" t="s">
        <v>51</v>
      </c>
      <c r="L69" s="9">
        <v>3</v>
      </c>
      <c r="M69" s="9">
        <v>202</v>
      </c>
      <c r="N69" s="9">
        <v>202</v>
      </c>
      <c r="O69" s="9">
        <v>9</v>
      </c>
      <c r="P69" s="9">
        <v>233.01072529199899</v>
      </c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9">
        <v>233.00018841700501</v>
      </c>
      <c r="AD69" s="9">
        <v>233.01072529199899</v>
      </c>
      <c r="AE69" s="9">
        <v>233.497131208002</v>
      </c>
      <c r="AF69" s="9">
        <v>233.497131208002</v>
      </c>
      <c r="AG69" s="9">
        <v>233.497131208002</v>
      </c>
      <c r="AH69" s="9">
        <v>233.924305958004</v>
      </c>
      <c r="AI69" s="10" t="s">
        <v>63</v>
      </c>
      <c r="AJ69" s="9">
        <v>1</v>
      </c>
      <c r="AK69" s="9">
        <v>0.42138895799871501</v>
      </c>
      <c r="AL69" s="10" t="s">
        <v>51</v>
      </c>
      <c r="AM69" s="8"/>
      <c r="AN69" s="8"/>
      <c r="AO69" s="8"/>
      <c r="AP69" s="8"/>
      <c r="AQ69" s="9">
        <v>2</v>
      </c>
      <c r="AR69" s="9">
        <v>1</v>
      </c>
      <c r="AS69" s="10" t="s">
        <v>52</v>
      </c>
      <c r="AT69" s="10" t="s">
        <v>53</v>
      </c>
      <c r="AU69" s="8"/>
      <c r="AV69" s="10" t="s">
        <v>54</v>
      </c>
      <c r="AW69" s="10" t="s">
        <v>51</v>
      </c>
      <c r="AX69" s="10" t="s">
        <v>55</v>
      </c>
      <c r="AY69" s="8"/>
    </row>
    <row r="70" spans="1:51" x14ac:dyDescent="0.15">
      <c r="A70" s="11" t="s">
        <v>85</v>
      </c>
      <c r="B70" s="12" t="s">
        <v>61</v>
      </c>
      <c r="C70" s="10" t="s">
        <v>62</v>
      </c>
      <c r="D70" s="10" t="s">
        <v>63</v>
      </c>
      <c r="E70" s="9">
        <v>206</v>
      </c>
      <c r="F70" s="9">
        <v>206</v>
      </c>
      <c r="G70" s="9">
        <v>4</v>
      </c>
      <c r="H70" s="10" t="s">
        <v>63</v>
      </c>
      <c r="I70" s="9">
        <v>1</v>
      </c>
      <c r="J70" s="9">
        <v>0.505337540991604</v>
      </c>
      <c r="K70" s="10" t="s">
        <v>51</v>
      </c>
      <c r="L70" s="9">
        <v>4</v>
      </c>
      <c r="M70" s="9">
        <v>206</v>
      </c>
      <c r="N70" s="9">
        <v>206</v>
      </c>
      <c r="O70" s="9">
        <v>11</v>
      </c>
      <c r="P70" s="9">
        <v>236.75296904200499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9">
        <v>236.744908500012</v>
      </c>
      <c r="AD70" s="9">
        <v>236.75296904200499</v>
      </c>
      <c r="AE70" s="9">
        <v>237.239186250008</v>
      </c>
      <c r="AF70" s="9">
        <v>237.239186250008</v>
      </c>
      <c r="AG70" s="9">
        <v>237.239186250008</v>
      </c>
      <c r="AH70" s="9">
        <v>237.75752908299901</v>
      </c>
      <c r="AI70" s="10" t="s">
        <v>63</v>
      </c>
      <c r="AJ70" s="9">
        <v>1</v>
      </c>
      <c r="AK70" s="9">
        <v>0.505337540991604</v>
      </c>
      <c r="AL70" s="10" t="s">
        <v>51</v>
      </c>
      <c r="AM70" s="8"/>
      <c r="AN70" s="8"/>
      <c r="AO70" s="8"/>
      <c r="AP70" s="8"/>
      <c r="AQ70" s="9">
        <v>2</v>
      </c>
      <c r="AR70" s="9">
        <v>1</v>
      </c>
      <c r="AS70" s="10" t="s">
        <v>52</v>
      </c>
      <c r="AT70" s="10" t="s">
        <v>53</v>
      </c>
      <c r="AU70" s="8"/>
      <c r="AV70" s="10" t="s">
        <v>54</v>
      </c>
      <c r="AW70" s="10" t="s">
        <v>51</v>
      </c>
      <c r="AX70" s="10" t="s">
        <v>55</v>
      </c>
      <c r="AY70" s="8"/>
    </row>
    <row r="71" spans="1:51" x14ac:dyDescent="0.15">
      <c r="A71" s="11" t="s">
        <v>60</v>
      </c>
      <c r="B71" s="12" t="s">
        <v>61</v>
      </c>
      <c r="C71" s="10" t="s">
        <v>58</v>
      </c>
      <c r="D71" s="10" t="s">
        <v>59</v>
      </c>
      <c r="E71" s="9">
        <v>207</v>
      </c>
      <c r="F71" s="9">
        <v>207</v>
      </c>
      <c r="G71" s="9">
        <v>3</v>
      </c>
      <c r="H71" s="10" t="s">
        <v>59</v>
      </c>
      <c r="I71" s="9">
        <v>1</v>
      </c>
      <c r="J71" s="9">
        <v>0.57262583301053405</v>
      </c>
      <c r="K71" s="10" t="s">
        <v>51</v>
      </c>
      <c r="L71" s="9">
        <v>3</v>
      </c>
      <c r="M71" s="9">
        <v>207</v>
      </c>
      <c r="N71" s="9">
        <v>207</v>
      </c>
      <c r="O71" s="9">
        <v>8</v>
      </c>
      <c r="P71" s="9">
        <v>237.76949129199801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9">
        <v>237.761838417006</v>
      </c>
      <c r="AD71" s="9">
        <v>237.76949129199801</v>
      </c>
      <c r="AE71" s="9">
        <v>238.25590400000499</v>
      </c>
      <c r="AF71" s="9">
        <v>238.25590400000499</v>
      </c>
      <c r="AG71" s="9">
        <v>238.25590400000499</v>
      </c>
      <c r="AH71" s="9">
        <v>238.840942167008</v>
      </c>
      <c r="AI71" s="10" t="s">
        <v>59</v>
      </c>
      <c r="AJ71" s="9">
        <v>1</v>
      </c>
      <c r="AK71" s="9">
        <v>0.57262583301053405</v>
      </c>
      <c r="AL71" s="10" t="s">
        <v>51</v>
      </c>
      <c r="AM71" s="8"/>
      <c r="AN71" s="8"/>
      <c r="AO71" s="8"/>
      <c r="AP71" s="8"/>
      <c r="AQ71" s="9">
        <v>2</v>
      </c>
      <c r="AR71" s="9">
        <v>1</v>
      </c>
      <c r="AS71" s="10" t="s">
        <v>52</v>
      </c>
      <c r="AT71" s="10" t="s">
        <v>53</v>
      </c>
      <c r="AU71" s="8"/>
      <c r="AV71" s="10" t="s">
        <v>54</v>
      </c>
      <c r="AW71" s="10" t="s">
        <v>51</v>
      </c>
      <c r="AX71" s="10" t="s">
        <v>55</v>
      </c>
      <c r="AY71" s="8"/>
    </row>
    <row r="72" spans="1:51" x14ac:dyDescent="0.15">
      <c r="A72" s="11" t="s">
        <v>64</v>
      </c>
      <c r="B72" s="12" t="s">
        <v>61</v>
      </c>
      <c r="C72" s="10" t="s">
        <v>58</v>
      </c>
      <c r="D72" s="10" t="s">
        <v>59</v>
      </c>
      <c r="E72" s="9">
        <v>209</v>
      </c>
      <c r="F72" s="9">
        <v>209</v>
      </c>
      <c r="G72" s="9">
        <v>3</v>
      </c>
      <c r="H72" s="10" t="s">
        <v>59</v>
      </c>
      <c r="I72" s="9">
        <v>1</v>
      </c>
      <c r="J72" s="9">
        <v>0.82685320801101603</v>
      </c>
      <c r="K72" s="10" t="s">
        <v>51</v>
      </c>
      <c r="L72" s="9">
        <v>3</v>
      </c>
      <c r="M72" s="9">
        <v>209</v>
      </c>
      <c r="N72" s="9">
        <v>209</v>
      </c>
      <c r="O72" s="9">
        <v>4</v>
      </c>
      <c r="P72" s="9">
        <v>239.93832504200699</v>
      </c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9">
        <v>239.930009167001</v>
      </c>
      <c r="AD72" s="9">
        <v>239.93832504200699</v>
      </c>
      <c r="AE72" s="9">
        <v>240.42267825000499</v>
      </c>
      <c r="AF72" s="9">
        <v>240.42267825000499</v>
      </c>
      <c r="AG72" s="9">
        <v>240.42267825000499</v>
      </c>
      <c r="AH72" s="9">
        <v>241.25777200001201</v>
      </c>
      <c r="AI72" s="10" t="s">
        <v>59</v>
      </c>
      <c r="AJ72" s="9">
        <v>1</v>
      </c>
      <c r="AK72" s="9">
        <v>0.82685320801101603</v>
      </c>
      <c r="AL72" s="10" t="s">
        <v>51</v>
      </c>
      <c r="AM72" s="8"/>
      <c r="AN72" s="8"/>
      <c r="AO72" s="8"/>
      <c r="AP72" s="8"/>
      <c r="AQ72" s="9">
        <v>2</v>
      </c>
      <c r="AR72" s="9">
        <v>1</v>
      </c>
      <c r="AS72" s="10" t="s">
        <v>52</v>
      </c>
      <c r="AT72" s="10" t="s">
        <v>53</v>
      </c>
      <c r="AU72" s="8"/>
      <c r="AV72" s="10" t="s">
        <v>54</v>
      </c>
      <c r="AW72" s="10" t="s">
        <v>51</v>
      </c>
      <c r="AX72" s="10" t="s">
        <v>55</v>
      </c>
      <c r="AY72" s="8"/>
    </row>
    <row r="73" spans="1:51" x14ac:dyDescent="0.15">
      <c r="A73" s="11" t="s">
        <v>85</v>
      </c>
      <c r="B73" s="12" t="s">
        <v>61</v>
      </c>
      <c r="C73" s="10" t="s">
        <v>58</v>
      </c>
      <c r="D73" s="10" t="s">
        <v>59</v>
      </c>
      <c r="E73" s="9">
        <v>216</v>
      </c>
      <c r="F73" s="9">
        <v>216</v>
      </c>
      <c r="G73" s="9">
        <v>4</v>
      </c>
      <c r="H73" s="10" t="s">
        <v>59</v>
      </c>
      <c r="I73" s="9">
        <v>1</v>
      </c>
      <c r="J73" s="9">
        <v>0.50361904100282096</v>
      </c>
      <c r="K73" s="10" t="s">
        <v>51</v>
      </c>
      <c r="L73" s="9">
        <v>4</v>
      </c>
      <c r="M73" s="9">
        <v>216</v>
      </c>
      <c r="N73" s="9">
        <v>216</v>
      </c>
      <c r="O73" s="9">
        <v>10</v>
      </c>
      <c r="P73" s="9">
        <v>248.57813670800499</v>
      </c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9">
        <v>248.56669420799901</v>
      </c>
      <c r="AD73" s="9">
        <v>248.57813670800499</v>
      </c>
      <c r="AE73" s="9">
        <v>249.06390229200801</v>
      </c>
      <c r="AF73" s="9">
        <v>249.06390229200801</v>
      </c>
      <c r="AG73" s="9">
        <v>249.06390229200801</v>
      </c>
      <c r="AH73" s="9">
        <v>249.57435129200201</v>
      </c>
      <c r="AI73" s="10" t="s">
        <v>59</v>
      </c>
      <c r="AJ73" s="9">
        <v>1</v>
      </c>
      <c r="AK73" s="9">
        <v>0.50361904100282096</v>
      </c>
      <c r="AL73" s="10" t="s">
        <v>51</v>
      </c>
      <c r="AM73" s="8"/>
      <c r="AN73" s="8"/>
      <c r="AO73" s="8"/>
      <c r="AP73" s="8"/>
      <c r="AQ73" s="9">
        <v>2</v>
      </c>
      <c r="AR73" s="9">
        <v>1</v>
      </c>
      <c r="AS73" s="10" t="s">
        <v>52</v>
      </c>
      <c r="AT73" s="10" t="s">
        <v>53</v>
      </c>
      <c r="AU73" s="8"/>
      <c r="AV73" s="10" t="s">
        <v>54</v>
      </c>
      <c r="AW73" s="10" t="s">
        <v>51</v>
      </c>
      <c r="AX73" s="10" t="s">
        <v>55</v>
      </c>
      <c r="AY73" s="8"/>
    </row>
    <row r="74" spans="1:51" x14ac:dyDescent="0.15">
      <c r="A74" s="11" t="s">
        <v>83</v>
      </c>
      <c r="B74" s="12" t="s">
        <v>61</v>
      </c>
      <c r="C74" s="10" t="s">
        <v>58</v>
      </c>
      <c r="D74" s="10" t="s">
        <v>59</v>
      </c>
      <c r="E74" s="9">
        <v>218</v>
      </c>
      <c r="F74" s="9">
        <v>218</v>
      </c>
      <c r="G74" s="9">
        <v>4</v>
      </c>
      <c r="H74" s="10" t="s">
        <v>59</v>
      </c>
      <c r="I74" s="9">
        <v>1</v>
      </c>
      <c r="J74" s="9">
        <v>0.48256441700505098</v>
      </c>
      <c r="K74" s="10" t="s">
        <v>51</v>
      </c>
      <c r="L74" s="9">
        <v>4</v>
      </c>
      <c r="M74" s="9">
        <v>218</v>
      </c>
      <c r="N74" s="9">
        <v>218</v>
      </c>
      <c r="O74" s="9">
        <v>2</v>
      </c>
      <c r="P74" s="9">
        <v>250.53975583300101</v>
      </c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9">
        <v>250.51618900000199</v>
      </c>
      <c r="AD74" s="9">
        <v>250.53975583300101</v>
      </c>
      <c r="AE74" s="9">
        <v>251.014073750004</v>
      </c>
      <c r="AF74" s="9">
        <v>251.014073750004</v>
      </c>
      <c r="AG74" s="9">
        <v>251.014073750004</v>
      </c>
      <c r="AH74" s="9">
        <v>251.50771529199801</v>
      </c>
      <c r="AI74" s="10" t="s">
        <v>59</v>
      </c>
      <c r="AJ74" s="9">
        <v>1</v>
      </c>
      <c r="AK74" s="9">
        <v>0.48256441700505098</v>
      </c>
      <c r="AL74" s="10" t="s">
        <v>51</v>
      </c>
      <c r="AM74" s="8"/>
      <c r="AN74" s="8"/>
      <c r="AO74" s="8"/>
      <c r="AP74" s="8"/>
      <c r="AQ74" s="9">
        <v>2</v>
      </c>
      <c r="AR74" s="9">
        <v>1</v>
      </c>
      <c r="AS74" s="10" t="s">
        <v>52</v>
      </c>
      <c r="AT74" s="10" t="s">
        <v>53</v>
      </c>
      <c r="AU74" s="8"/>
      <c r="AV74" s="10" t="s">
        <v>54</v>
      </c>
      <c r="AW74" s="10" t="s">
        <v>51</v>
      </c>
      <c r="AX74" s="10" t="s">
        <v>55</v>
      </c>
      <c r="AY74" s="8"/>
    </row>
    <row r="75" spans="1:51" x14ac:dyDescent="0.15">
      <c r="A75" s="11" t="s">
        <v>83</v>
      </c>
      <c r="B75" s="12" t="s">
        <v>61</v>
      </c>
      <c r="C75" s="10" t="s">
        <v>62</v>
      </c>
      <c r="D75" s="10" t="s">
        <v>63</v>
      </c>
      <c r="E75" s="9">
        <v>219</v>
      </c>
      <c r="F75" s="9">
        <v>219</v>
      </c>
      <c r="G75" s="9">
        <v>4</v>
      </c>
      <c r="H75" s="10" t="s">
        <v>59</v>
      </c>
      <c r="I75" s="9">
        <v>0</v>
      </c>
      <c r="J75" s="9">
        <v>0.53851741600374203</v>
      </c>
      <c r="K75" s="10" t="s">
        <v>51</v>
      </c>
      <c r="L75" s="9">
        <v>4</v>
      </c>
      <c r="M75" s="9">
        <v>219</v>
      </c>
      <c r="N75" s="9">
        <v>219</v>
      </c>
      <c r="O75" s="9">
        <v>3</v>
      </c>
      <c r="P75" s="9">
        <v>251.51722045800099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9">
        <v>251.50874679200899</v>
      </c>
      <c r="AD75" s="9">
        <v>251.51722045800099</v>
      </c>
      <c r="AE75" s="9">
        <v>252.00622045800301</v>
      </c>
      <c r="AF75" s="9">
        <v>252.00622045800301</v>
      </c>
      <c r="AG75" s="9">
        <v>252.00622045800301</v>
      </c>
      <c r="AH75" s="9">
        <v>252.54683516699899</v>
      </c>
      <c r="AI75" s="10" t="s">
        <v>59</v>
      </c>
      <c r="AJ75" s="9">
        <v>0</v>
      </c>
      <c r="AK75" s="9">
        <v>0.53851741600374203</v>
      </c>
      <c r="AL75" s="10" t="s">
        <v>51</v>
      </c>
      <c r="AM75" s="8"/>
      <c r="AN75" s="8"/>
      <c r="AO75" s="8"/>
      <c r="AP75" s="8"/>
      <c r="AQ75" s="9">
        <v>2</v>
      </c>
      <c r="AR75" s="9">
        <v>1</v>
      </c>
      <c r="AS75" s="10" t="s">
        <v>52</v>
      </c>
      <c r="AT75" s="10" t="s">
        <v>53</v>
      </c>
      <c r="AU75" s="8"/>
      <c r="AV75" s="10" t="s">
        <v>54</v>
      </c>
      <c r="AW75" s="10" t="s">
        <v>51</v>
      </c>
      <c r="AX75" s="10" t="s">
        <v>55</v>
      </c>
      <c r="AY75" s="8"/>
    </row>
    <row r="76" spans="1:51" x14ac:dyDescent="0.15">
      <c r="A76" s="11" t="s">
        <v>73</v>
      </c>
      <c r="B76" s="12" t="s">
        <v>61</v>
      </c>
      <c r="C76" s="10" t="s">
        <v>58</v>
      </c>
      <c r="D76" s="10" t="s">
        <v>59</v>
      </c>
      <c r="E76" s="9">
        <v>223</v>
      </c>
      <c r="F76" s="9">
        <v>223</v>
      </c>
      <c r="G76" s="9">
        <v>4</v>
      </c>
      <c r="H76" s="10" t="s">
        <v>59</v>
      </c>
      <c r="I76" s="9">
        <v>1</v>
      </c>
      <c r="J76" s="9">
        <v>0.44852041600097398</v>
      </c>
      <c r="K76" s="10" t="s">
        <v>51</v>
      </c>
      <c r="L76" s="9">
        <v>4</v>
      </c>
      <c r="M76" s="9">
        <v>223</v>
      </c>
      <c r="N76" s="9">
        <v>223</v>
      </c>
      <c r="O76" s="9">
        <v>14</v>
      </c>
      <c r="P76" s="9">
        <v>256.871414958005</v>
      </c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9">
        <v>256.86347408300202</v>
      </c>
      <c r="AD76" s="9">
        <v>256.871414958005</v>
      </c>
      <c r="AE76" s="9">
        <v>257.35641512500302</v>
      </c>
      <c r="AF76" s="9">
        <v>257.35641512500302</v>
      </c>
      <c r="AG76" s="9">
        <v>257.35641512500302</v>
      </c>
      <c r="AH76" s="9">
        <v>257.80823295800701</v>
      </c>
      <c r="AI76" s="10" t="s">
        <v>59</v>
      </c>
      <c r="AJ76" s="9">
        <v>1</v>
      </c>
      <c r="AK76" s="9">
        <v>0.44852041600097398</v>
      </c>
      <c r="AL76" s="10" t="s">
        <v>51</v>
      </c>
      <c r="AM76" s="8"/>
      <c r="AN76" s="8"/>
      <c r="AO76" s="8"/>
      <c r="AP76" s="8"/>
      <c r="AQ76" s="9">
        <v>2</v>
      </c>
      <c r="AR76" s="9">
        <v>1</v>
      </c>
      <c r="AS76" s="10" t="s">
        <v>52</v>
      </c>
      <c r="AT76" s="10" t="s">
        <v>53</v>
      </c>
      <c r="AU76" s="8"/>
      <c r="AV76" s="10" t="s">
        <v>54</v>
      </c>
      <c r="AW76" s="10" t="s">
        <v>51</v>
      </c>
      <c r="AX76" s="10" t="s">
        <v>55</v>
      </c>
      <c r="AY76" s="8"/>
    </row>
    <row r="77" spans="1:51" x14ac:dyDescent="0.15">
      <c r="A77" s="11" t="s">
        <v>64</v>
      </c>
      <c r="B77" s="12" t="s">
        <v>61</v>
      </c>
      <c r="C77" s="10" t="s">
        <v>58</v>
      </c>
      <c r="D77" s="10" t="s">
        <v>59</v>
      </c>
      <c r="E77" s="9">
        <v>225</v>
      </c>
      <c r="F77" s="9">
        <v>225</v>
      </c>
      <c r="G77" s="9">
        <v>4</v>
      </c>
      <c r="H77" s="10" t="s">
        <v>59</v>
      </c>
      <c r="I77" s="9">
        <v>1</v>
      </c>
      <c r="J77" s="9">
        <v>0.59087874900433202</v>
      </c>
      <c r="K77" s="10" t="s">
        <v>51</v>
      </c>
      <c r="L77" s="9">
        <v>4</v>
      </c>
      <c r="M77" s="9">
        <v>225</v>
      </c>
      <c r="N77" s="9">
        <v>225</v>
      </c>
      <c r="O77" s="9">
        <v>4</v>
      </c>
      <c r="P77" s="9">
        <v>258.81228237500198</v>
      </c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9">
        <v>258.80172524999898</v>
      </c>
      <c r="AD77" s="9">
        <v>258.81228237500198</v>
      </c>
      <c r="AE77" s="9">
        <v>259.29805820800499</v>
      </c>
      <c r="AF77" s="9">
        <v>259.29805820800499</v>
      </c>
      <c r="AG77" s="9">
        <v>259.29805820800499</v>
      </c>
      <c r="AH77" s="9">
        <v>259.89178866701002</v>
      </c>
      <c r="AI77" s="10" t="s">
        <v>59</v>
      </c>
      <c r="AJ77" s="9">
        <v>1</v>
      </c>
      <c r="AK77" s="9">
        <v>0.59087874900433202</v>
      </c>
      <c r="AL77" s="10" t="s">
        <v>51</v>
      </c>
      <c r="AM77" s="8"/>
      <c r="AN77" s="8"/>
      <c r="AO77" s="8"/>
      <c r="AP77" s="8"/>
      <c r="AQ77" s="9">
        <v>2</v>
      </c>
      <c r="AR77" s="9">
        <v>1</v>
      </c>
      <c r="AS77" s="10" t="s">
        <v>52</v>
      </c>
      <c r="AT77" s="10" t="s">
        <v>53</v>
      </c>
      <c r="AU77" s="8"/>
      <c r="AV77" s="10" t="s">
        <v>54</v>
      </c>
      <c r="AW77" s="10" t="s">
        <v>51</v>
      </c>
      <c r="AX77" s="10" t="s">
        <v>55</v>
      </c>
      <c r="AY77" s="8"/>
    </row>
    <row r="78" spans="1:51" x14ac:dyDescent="0.15">
      <c r="A78" s="11" t="s">
        <v>60</v>
      </c>
      <c r="B78" s="12" t="s">
        <v>61</v>
      </c>
      <c r="C78" s="10" t="s">
        <v>62</v>
      </c>
      <c r="D78" s="10" t="s">
        <v>63</v>
      </c>
      <c r="E78" s="9">
        <v>229</v>
      </c>
      <c r="F78" s="9">
        <v>229</v>
      </c>
      <c r="G78" s="9">
        <v>4</v>
      </c>
      <c r="H78" s="10" t="s">
        <v>63</v>
      </c>
      <c r="I78" s="9">
        <v>1</v>
      </c>
      <c r="J78" s="9">
        <v>0.46089824900263898</v>
      </c>
      <c r="K78" s="10" t="s">
        <v>51</v>
      </c>
      <c r="L78" s="9">
        <v>4</v>
      </c>
      <c r="M78" s="9">
        <v>229</v>
      </c>
      <c r="N78" s="9">
        <v>229</v>
      </c>
      <c r="O78" s="9">
        <v>9</v>
      </c>
      <c r="P78" s="9">
        <v>262.75479770801002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9">
        <v>262.74616962501</v>
      </c>
      <c r="AD78" s="9">
        <v>262.75479770801002</v>
      </c>
      <c r="AE78" s="9">
        <v>263.23986762500101</v>
      </c>
      <c r="AF78" s="9">
        <v>263.23986762500101</v>
      </c>
      <c r="AG78" s="9">
        <v>263.23986762500101</v>
      </c>
      <c r="AH78" s="9">
        <v>263.70838679200102</v>
      </c>
      <c r="AI78" s="10" t="s">
        <v>63</v>
      </c>
      <c r="AJ78" s="9">
        <v>1</v>
      </c>
      <c r="AK78" s="9">
        <v>0.46089824900263898</v>
      </c>
      <c r="AL78" s="10" t="s">
        <v>51</v>
      </c>
      <c r="AM78" s="8"/>
      <c r="AN78" s="8"/>
      <c r="AO78" s="8"/>
      <c r="AP78" s="8"/>
      <c r="AQ78" s="9">
        <v>2</v>
      </c>
      <c r="AR78" s="9">
        <v>1</v>
      </c>
      <c r="AS78" s="10" t="s">
        <v>52</v>
      </c>
      <c r="AT78" s="10" t="s">
        <v>53</v>
      </c>
      <c r="AU78" s="8"/>
      <c r="AV78" s="10" t="s">
        <v>54</v>
      </c>
      <c r="AW78" s="10" t="s">
        <v>51</v>
      </c>
      <c r="AX78" s="10" t="s">
        <v>55</v>
      </c>
      <c r="AY78" s="8"/>
    </row>
    <row r="79" spans="1:51" x14ac:dyDescent="0.15">
      <c r="A79" s="11" t="s">
        <v>60</v>
      </c>
      <c r="B79" s="12" t="s">
        <v>61</v>
      </c>
      <c r="C79" s="10" t="s">
        <v>58</v>
      </c>
      <c r="D79" s="10" t="s">
        <v>59</v>
      </c>
      <c r="E79" s="9">
        <v>234</v>
      </c>
      <c r="F79" s="9">
        <v>234</v>
      </c>
      <c r="G79" s="9">
        <v>4</v>
      </c>
      <c r="H79" s="10" t="s">
        <v>59</v>
      </c>
      <c r="I79" s="9">
        <v>1</v>
      </c>
      <c r="J79" s="9">
        <v>0.40377195799373999</v>
      </c>
      <c r="K79" s="10" t="s">
        <v>51</v>
      </c>
      <c r="L79" s="9">
        <v>4</v>
      </c>
      <c r="M79" s="9">
        <v>234</v>
      </c>
      <c r="N79" s="9">
        <v>234</v>
      </c>
      <c r="O79" s="9">
        <v>8</v>
      </c>
      <c r="P79" s="9">
        <v>267.70467858300299</v>
      </c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9">
        <v>267.69628337500001</v>
      </c>
      <c r="AD79" s="9">
        <v>267.70467858300299</v>
      </c>
      <c r="AE79" s="9">
        <v>268.19005058299803</v>
      </c>
      <c r="AF79" s="9">
        <v>268.19005058299803</v>
      </c>
      <c r="AG79" s="9">
        <v>268.19005058299803</v>
      </c>
      <c r="AH79" s="9">
        <v>268.597254332999</v>
      </c>
      <c r="AI79" s="10" t="s">
        <v>59</v>
      </c>
      <c r="AJ79" s="9">
        <v>1</v>
      </c>
      <c r="AK79" s="9">
        <v>0.40377195799373999</v>
      </c>
      <c r="AL79" s="10" t="s">
        <v>51</v>
      </c>
      <c r="AM79" s="8"/>
      <c r="AN79" s="8"/>
      <c r="AO79" s="8"/>
      <c r="AP79" s="8"/>
      <c r="AQ79" s="9">
        <v>2</v>
      </c>
      <c r="AR79" s="9">
        <v>1</v>
      </c>
      <c r="AS79" s="10" t="s">
        <v>52</v>
      </c>
      <c r="AT79" s="10" t="s">
        <v>53</v>
      </c>
      <c r="AU79" s="8"/>
      <c r="AV79" s="10" t="s">
        <v>54</v>
      </c>
      <c r="AW79" s="10" t="s">
        <v>51</v>
      </c>
      <c r="AX79" s="10" t="s">
        <v>55</v>
      </c>
      <c r="AY79" s="8"/>
    </row>
    <row r="80" spans="1:51" x14ac:dyDescent="0.15">
      <c r="A80" s="11" t="s">
        <v>73</v>
      </c>
      <c r="B80" s="12" t="s">
        <v>61</v>
      </c>
      <c r="C80" s="10" t="s">
        <v>62</v>
      </c>
      <c r="D80" s="10" t="s">
        <v>63</v>
      </c>
      <c r="E80" s="9">
        <v>236</v>
      </c>
      <c r="F80" s="9">
        <v>236</v>
      </c>
      <c r="G80" s="9">
        <v>4</v>
      </c>
      <c r="H80" s="10" t="s">
        <v>63</v>
      </c>
      <c r="I80" s="9">
        <v>1</v>
      </c>
      <c r="J80" s="9">
        <v>0.481872582997312</v>
      </c>
      <c r="K80" s="10" t="s">
        <v>51</v>
      </c>
      <c r="L80" s="9">
        <v>4</v>
      </c>
      <c r="M80" s="9">
        <v>236</v>
      </c>
      <c r="N80" s="9">
        <v>236</v>
      </c>
      <c r="O80" s="9">
        <v>15</v>
      </c>
      <c r="P80" s="9">
        <v>269.655287583009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9">
        <v>269.64701991700002</v>
      </c>
      <c r="AD80" s="9">
        <v>269.655287583009</v>
      </c>
      <c r="AE80" s="9">
        <v>270.14018887501197</v>
      </c>
      <c r="AF80" s="9">
        <v>270.14018887501197</v>
      </c>
      <c r="AG80" s="9">
        <v>270.14018887501197</v>
      </c>
      <c r="AH80" s="9">
        <v>270.62529179200601</v>
      </c>
      <c r="AI80" s="10" t="s">
        <v>63</v>
      </c>
      <c r="AJ80" s="9">
        <v>1</v>
      </c>
      <c r="AK80" s="9">
        <v>0.481872582997312</v>
      </c>
      <c r="AL80" s="10" t="s">
        <v>51</v>
      </c>
      <c r="AM80" s="8"/>
      <c r="AN80" s="8"/>
      <c r="AO80" s="8"/>
      <c r="AP80" s="8"/>
      <c r="AQ80" s="9">
        <v>2</v>
      </c>
      <c r="AR80" s="9">
        <v>1</v>
      </c>
      <c r="AS80" s="10" t="s">
        <v>52</v>
      </c>
      <c r="AT80" s="10" t="s">
        <v>53</v>
      </c>
      <c r="AU80" s="8"/>
      <c r="AV80" s="10" t="s">
        <v>54</v>
      </c>
      <c r="AW80" s="10" t="s">
        <v>51</v>
      </c>
      <c r="AX80" s="10" t="s">
        <v>55</v>
      </c>
      <c r="AY80" s="8"/>
    </row>
    <row r="81" spans="1:51" x14ac:dyDescent="0.15">
      <c r="A81" s="11" t="s">
        <v>70</v>
      </c>
      <c r="B81" s="12" t="s">
        <v>61</v>
      </c>
      <c r="C81" s="10" t="s">
        <v>62</v>
      </c>
      <c r="D81" s="10" t="s">
        <v>63</v>
      </c>
      <c r="E81" s="9">
        <v>239</v>
      </c>
      <c r="F81" s="9">
        <v>239</v>
      </c>
      <c r="G81" s="9">
        <v>4</v>
      </c>
      <c r="H81" s="10" t="s">
        <v>63</v>
      </c>
      <c r="I81" s="9">
        <v>1</v>
      </c>
      <c r="J81" s="9">
        <v>0.25923320799483901</v>
      </c>
      <c r="K81" s="10" t="s">
        <v>51</v>
      </c>
      <c r="L81" s="9">
        <v>4</v>
      </c>
      <c r="M81" s="9">
        <v>239</v>
      </c>
      <c r="N81" s="9">
        <v>239</v>
      </c>
      <c r="O81" s="9">
        <v>13</v>
      </c>
      <c r="P81" s="9">
        <v>272.23885987501097</v>
      </c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9">
        <v>272.23071583300799</v>
      </c>
      <c r="AD81" s="9">
        <v>272.23885987501097</v>
      </c>
      <c r="AE81" s="9">
        <v>272.72373958300199</v>
      </c>
      <c r="AF81" s="9">
        <v>272.72373958300199</v>
      </c>
      <c r="AG81" s="9">
        <v>272.72373958300199</v>
      </c>
      <c r="AH81" s="9">
        <v>272.99216183301201</v>
      </c>
      <c r="AI81" s="10" t="s">
        <v>63</v>
      </c>
      <c r="AJ81" s="9">
        <v>1</v>
      </c>
      <c r="AK81" s="9">
        <v>0.25923320799483901</v>
      </c>
      <c r="AL81" s="10" t="s">
        <v>51</v>
      </c>
      <c r="AM81" s="8"/>
      <c r="AN81" s="8"/>
      <c r="AO81" s="8"/>
      <c r="AP81" s="8"/>
      <c r="AQ81" s="9">
        <v>2</v>
      </c>
      <c r="AR81" s="9">
        <v>1</v>
      </c>
      <c r="AS81" s="10" t="s">
        <v>52</v>
      </c>
      <c r="AT81" s="10" t="s">
        <v>53</v>
      </c>
      <c r="AU81" s="8"/>
      <c r="AV81" s="10" t="s">
        <v>54</v>
      </c>
      <c r="AW81" s="10" t="s">
        <v>51</v>
      </c>
      <c r="AX81" s="10" t="s">
        <v>55</v>
      </c>
      <c r="AY81" s="8"/>
    </row>
    <row r="82" spans="1:51" x14ac:dyDescent="0.15">
      <c r="A82" s="11" t="s">
        <v>56</v>
      </c>
      <c r="B82" s="12" t="s">
        <v>57</v>
      </c>
      <c r="C82" s="10" t="s">
        <v>58</v>
      </c>
      <c r="D82" s="10" t="s">
        <v>59</v>
      </c>
      <c r="E82" s="9">
        <v>0</v>
      </c>
      <c r="F82" s="9">
        <v>0</v>
      </c>
      <c r="G82" s="9">
        <v>0</v>
      </c>
      <c r="H82" s="10" t="s">
        <v>59</v>
      </c>
      <c r="I82" s="9">
        <v>1</v>
      </c>
      <c r="J82" s="9">
        <v>0.70370720799837705</v>
      </c>
      <c r="K82" s="10" t="s">
        <v>51</v>
      </c>
      <c r="L82" s="9">
        <v>0</v>
      </c>
      <c r="M82" s="9">
        <v>0</v>
      </c>
      <c r="N82" s="9">
        <v>0</v>
      </c>
      <c r="O82" s="9">
        <v>16</v>
      </c>
      <c r="P82" s="9">
        <v>16.303154624998601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9">
        <v>16.2938252080057</v>
      </c>
      <c r="AD82" s="9">
        <v>16.303154624998601</v>
      </c>
      <c r="AE82" s="9">
        <v>16.7585510000063</v>
      </c>
      <c r="AF82" s="9">
        <v>16.7585510000063</v>
      </c>
      <c r="AG82" s="9">
        <v>16.7585510000063</v>
      </c>
      <c r="AH82" s="9">
        <v>17.467044917008</v>
      </c>
      <c r="AI82" s="10" t="s">
        <v>59</v>
      </c>
      <c r="AJ82" s="9">
        <v>1</v>
      </c>
      <c r="AK82" s="9">
        <v>0.70370720799837705</v>
      </c>
      <c r="AL82" s="10" t="s">
        <v>51</v>
      </c>
      <c r="AM82" s="8"/>
      <c r="AN82" s="8"/>
      <c r="AO82" s="8"/>
      <c r="AP82" s="8"/>
      <c r="AQ82" s="9">
        <v>2</v>
      </c>
      <c r="AR82" s="9">
        <v>1</v>
      </c>
      <c r="AS82" s="10" t="s">
        <v>52</v>
      </c>
      <c r="AT82" s="10" t="s">
        <v>53</v>
      </c>
      <c r="AU82" s="8"/>
      <c r="AV82" s="10" t="s">
        <v>54</v>
      </c>
      <c r="AW82" s="10" t="s">
        <v>51</v>
      </c>
      <c r="AX82" s="10" t="s">
        <v>55</v>
      </c>
      <c r="AY82" s="8"/>
    </row>
    <row r="83" spans="1:51" x14ac:dyDescent="0.15">
      <c r="A83" s="11" t="s">
        <v>65</v>
      </c>
      <c r="B83" s="12" t="s">
        <v>57</v>
      </c>
      <c r="C83" s="10" t="s">
        <v>58</v>
      </c>
      <c r="D83" s="10" t="s">
        <v>59</v>
      </c>
      <c r="E83" s="9">
        <v>3</v>
      </c>
      <c r="F83" s="9">
        <v>3</v>
      </c>
      <c r="G83" s="9">
        <v>0</v>
      </c>
      <c r="H83" s="10" t="s">
        <v>59</v>
      </c>
      <c r="I83" s="9">
        <v>1</v>
      </c>
      <c r="J83" s="9">
        <v>0.52607604100194305</v>
      </c>
      <c r="K83" s="10" t="s">
        <v>51</v>
      </c>
      <c r="L83" s="9">
        <v>0</v>
      </c>
      <c r="M83" s="9">
        <v>3</v>
      </c>
      <c r="N83" s="9">
        <v>3</v>
      </c>
      <c r="O83" s="9">
        <v>30</v>
      </c>
      <c r="P83" s="9">
        <v>19.781872999999901</v>
      </c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9">
        <v>19.773661375002099</v>
      </c>
      <c r="AD83" s="9">
        <v>19.781872999999901</v>
      </c>
      <c r="AE83" s="9">
        <v>20.2650725420099</v>
      </c>
      <c r="AF83" s="9">
        <v>20.2650725420099</v>
      </c>
      <c r="AG83" s="9">
        <v>20.2650725420099</v>
      </c>
      <c r="AH83" s="9">
        <v>20.800658167005199</v>
      </c>
      <c r="AI83" s="10" t="s">
        <v>59</v>
      </c>
      <c r="AJ83" s="9">
        <v>1</v>
      </c>
      <c r="AK83" s="9">
        <v>0.52607604100194305</v>
      </c>
      <c r="AL83" s="10" t="s">
        <v>51</v>
      </c>
      <c r="AM83" s="8"/>
      <c r="AN83" s="8"/>
      <c r="AO83" s="8"/>
      <c r="AP83" s="8"/>
      <c r="AQ83" s="9">
        <v>2</v>
      </c>
      <c r="AR83" s="9">
        <v>1</v>
      </c>
      <c r="AS83" s="10" t="s">
        <v>52</v>
      </c>
      <c r="AT83" s="10" t="s">
        <v>53</v>
      </c>
      <c r="AU83" s="8"/>
      <c r="AV83" s="10" t="s">
        <v>54</v>
      </c>
      <c r="AW83" s="10" t="s">
        <v>51</v>
      </c>
      <c r="AX83" s="10" t="s">
        <v>55</v>
      </c>
      <c r="AY83" s="8"/>
    </row>
    <row r="84" spans="1:51" x14ac:dyDescent="0.15">
      <c r="A84" s="11" t="s">
        <v>68</v>
      </c>
      <c r="B84" s="12" t="s">
        <v>57</v>
      </c>
      <c r="C84" s="10" t="s">
        <v>58</v>
      </c>
      <c r="D84" s="10" t="s">
        <v>59</v>
      </c>
      <c r="E84" s="9">
        <v>5</v>
      </c>
      <c r="F84" s="9">
        <v>5</v>
      </c>
      <c r="G84" s="9">
        <v>0</v>
      </c>
      <c r="H84" s="10" t="s">
        <v>59</v>
      </c>
      <c r="I84" s="9">
        <v>1</v>
      </c>
      <c r="J84" s="9">
        <v>0.346233165997546</v>
      </c>
      <c r="K84" s="10" t="s">
        <v>51</v>
      </c>
      <c r="L84" s="9">
        <v>0</v>
      </c>
      <c r="M84" s="9">
        <v>5</v>
      </c>
      <c r="N84" s="9">
        <v>5</v>
      </c>
      <c r="O84" s="9">
        <v>22</v>
      </c>
      <c r="P84" s="9">
        <v>21.6546204580081</v>
      </c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9">
        <v>21.6455638750049</v>
      </c>
      <c r="AD84" s="9">
        <v>21.6546204580081</v>
      </c>
      <c r="AE84" s="9">
        <v>22.139805042010298</v>
      </c>
      <c r="AF84" s="9">
        <v>22.139805042010298</v>
      </c>
      <c r="AG84" s="9">
        <v>22.139805042010298</v>
      </c>
      <c r="AH84" s="9">
        <v>22.489053666999101</v>
      </c>
      <c r="AI84" s="10" t="s">
        <v>59</v>
      </c>
      <c r="AJ84" s="9">
        <v>1</v>
      </c>
      <c r="AK84" s="9">
        <v>0.346233165997546</v>
      </c>
      <c r="AL84" s="10" t="s">
        <v>51</v>
      </c>
      <c r="AM84" s="8"/>
      <c r="AN84" s="8"/>
      <c r="AO84" s="8"/>
      <c r="AP84" s="8"/>
      <c r="AQ84" s="9">
        <v>2</v>
      </c>
      <c r="AR84" s="9">
        <v>1</v>
      </c>
      <c r="AS84" s="10" t="s">
        <v>52</v>
      </c>
      <c r="AT84" s="10" t="s">
        <v>53</v>
      </c>
      <c r="AU84" s="8"/>
      <c r="AV84" s="10" t="s">
        <v>54</v>
      </c>
      <c r="AW84" s="10" t="s">
        <v>51</v>
      </c>
      <c r="AX84" s="10" t="s">
        <v>55</v>
      </c>
      <c r="AY84" s="8"/>
    </row>
    <row r="85" spans="1:51" x14ac:dyDescent="0.15">
      <c r="A85" s="11" t="s">
        <v>65</v>
      </c>
      <c r="B85" s="12" t="s">
        <v>57</v>
      </c>
      <c r="C85" s="10" t="s">
        <v>62</v>
      </c>
      <c r="D85" s="10" t="s">
        <v>63</v>
      </c>
      <c r="E85" s="9">
        <v>8</v>
      </c>
      <c r="F85" s="9">
        <v>8</v>
      </c>
      <c r="G85" s="9">
        <v>0</v>
      </c>
      <c r="H85" s="10" t="s">
        <v>63</v>
      </c>
      <c r="I85" s="9">
        <v>1</v>
      </c>
      <c r="J85" s="9">
        <v>0.27490316599141801</v>
      </c>
      <c r="K85" s="10" t="s">
        <v>51</v>
      </c>
      <c r="L85" s="9">
        <v>0</v>
      </c>
      <c r="M85" s="9">
        <v>8</v>
      </c>
      <c r="N85" s="9">
        <v>8</v>
      </c>
      <c r="O85" s="9">
        <v>31</v>
      </c>
      <c r="P85" s="9">
        <v>24.229026291999599</v>
      </c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9">
        <v>24.221247042005398</v>
      </c>
      <c r="AD85" s="9">
        <v>24.229026291999599</v>
      </c>
      <c r="AE85" s="9">
        <v>24.715321791998601</v>
      </c>
      <c r="AF85" s="9">
        <v>24.715321791998601</v>
      </c>
      <c r="AG85" s="9">
        <v>24.715321791998601</v>
      </c>
      <c r="AH85" s="9">
        <v>25.000314167002202</v>
      </c>
      <c r="AI85" s="10" t="s">
        <v>63</v>
      </c>
      <c r="AJ85" s="9">
        <v>1</v>
      </c>
      <c r="AK85" s="9">
        <v>0.27490316599141801</v>
      </c>
      <c r="AL85" s="10" t="s">
        <v>51</v>
      </c>
      <c r="AM85" s="8"/>
      <c r="AN85" s="8"/>
      <c r="AO85" s="8"/>
      <c r="AP85" s="8"/>
      <c r="AQ85" s="9">
        <v>2</v>
      </c>
      <c r="AR85" s="9">
        <v>1</v>
      </c>
      <c r="AS85" s="10" t="s">
        <v>52</v>
      </c>
      <c r="AT85" s="10" t="s">
        <v>53</v>
      </c>
      <c r="AU85" s="8"/>
      <c r="AV85" s="10" t="s">
        <v>54</v>
      </c>
      <c r="AW85" s="10" t="s">
        <v>51</v>
      </c>
      <c r="AX85" s="10" t="s">
        <v>55</v>
      </c>
      <c r="AY85" s="8"/>
    </row>
    <row r="86" spans="1:51" x14ac:dyDescent="0.15">
      <c r="A86" s="11" t="s">
        <v>71</v>
      </c>
      <c r="B86" s="12" t="s">
        <v>57</v>
      </c>
      <c r="C86" s="10" t="s">
        <v>58</v>
      </c>
      <c r="D86" s="10" t="s">
        <v>59</v>
      </c>
      <c r="E86" s="9">
        <v>9</v>
      </c>
      <c r="F86" s="9">
        <v>9</v>
      </c>
      <c r="G86" s="9">
        <v>0</v>
      </c>
      <c r="H86" s="10" t="s">
        <v>59</v>
      </c>
      <c r="I86" s="9">
        <v>1</v>
      </c>
      <c r="J86" s="9">
        <v>0.39688295799715001</v>
      </c>
      <c r="K86" s="10" t="s">
        <v>51</v>
      </c>
      <c r="L86" s="9">
        <v>0</v>
      </c>
      <c r="M86" s="9">
        <v>9</v>
      </c>
      <c r="N86" s="9">
        <v>9</v>
      </c>
      <c r="O86" s="9">
        <v>28</v>
      </c>
      <c r="P86" s="9">
        <v>25.014512207999399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9">
        <v>25.0062700830022</v>
      </c>
      <c r="AD86" s="9">
        <v>25.014512207999399</v>
      </c>
      <c r="AE86" s="9">
        <v>25.4985857080028</v>
      </c>
      <c r="AF86" s="9">
        <v>25.4985857080028</v>
      </c>
      <c r="AG86" s="9">
        <v>25.4985857080028</v>
      </c>
      <c r="AH86" s="9">
        <v>25.900500167001201</v>
      </c>
      <c r="AI86" s="10" t="s">
        <v>59</v>
      </c>
      <c r="AJ86" s="9">
        <v>1</v>
      </c>
      <c r="AK86" s="9">
        <v>0.39688295799715001</v>
      </c>
      <c r="AL86" s="10" t="s">
        <v>51</v>
      </c>
      <c r="AM86" s="8"/>
      <c r="AN86" s="8"/>
      <c r="AO86" s="8"/>
      <c r="AP86" s="8"/>
      <c r="AQ86" s="9">
        <v>2</v>
      </c>
      <c r="AR86" s="9">
        <v>1</v>
      </c>
      <c r="AS86" s="10" t="s">
        <v>52</v>
      </c>
      <c r="AT86" s="10" t="s">
        <v>53</v>
      </c>
      <c r="AU86" s="8"/>
      <c r="AV86" s="10" t="s">
        <v>54</v>
      </c>
      <c r="AW86" s="10" t="s">
        <v>51</v>
      </c>
      <c r="AX86" s="10" t="s">
        <v>55</v>
      </c>
      <c r="AY86" s="8"/>
    </row>
    <row r="87" spans="1:51" x14ac:dyDescent="0.15">
      <c r="A87" s="11" t="s">
        <v>72</v>
      </c>
      <c r="B87" s="12" t="s">
        <v>57</v>
      </c>
      <c r="C87" s="10" t="s">
        <v>58</v>
      </c>
      <c r="D87" s="10" t="s">
        <v>59</v>
      </c>
      <c r="E87" s="9">
        <v>10</v>
      </c>
      <c r="F87" s="9">
        <v>10</v>
      </c>
      <c r="G87" s="9">
        <v>0</v>
      </c>
      <c r="H87" s="10" t="s">
        <v>59</v>
      </c>
      <c r="I87" s="9">
        <v>1</v>
      </c>
      <c r="J87" s="9">
        <v>0.38360920798732001</v>
      </c>
      <c r="K87" s="10" t="s">
        <v>51</v>
      </c>
      <c r="L87" s="9">
        <v>0</v>
      </c>
      <c r="M87" s="9">
        <v>10</v>
      </c>
      <c r="N87" s="9">
        <v>10</v>
      </c>
      <c r="O87" s="9">
        <v>24</v>
      </c>
      <c r="P87" s="9">
        <v>25.9127654580079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9">
        <v>25.904753667011398</v>
      </c>
      <c r="AD87" s="9">
        <v>25.9127654580079</v>
      </c>
      <c r="AE87" s="9">
        <v>26.398673500007099</v>
      </c>
      <c r="AF87" s="9">
        <v>26.398673500007099</v>
      </c>
      <c r="AG87" s="9">
        <v>26.398673500007099</v>
      </c>
      <c r="AH87" s="9">
        <v>26.784042542000002</v>
      </c>
      <c r="AI87" s="10" t="s">
        <v>59</v>
      </c>
      <c r="AJ87" s="9">
        <v>1</v>
      </c>
      <c r="AK87" s="9">
        <v>0.38360920798732001</v>
      </c>
      <c r="AL87" s="10" t="s">
        <v>51</v>
      </c>
      <c r="AM87" s="8"/>
      <c r="AN87" s="8"/>
      <c r="AO87" s="8"/>
      <c r="AP87" s="8"/>
      <c r="AQ87" s="9">
        <v>2</v>
      </c>
      <c r="AR87" s="9">
        <v>1</v>
      </c>
      <c r="AS87" s="10" t="s">
        <v>52</v>
      </c>
      <c r="AT87" s="10" t="s">
        <v>53</v>
      </c>
      <c r="AU87" s="8"/>
      <c r="AV87" s="10" t="s">
        <v>54</v>
      </c>
      <c r="AW87" s="10" t="s">
        <v>51</v>
      </c>
      <c r="AX87" s="10" t="s">
        <v>55</v>
      </c>
      <c r="AY87" s="8"/>
    </row>
    <row r="88" spans="1:51" x14ac:dyDescent="0.15">
      <c r="A88" s="11" t="s">
        <v>71</v>
      </c>
      <c r="B88" s="12" t="s">
        <v>57</v>
      </c>
      <c r="C88" s="10" t="s">
        <v>58</v>
      </c>
      <c r="D88" s="10" t="s">
        <v>59</v>
      </c>
      <c r="E88" s="9">
        <v>12</v>
      </c>
      <c r="F88" s="9">
        <v>12</v>
      </c>
      <c r="G88" s="9">
        <v>1</v>
      </c>
      <c r="H88" s="10" t="s">
        <v>59</v>
      </c>
      <c r="I88" s="9">
        <v>1</v>
      </c>
      <c r="J88" s="9">
        <v>0.57434604100126296</v>
      </c>
      <c r="K88" s="10" t="s">
        <v>51</v>
      </c>
      <c r="L88" s="9">
        <v>1</v>
      </c>
      <c r="M88" s="9">
        <v>12</v>
      </c>
      <c r="N88" s="9">
        <v>12</v>
      </c>
      <c r="O88" s="9">
        <v>28</v>
      </c>
      <c r="P88" s="9">
        <v>27.7644577080064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9">
        <v>27.756104042011401</v>
      </c>
      <c r="AD88" s="9">
        <v>27.7644577080064</v>
      </c>
      <c r="AE88" s="9">
        <v>28.248934375005799</v>
      </c>
      <c r="AF88" s="9">
        <v>28.248934375005799</v>
      </c>
      <c r="AG88" s="9">
        <v>28.248934375005799</v>
      </c>
      <c r="AH88" s="9">
        <v>28.833966999998701</v>
      </c>
      <c r="AI88" s="10" t="s">
        <v>59</v>
      </c>
      <c r="AJ88" s="9">
        <v>1</v>
      </c>
      <c r="AK88" s="9">
        <v>0.57434604100126296</v>
      </c>
      <c r="AL88" s="10" t="s">
        <v>51</v>
      </c>
      <c r="AM88" s="8"/>
      <c r="AN88" s="8"/>
      <c r="AO88" s="8"/>
      <c r="AP88" s="8"/>
      <c r="AQ88" s="9">
        <v>2</v>
      </c>
      <c r="AR88" s="9">
        <v>1</v>
      </c>
      <c r="AS88" s="10" t="s">
        <v>52</v>
      </c>
      <c r="AT88" s="10" t="s">
        <v>53</v>
      </c>
      <c r="AU88" s="8"/>
      <c r="AV88" s="10" t="s">
        <v>54</v>
      </c>
      <c r="AW88" s="10" t="s">
        <v>51</v>
      </c>
      <c r="AX88" s="10" t="s">
        <v>55</v>
      </c>
      <c r="AY88" s="8"/>
    </row>
    <row r="89" spans="1:51" x14ac:dyDescent="0.15">
      <c r="A89" s="11" t="s">
        <v>75</v>
      </c>
      <c r="B89" s="12" t="s">
        <v>57</v>
      </c>
      <c r="C89" s="10" t="s">
        <v>62</v>
      </c>
      <c r="D89" s="10" t="s">
        <v>63</v>
      </c>
      <c r="E89" s="9">
        <v>15</v>
      </c>
      <c r="F89" s="9">
        <v>15</v>
      </c>
      <c r="G89" s="9">
        <v>0</v>
      </c>
      <c r="H89" s="10" t="s">
        <v>63</v>
      </c>
      <c r="I89" s="9">
        <v>1</v>
      </c>
      <c r="J89" s="9">
        <v>0.39125804200011799</v>
      </c>
      <c r="K89" s="10" t="s">
        <v>51</v>
      </c>
      <c r="L89" s="9">
        <v>0</v>
      </c>
      <c r="M89" s="9">
        <v>15</v>
      </c>
      <c r="N89" s="9">
        <v>15</v>
      </c>
      <c r="O89" s="9">
        <v>19</v>
      </c>
      <c r="P89" s="9">
        <v>30.564420875001801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9">
        <v>30.556015792011799</v>
      </c>
      <c r="AD89" s="9">
        <v>30.564420875001801</v>
      </c>
      <c r="AE89" s="9">
        <v>31.0490758329979</v>
      </c>
      <c r="AF89" s="9">
        <v>31.0490758329979</v>
      </c>
      <c r="AG89" s="9">
        <v>31.0490758329979</v>
      </c>
      <c r="AH89" s="9">
        <v>31.450756708</v>
      </c>
      <c r="AI89" s="10" t="s">
        <v>63</v>
      </c>
      <c r="AJ89" s="9">
        <v>1</v>
      </c>
      <c r="AK89" s="9">
        <v>0.39125804200011799</v>
      </c>
      <c r="AL89" s="10" t="s">
        <v>51</v>
      </c>
      <c r="AM89" s="8"/>
      <c r="AN89" s="8"/>
      <c r="AO89" s="8"/>
      <c r="AP89" s="8"/>
      <c r="AQ89" s="9">
        <v>2</v>
      </c>
      <c r="AR89" s="9">
        <v>1</v>
      </c>
      <c r="AS89" s="10" t="s">
        <v>52</v>
      </c>
      <c r="AT89" s="10" t="s">
        <v>53</v>
      </c>
      <c r="AU89" s="8"/>
      <c r="AV89" s="10" t="s">
        <v>54</v>
      </c>
      <c r="AW89" s="10" t="s">
        <v>51</v>
      </c>
      <c r="AX89" s="10" t="s">
        <v>55</v>
      </c>
      <c r="AY89" s="8"/>
    </row>
    <row r="90" spans="1:51" x14ac:dyDescent="0.15">
      <c r="A90" s="11" t="s">
        <v>56</v>
      </c>
      <c r="B90" s="12" t="s">
        <v>57</v>
      </c>
      <c r="C90" s="10" t="s">
        <v>58</v>
      </c>
      <c r="D90" s="10" t="s">
        <v>59</v>
      </c>
      <c r="E90" s="9">
        <v>17</v>
      </c>
      <c r="F90" s="9">
        <v>17</v>
      </c>
      <c r="G90" s="9">
        <v>1</v>
      </c>
      <c r="H90" s="10" t="s">
        <v>59</v>
      </c>
      <c r="I90" s="9">
        <v>1</v>
      </c>
      <c r="J90" s="9">
        <v>0.35632958299538597</v>
      </c>
      <c r="K90" s="10" t="s">
        <v>51</v>
      </c>
      <c r="L90" s="9">
        <v>1</v>
      </c>
      <c r="M90" s="9">
        <v>17</v>
      </c>
      <c r="N90" s="9">
        <v>17</v>
      </c>
      <c r="O90" s="9">
        <v>16</v>
      </c>
      <c r="P90" s="9">
        <v>32.4548297080037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9">
        <v>32.443745417011101</v>
      </c>
      <c r="AD90" s="9">
        <v>32.4548297080037</v>
      </c>
      <c r="AE90" s="9">
        <v>32.940222958001002</v>
      </c>
      <c r="AF90" s="9">
        <v>32.940222958001002</v>
      </c>
      <c r="AG90" s="9">
        <v>32.940222958001002</v>
      </c>
      <c r="AH90" s="9">
        <v>33.300753917006702</v>
      </c>
      <c r="AI90" s="10" t="s">
        <v>59</v>
      </c>
      <c r="AJ90" s="9">
        <v>1</v>
      </c>
      <c r="AK90" s="9">
        <v>0.35632958299538597</v>
      </c>
      <c r="AL90" s="10" t="s">
        <v>51</v>
      </c>
      <c r="AM90" s="8"/>
      <c r="AN90" s="8"/>
      <c r="AO90" s="8"/>
      <c r="AP90" s="8"/>
      <c r="AQ90" s="9">
        <v>2</v>
      </c>
      <c r="AR90" s="9">
        <v>1</v>
      </c>
      <c r="AS90" s="10" t="s">
        <v>52</v>
      </c>
      <c r="AT90" s="10" t="s">
        <v>53</v>
      </c>
      <c r="AU90" s="8"/>
      <c r="AV90" s="10" t="s">
        <v>54</v>
      </c>
      <c r="AW90" s="10" t="s">
        <v>51</v>
      </c>
      <c r="AX90" s="10" t="s">
        <v>55</v>
      </c>
      <c r="AY90" s="8"/>
    </row>
    <row r="91" spans="1:51" x14ac:dyDescent="0.15">
      <c r="A91" s="11" t="s">
        <v>78</v>
      </c>
      <c r="B91" s="12" t="s">
        <v>57</v>
      </c>
      <c r="C91" s="10" t="s">
        <v>58</v>
      </c>
      <c r="D91" s="10" t="s">
        <v>59</v>
      </c>
      <c r="E91" s="9">
        <v>19</v>
      </c>
      <c r="F91" s="9">
        <v>19</v>
      </c>
      <c r="G91" s="9">
        <v>0</v>
      </c>
      <c r="H91" s="10" t="s">
        <v>59</v>
      </c>
      <c r="I91" s="9">
        <v>1</v>
      </c>
      <c r="J91" s="9">
        <v>0.343813957995735</v>
      </c>
      <c r="K91" s="10" t="s">
        <v>51</v>
      </c>
      <c r="L91" s="9">
        <v>0</v>
      </c>
      <c r="M91" s="9">
        <v>19</v>
      </c>
      <c r="N91" s="9">
        <v>19</v>
      </c>
      <c r="O91" s="9">
        <v>26</v>
      </c>
      <c r="P91" s="9">
        <v>34.254303624998997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9">
        <v>34.244313917006401</v>
      </c>
      <c r="AD91" s="9">
        <v>34.254303624998997</v>
      </c>
      <c r="AE91" s="9">
        <v>34.740581750011202</v>
      </c>
      <c r="AF91" s="9">
        <v>34.740581750011202</v>
      </c>
      <c r="AG91" s="9">
        <v>34.740581750011202</v>
      </c>
      <c r="AH91" s="9">
        <v>35.089480750000803</v>
      </c>
      <c r="AI91" s="10" t="s">
        <v>59</v>
      </c>
      <c r="AJ91" s="9">
        <v>1</v>
      </c>
      <c r="AK91" s="9">
        <v>0.343813957995735</v>
      </c>
      <c r="AL91" s="10" t="s">
        <v>51</v>
      </c>
      <c r="AM91" s="8"/>
      <c r="AN91" s="8"/>
      <c r="AO91" s="8"/>
      <c r="AP91" s="8"/>
      <c r="AQ91" s="9">
        <v>2</v>
      </c>
      <c r="AR91" s="9">
        <v>1</v>
      </c>
      <c r="AS91" s="10" t="s">
        <v>52</v>
      </c>
      <c r="AT91" s="10" t="s">
        <v>53</v>
      </c>
      <c r="AU91" s="8"/>
      <c r="AV91" s="10" t="s">
        <v>54</v>
      </c>
      <c r="AW91" s="10" t="s">
        <v>51</v>
      </c>
      <c r="AX91" s="10" t="s">
        <v>55</v>
      </c>
      <c r="AY91" s="8"/>
    </row>
    <row r="92" spans="1:51" x14ac:dyDescent="0.15">
      <c r="A92" s="11" t="s">
        <v>68</v>
      </c>
      <c r="B92" s="12" t="s">
        <v>57</v>
      </c>
      <c r="C92" s="10" t="s">
        <v>58</v>
      </c>
      <c r="D92" s="10" t="s">
        <v>59</v>
      </c>
      <c r="E92" s="9">
        <v>22</v>
      </c>
      <c r="F92" s="9">
        <v>22</v>
      </c>
      <c r="G92" s="9">
        <v>1</v>
      </c>
      <c r="H92" s="10" t="s">
        <v>59</v>
      </c>
      <c r="I92" s="9">
        <v>1</v>
      </c>
      <c r="J92" s="9">
        <v>0.74142391599889401</v>
      </c>
      <c r="K92" s="10" t="s">
        <v>51</v>
      </c>
      <c r="L92" s="9">
        <v>1</v>
      </c>
      <c r="M92" s="9">
        <v>22</v>
      </c>
      <c r="N92" s="9">
        <v>22</v>
      </c>
      <c r="O92" s="9">
        <v>22</v>
      </c>
      <c r="P92" s="9">
        <v>37.188185542006998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9">
        <v>37.176973125009702</v>
      </c>
      <c r="AD92" s="9">
        <v>37.188185542006998</v>
      </c>
      <c r="AE92" s="9">
        <v>37.674144958000397</v>
      </c>
      <c r="AF92" s="9">
        <v>37.674144958000397</v>
      </c>
      <c r="AG92" s="9">
        <v>37.674144958000397</v>
      </c>
      <c r="AH92" s="9">
        <v>38.417196208</v>
      </c>
      <c r="AI92" s="10" t="s">
        <v>59</v>
      </c>
      <c r="AJ92" s="9">
        <v>1</v>
      </c>
      <c r="AK92" s="9">
        <v>0.74142391599889401</v>
      </c>
      <c r="AL92" s="10" t="s">
        <v>51</v>
      </c>
      <c r="AM92" s="8"/>
      <c r="AN92" s="8"/>
      <c r="AO92" s="8"/>
      <c r="AP92" s="8"/>
      <c r="AQ92" s="9">
        <v>2</v>
      </c>
      <c r="AR92" s="9">
        <v>1</v>
      </c>
      <c r="AS92" s="10" t="s">
        <v>52</v>
      </c>
      <c r="AT92" s="10" t="s">
        <v>53</v>
      </c>
      <c r="AU92" s="8"/>
      <c r="AV92" s="10" t="s">
        <v>54</v>
      </c>
      <c r="AW92" s="10" t="s">
        <v>51</v>
      </c>
      <c r="AX92" s="10" t="s">
        <v>55</v>
      </c>
      <c r="AY92" s="8"/>
    </row>
    <row r="93" spans="1:51" x14ac:dyDescent="0.15">
      <c r="A93" s="11" t="s">
        <v>71</v>
      </c>
      <c r="B93" s="12" t="s">
        <v>57</v>
      </c>
      <c r="C93" s="10" t="s">
        <v>62</v>
      </c>
      <c r="D93" s="10" t="s">
        <v>63</v>
      </c>
      <c r="E93" s="9">
        <v>29</v>
      </c>
      <c r="F93" s="9">
        <v>29</v>
      </c>
      <c r="G93" s="9">
        <v>0</v>
      </c>
      <c r="H93" s="10" t="s">
        <v>63</v>
      </c>
      <c r="I93" s="9">
        <v>1</v>
      </c>
      <c r="J93" s="9">
        <v>0.48937854099494899</v>
      </c>
      <c r="K93" s="10" t="s">
        <v>51</v>
      </c>
      <c r="L93" s="9">
        <v>0</v>
      </c>
      <c r="M93" s="9">
        <v>29</v>
      </c>
      <c r="N93" s="9">
        <v>29</v>
      </c>
      <c r="O93" s="9">
        <v>29</v>
      </c>
      <c r="P93" s="9">
        <v>44.981623583007597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9">
        <v>44.973116167006097</v>
      </c>
      <c r="AD93" s="9">
        <v>44.981623583007597</v>
      </c>
      <c r="AE93" s="9">
        <v>45.466248625001803</v>
      </c>
      <c r="AF93" s="9">
        <v>45.466248625001803</v>
      </c>
      <c r="AG93" s="9">
        <v>45.466248625001803</v>
      </c>
      <c r="AH93" s="9">
        <v>45.9679632920015</v>
      </c>
      <c r="AI93" s="10" t="s">
        <v>63</v>
      </c>
      <c r="AJ93" s="9">
        <v>1</v>
      </c>
      <c r="AK93" s="9">
        <v>0.48937854099494899</v>
      </c>
      <c r="AL93" s="10" t="s">
        <v>51</v>
      </c>
      <c r="AM93" s="8"/>
      <c r="AN93" s="8"/>
      <c r="AO93" s="8"/>
      <c r="AP93" s="8"/>
      <c r="AQ93" s="9">
        <v>2</v>
      </c>
      <c r="AR93" s="9">
        <v>1</v>
      </c>
      <c r="AS93" s="10" t="s">
        <v>52</v>
      </c>
      <c r="AT93" s="10" t="s">
        <v>53</v>
      </c>
      <c r="AU93" s="8"/>
      <c r="AV93" s="10" t="s">
        <v>54</v>
      </c>
      <c r="AW93" s="10" t="s">
        <v>51</v>
      </c>
      <c r="AX93" s="10" t="s">
        <v>55</v>
      </c>
      <c r="AY93" s="8"/>
    </row>
    <row r="94" spans="1:51" x14ac:dyDescent="0.15">
      <c r="A94" s="11" t="s">
        <v>84</v>
      </c>
      <c r="B94" s="12" t="s">
        <v>57</v>
      </c>
      <c r="C94" s="10" t="s">
        <v>58</v>
      </c>
      <c r="D94" s="10" t="s">
        <v>59</v>
      </c>
      <c r="E94" s="9">
        <v>30</v>
      </c>
      <c r="F94" s="9">
        <v>30</v>
      </c>
      <c r="G94" s="9">
        <v>0</v>
      </c>
      <c r="H94" s="10" t="s">
        <v>59</v>
      </c>
      <c r="I94" s="9">
        <v>1</v>
      </c>
      <c r="J94" s="9">
        <v>0.94424329100002102</v>
      </c>
      <c r="K94" s="10" t="s">
        <v>51</v>
      </c>
      <c r="L94" s="9">
        <v>0</v>
      </c>
      <c r="M94" s="9">
        <v>30</v>
      </c>
      <c r="N94" s="9">
        <v>30</v>
      </c>
      <c r="O94" s="9">
        <v>20</v>
      </c>
      <c r="P94" s="9">
        <v>45.9805784170021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9">
        <v>45.972391832998298</v>
      </c>
      <c r="AD94" s="9">
        <v>45.9805784170021</v>
      </c>
      <c r="AE94" s="9">
        <v>46.4654179580102</v>
      </c>
      <c r="AF94" s="9">
        <v>46.4654179580102</v>
      </c>
      <c r="AG94" s="9">
        <v>46.4654179580102</v>
      </c>
      <c r="AH94" s="9">
        <v>47.418000582998502</v>
      </c>
      <c r="AI94" s="10" t="s">
        <v>59</v>
      </c>
      <c r="AJ94" s="9">
        <v>1</v>
      </c>
      <c r="AK94" s="9">
        <v>0.94424329100002102</v>
      </c>
      <c r="AL94" s="10" t="s">
        <v>51</v>
      </c>
      <c r="AM94" s="8"/>
      <c r="AN94" s="8"/>
      <c r="AO94" s="8"/>
      <c r="AP94" s="8"/>
      <c r="AQ94" s="9">
        <v>2</v>
      </c>
      <c r="AR94" s="9">
        <v>1</v>
      </c>
      <c r="AS94" s="10" t="s">
        <v>52</v>
      </c>
      <c r="AT94" s="10" t="s">
        <v>53</v>
      </c>
      <c r="AU94" s="8"/>
      <c r="AV94" s="10" t="s">
        <v>54</v>
      </c>
      <c r="AW94" s="10" t="s">
        <v>51</v>
      </c>
      <c r="AX94" s="10" t="s">
        <v>55</v>
      </c>
      <c r="AY94" s="8"/>
    </row>
    <row r="95" spans="1:51" x14ac:dyDescent="0.15">
      <c r="A95" s="11" t="s">
        <v>68</v>
      </c>
      <c r="B95" s="12" t="s">
        <v>57</v>
      </c>
      <c r="C95" s="10" t="s">
        <v>62</v>
      </c>
      <c r="D95" s="10" t="s">
        <v>63</v>
      </c>
      <c r="E95" s="9">
        <v>32</v>
      </c>
      <c r="F95" s="9">
        <v>32</v>
      </c>
      <c r="G95" s="9">
        <v>0</v>
      </c>
      <c r="H95" s="10" t="s">
        <v>63</v>
      </c>
      <c r="I95" s="9">
        <v>1</v>
      </c>
      <c r="J95" s="9">
        <v>0.38356245799513999</v>
      </c>
      <c r="K95" s="10" t="s">
        <v>51</v>
      </c>
      <c r="L95" s="9">
        <v>0</v>
      </c>
      <c r="M95" s="9">
        <v>32</v>
      </c>
      <c r="N95" s="9">
        <v>32</v>
      </c>
      <c r="O95" s="9">
        <v>23</v>
      </c>
      <c r="P95" s="9">
        <v>48.329574542003698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9">
        <v>48.321359000008698</v>
      </c>
      <c r="AD95" s="9">
        <v>48.329574542003698</v>
      </c>
      <c r="AE95" s="9">
        <v>48.816122125004803</v>
      </c>
      <c r="AF95" s="9">
        <v>48.816122125004803</v>
      </c>
      <c r="AG95" s="9">
        <v>48.816122125004803</v>
      </c>
      <c r="AH95" s="9">
        <v>49.201446833001697</v>
      </c>
      <c r="AI95" s="10" t="s">
        <v>63</v>
      </c>
      <c r="AJ95" s="9">
        <v>1</v>
      </c>
      <c r="AK95" s="9">
        <v>0.38356245799513999</v>
      </c>
      <c r="AL95" s="10" t="s">
        <v>51</v>
      </c>
      <c r="AM95" s="8"/>
      <c r="AN95" s="8"/>
      <c r="AO95" s="8"/>
      <c r="AP95" s="8"/>
      <c r="AQ95" s="9">
        <v>2</v>
      </c>
      <c r="AR95" s="9">
        <v>1</v>
      </c>
      <c r="AS95" s="10" t="s">
        <v>52</v>
      </c>
      <c r="AT95" s="10" t="s">
        <v>53</v>
      </c>
      <c r="AU95" s="8"/>
      <c r="AV95" s="10" t="s">
        <v>54</v>
      </c>
      <c r="AW95" s="10" t="s">
        <v>51</v>
      </c>
      <c r="AX95" s="10" t="s">
        <v>55</v>
      </c>
      <c r="AY95" s="8"/>
    </row>
    <row r="96" spans="1:51" x14ac:dyDescent="0.15">
      <c r="A96" s="11" t="s">
        <v>71</v>
      </c>
      <c r="B96" s="12" t="s">
        <v>57</v>
      </c>
      <c r="C96" s="10" t="s">
        <v>62</v>
      </c>
      <c r="D96" s="10" t="s">
        <v>63</v>
      </c>
      <c r="E96" s="9">
        <v>33</v>
      </c>
      <c r="F96" s="9">
        <v>33</v>
      </c>
      <c r="G96" s="9">
        <v>1</v>
      </c>
      <c r="H96" s="10" t="s">
        <v>63</v>
      </c>
      <c r="I96" s="9">
        <v>1</v>
      </c>
      <c r="J96" s="9">
        <v>0.454187415991328</v>
      </c>
      <c r="K96" s="10" t="s">
        <v>51</v>
      </c>
      <c r="L96" s="9">
        <v>1</v>
      </c>
      <c r="M96" s="9">
        <v>33</v>
      </c>
      <c r="N96" s="9">
        <v>33</v>
      </c>
      <c r="O96" s="9">
        <v>29</v>
      </c>
      <c r="P96" s="9">
        <v>49.215323292009998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9">
        <v>49.207189624998101</v>
      </c>
      <c r="AD96" s="9">
        <v>49.215323292009998</v>
      </c>
      <c r="AE96" s="9">
        <v>49.699474875000298</v>
      </c>
      <c r="AF96" s="9">
        <v>49.699474875000298</v>
      </c>
      <c r="AG96" s="9">
        <v>49.699474875000298</v>
      </c>
      <c r="AH96" s="9">
        <v>50.1573115000065</v>
      </c>
      <c r="AI96" s="10" t="s">
        <v>63</v>
      </c>
      <c r="AJ96" s="9">
        <v>1</v>
      </c>
      <c r="AK96" s="9">
        <v>0.454187415991328</v>
      </c>
      <c r="AL96" s="10" t="s">
        <v>51</v>
      </c>
      <c r="AM96" s="8"/>
      <c r="AN96" s="8"/>
      <c r="AO96" s="8"/>
      <c r="AP96" s="8"/>
      <c r="AQ96" s="9">
        <v>2</v>
      </c>
      <c r="AR96" s="9">
        <v>1</v>
      </c>
      <c r="AS96" s="10" t="s">
        <v>52</v>
      </c>
      <c r="AT96" s="10" t="s">
        <v>53</v>
      </c>
      <c r="AU96" s="8"/>
      <c r="AV96" s="10" t="s">
        <v>54</v>
      </c>
      <c r="AW96" s="10" t="s">
        <v>51</v>
      </c>
      <c r="AX96" s="10" t="s">
        <v>55</v>
      </c>
      <c r="AY96" s="8"/>
    </row>
    <row r="97" spans="1:51" x14ac:dyDescent="0.15">
      <c r="A97" s="11" t="s">
        <v>71</v>
      </c>
      <c r="B97" s="12" t="s">
        <v>57</v>
      </c>
      <c r="C97" s="10" t="s">
        <v>58</v>
      </c>
      <c r="D97" s="10" t="s">
        <v>59</v>
      </c>
      <c r="E97" s="9">
        <v>34</v>
      </c>
      <c r="F97" s="9">
        <v>34</v>
      </c>
      <c r="G97" s="9">
        <v>2</v>
      </c>
      <c r="H97" s="10" t="s">
        <v>63</v>
      </c>
      <c r="I97" s="9">
        <v>0</v>
      </c>
      <c r="J97" s="9">
        <v>0.65230687499570195</v>
      </c>
      <c r="K97" s="10" t="s">
        <v>51</v>
      </c>
      <c r="L97" s="9">
        <v>2</v>
      </c>
      <c r="M97" s="9">
        <v>34</v>
      </c>
      <c r="N97" s="9">
        <v>34</v>
      </c>
      <c r="O97" s="9">
        <v>28</v>
      </c>
      <c r="P97" s="9">
        <v>50.166593917005201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9">
        <v>50.158231292007301</v>
      </c>
      <c r="AD97" s="9">
        <v>50.166593917005201</v>
      </c>
      <c r="AE97" s="9">
        <v>50.656358874999597</v>
      </c>
      <c r="AF97" s="9">
        <v>50.656358874999597</v>
      </c>
      <c r="AG97" s="9">
        <v>50.656358874999597</v>
      </c>
      <c r="AH97" s="9">
        <v>51.318412292006499</v>
      </c>
      <c r="AI97" s="10" t="s">
        <v>63</v>
      </c>
      <c r="AJ97" s="9">
        <v>0</v>
      </c>
      <c r="AK97" s="9">
        <v>0.65230687499570195</v>
      </c>
      <c r="AL97" s="10" t="s">
        <v>51</v>
      </c>
      <c r="AM97" s="8"/>
      <c r="AN97" s="8"/>
      <c r="AO97" s="8"/>
      <c r="AP97" s="8"/>
      <c r="AQ97" s="9">
        <v>2</v>
      </c>
      <c r="AR97" s="9">
        <v>1</v>
      </c>
      <c r="AS97" s="10" t="s">
        <v>52</v>
      </c>
      <c r="AT97" s="10" t="s">
        <v>53</v>
      </c>
      <c r="AU97" s="8"/>
      <c r="AV97" s="10" t="s">
        <v>54</v>
      </c>
      <c r="AW97" s="10" t="s">
        <v>51</v>
      </c>
      <c r="AX97" s="10" t="s">
        <v>55</v>
      </c>
      <c r="AY97" s="8"/>
    </row>
    <row r="98" spans="1:51" x14ac:dyDescent="0.15">
      <c r="A98" s="11" t="s">
        <v>75</v>
      </c>
      <c r="B98" s="12" t="s">
        <v>57</v>
      </c>
      <c r="C98" s="10" t="s">
        <v>62</v>
      </c>
      <c r="D98" s="10" t="s">
        <v>63</v>
      </c>
      <c r="E98" s="9">
        <v>37</v>
      </c>
      <c r="F98" s="9">
        <v>37</v>
      </c>
      <c r="G98" s="9">
        <v>1</v>
      </c>
      <c r="H98" s="10" t="s">
        <v>63</v>
      </c>
      <c r="I98" s="9">
        <v>1</v>
      </c>
      <c r="J98" s="9">
        <v>0.47703216600348203</v>
      </c>
      <c r="K98" s="10" t="s">
        <v>51</v>
      </c>
      <c r="L98" s="9">
        <v>1</v>
      </c>
      <c r="M98" s="9">
        <v>37</v>
      </c>
      <c r="N98" s="9">
        <v>37</v>
      </c>
      <c r="O98" s="9">
        <v>19</v>
      </c>
      <c r="P98" s="9">
        <v>53.912815083007402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9">
        <v>53.9049020420061</v>
      </c>
      <c r="AD98" s="9">
        <v>53.912815083007402</v>
      </c>
      <c r="AE98" s="9">
        <v>54.3996010830015</v>
      </c>
      <c r="AF98" s="9">
        <v>54.3996010830015</v>
      </c>
      <c r="AG98" s="9">
        <v>54.3996010830015</v>
      </c>
      <c r="AH98" s="9">
        <v>54.8848572499992</v>
      </c>
      <c r="AI98" s="10" t="s">
        <v>63</v>
      </c>
      <c r="AJ98" s="9">
        <v>1</v>
      </c>
      <c r="AK98" s="9">
        <v>0.47703216600348203</v>
      </c>
      <c r="AL98" s="10" t="s">
        <v>51</v>
      </c>
      <c r="AM98" s="8"/>
      <c r="AN98" s="8"/>
      <c r="AO98" s="8"/>
      <c r="AP98" s="8"/>
      <c r="AQ98" s="9">
        <v>2</v>
      </c>
      <c r="AR98" s="9">
        <v>1</v>
      </c>
      <c r="AS98" s="10" t="s">
        <v>52</v>
      </c>
      <c r="AT98" s="10" t="s">
        <v>53</v>
      </c>
      <c r="AU98" s="8"/>
      <c r="AV98" s="10" t="s">
        <v>54</v>
      </c>
      <c r="AW98" s="10" t="s">
        <v>51</v>
      </c>
      <c r="AX98" s="10" t="s">
        <v>55</v>
      </c>
      <c r="AY98" s="8"/>
    </row>
    <row r="99" spans="1:51" x14ac:dyDescent="0.15">
      <c r="A99" s="11" t="s">
        <v>78</v>
      </c>
      <c r="B99" s="12" t="s">
        <v>57</v>
      </c>
      <c r="C99" s="10" t="s">
        <v>58</v>
      </c>
      <c r="D99" s="10" t="s">
        <v>59</v>
      </c>
      <c r="E99" s="9">
        <v>41</v>
      </c>
      <c r="F99" s="9">
        <v>41</v>
      </c>
      <c r="G99" s="9">
        <v>1</v>
      </c>
      <c r="H99" s="10" t="s">
        <v>59</v>
      </c>
      <c r="I99" s="9">
        <v>1</v>
      </c>
      <c r="J99" s="9">
        <v>0.79128000000491705</v>
      </c>
      <c r="K99" s="10" t="s">
        <v>51</v>
      </c>
      <c r="L99" s="9">
        <v>1</v>
      </c>
      <c r="M99" s="9">
        <v>41</v>
      </c>
      <c r="N99" s="9">
        <v>41</v>
      </c>
      <c r="O99" s="9">
        <v>26</v>
      </c>
      <c r="P99" s="9">
        <v>58.015136166999604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9">
        <v>58.006463208002998</v>
      </c>
      <c r="AD99" s="9">
        <v>58.015136166999604</v>
      </c>
      <c r="AE99" s="9">
        <v>58.499472542011098</v>
      </c>
      <c r="AF99" s="9">
        <v>58.499472542011098</v>
      </c>
      <c r="AG99" s="9">
        <v>58.499472542011098</v>
      </c>
      <c r="AH99" s="9">
        <v>59.3018160830106</v>
      </c>
      <c r="AI99" s="10" t="s">
        <v>59</v>
      </c>
      <c r="AJ99" s="9">
        <v>1</v>
      </c>
      <c r="AK99" s="9">
        <v>0.79128000000491705</v>
      </c>
      <c r="AL99" s="10" t="s">
        <v>51</v>
      </c>
      <c r="AM99" s="8"/>
      <c r="AN99" s="8"/>
      <c r="AO99" s="8"/>
      <c r="AP99" s="8"/>
      <c r="AQ99" s="9">
        <v>2</v>
      </c>
      <c r="AR99" s="9">
        <v>1</v>
      </c>
      <c r="AS99" s="10" t="s">
        <v>52</v>
      </c>
      <c r="AT99" s="10" t="s">
        <v>53</v>
      </c>
      <c r="AU99" s="8"/>
      <c r="AV99" s="10" t="s">
        <v>54</v>
      </c>
      <c r="AW99" s="10" t="s">
        <v>51</v>
      </c>
      <c r="AX99" s="10" t="s">
        <v>55</v>
      </c>
      <c r="AY99" s="8"/>
    </row>
    <row r="100" spans="1:51" x14ac:dyDescent="0.15">
      <c r="A100" s="11" t="s">
        <v>78</v>
      </c>
      <c r="B100" s="12" t="s">
        <v>57</v>
      </c>
      <c r="C100" s="10" t="s">
        <v>62</v>
      </c>
      <c r="D100" s="10" t="s">
        <v>63</v>
      </c>
      <c r="E100" s="9">
        <v>45</v>
      </c>
      <c r="F100" s="9">
        <v>45</v>
      </c>
      <c r="G100" s="9">
        <v>0</v>
      </c>
      <c r="H100" s="10" t="s">
        <v>63</v>
      </c>
      <c r="I100" s="9">
        <v>1</v>
      </c>
      <c r="J100" s="9">
        <v>0.43266037400462698</v>
      </c>
      <c r="K100" s="10" t="s">
        <v>51</v>
      </c>
      <c r="L100" s="9">
        <v>0</v>
      </c>
      <c r="M100" s="9">
        <v>45</v>
      </c>
      <c r="N100" s="9">
        <v>45</v>
      </c>
      <c r="O100" s="9">
        <v>27</v>
      </c>
      <c r="P100" s="9">
        <v>62.430800000001902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9">
        <v>62.422545499997803</v>
      </c>
      <c r="AD100" s="9">
        <v>62.430800000001902</v>
      </c>
      <c r="AE100" s="9">
        <v>62.916343292003198</v>
      </c>
      <c r="AF100" s="9">
        <v>62.916343292003198</v>
      </c>
      <c r="AG100" s="9">
        <v>62.916343292003198</v>
      </c>
      <c r="AH100" s="9">
        <v>63.351749583001997</v>
      </c>
      <c r="AI100" s="10" t="s">
        <v>63</v>
      </c>
      <c r="AJ100" s="9">
        <v>1</v>
      </c>
      <c r="AK100" s="9">
        <v>0.43266037400462698</v>
      </c>
      <c r="AL100" s="10" t="s">
        <v>51</v>
      </c>
      <c r="AM100" s="8"/>
      <c r="AN100" s="8"/>
      <c r="AO100" s="8"/>
      <c r="AP100" s="8"/>
      <c r="AQ100" s="9">
        <v>2</v>
      </c>
      <c r="AR100" s="9">
        <v>1</v>
      </c>
      <c r="AS100" s="10" t="s">
        <v>52</v>
      </c>
      <c r="AT100" s="10" t="s">
        <v>53</v>
      </c>
      <c r="AU100" s="8"/>
      <c r="AV100" s="10" t="s">
        <v>54</v>
      </c>
      <c r="AW100" s="10" t="s">
        <v>51</v>
      </c>
      <c r="AX100" s="10" t="s">
        <v>55</v>
      </c>
      <c r="AY100" s="8"/>
    </row>
    <row r="101" spans="1:51" x14ac:dyDescent="0.15">
      <c r="A101" s="11" t="s">
        <v>75</v>
      </c>
      <c r="B101" s="12" t="s">
        <v>57</v>
      </c>
      <c r="C101" s="10" t="s">
        <v>62</v>
      </c>
      <c r="D101" s="10" t="s">
        <v>63</v>
      </c>
      <c r="E101" s="9">
        <v>50</v>
      </c>
      <c r="F101" s="9">
        <v>50</v>
      </c>
      <c r="G101" s="9">
        <v>2</v>
      </c>
      <c r="H101" s="10" t="s">
        <v>63</v>
      </c>
      <c r="I101" s="9">
        <v>1</v>
      </c>
      <c r="J101" s="9">
        <v>0.72867754100297999</v>
      </c>
      <c r="K101" s="10" t="s">
        <v>51</v>
      </c>
      <c r="L101" s="9">
        <v>2</v>
      </c>
      <c r="M101" s="9">
        <v>50</v>
      </c>
      <c r="N101" s="9">
        <v>50</v>
      </c>
      <c r="O101" s="9">
        <v>19</v>
      </c>
      <c r="P101" s="9">
        <v>67.264607083008698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9">
        <v>67.256248875011806</v>
      </c>
      <c r="AD101" s="9">
        <v>67.264607083008698</v>
      </c>
      <c r="AE101" s="9">
        <v>67.750297792008496</v>
      </c>
      <c r="AF101" s="9">
        <v>67.750297792008496</v>
      </c>
      <c r="AG101" s="9">
        <v>67.750297792008496</v>
      </c>
      <c r="AH101" s="9">
        <v>68.485162083001299</v>
      </c>
      <c r="AI101" s="10" t="s">
        <v>63</v>
      </c>
      <c r="AJ101" s="9">
        <v>1</v>
      </c>
      <c r="AK101" s="9">
        <v>0.72867754100297999</v>
      </c>
      <c r="AL101" s="10" t="s">
        <v>51</v>
      </c>
      <c r="AM101" s="8"/>
      <c r="AN101" s="8"/>
      <c r="AO101" s="8"/>
      <c r="AP101" s="8"/>
      <c r="AQ101" s="9">
        <v>2</v>
      </c>
      <c r="AR101" s="9">
        <v>1</v>
      </c>
      <c r="AS101" s="10" t="s">
        <v>52</v>
      </c>
      <c r="AT101" s="10" t="s">
        <v>53</v>
      </c>
      <c r="AU101" s="8"/>
      <c r="AV101" s="10" t="s">
        <v>54</v>
      </c>
      <c r="AW101" s="10" t="s">
        <v>51</v>
      </c>
      <c r="AX101" s="10" t="s">
        <v>55</v>
      </c>
      <c r="AY101" s="8"/>
    </row>
    <row r="102" spans="1:51" x14ac:dyDescent="0.15">
      <c r="A102" s="11" t="s">
        <v>65</v>
      </c>
      <c r="B102" s="12" t="s">
        <v>57</v>
      </c>
      <c r="C102" s="10" t="s">
        <v>62</v>
      </c>
      <c r="D102" s="10" t="s">
        <v>63</v>
      </c>
      <c r="E102" s="9">
        <v>51</v>
      </c>
      <c r="F102" s="9">
        <v>51</v>
      </c>
      <c r="G102" s="9">
        <v>1</v>
      </c>
      <c r="H102" s="10" t="s">
        <v>63</v>
      </c>
      <c r="I102" s="9">
        <v>1</v>
      </c>
      <c r="J102" s="9">
        <v>0.38051637400349098</v>
      </c>
      <c r="K102" s="10" t="s">
        <v>51</v>
      </c>
      <c r="L102" s="9">
        <v>1</v>
      </c>
      <c r="M102" s="9">
        <v>51</v>
      </c>
      <c r="N102" s="9">
        <v>51</v>
      </c>
      <c r="O102" s="9">
        <v>31</v>
      </c>
      <c r="P102" s="9">
        <v>68.497647208001595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9">
        <v>68.489462292010998</v>
      </c>
      <c r="AD102" s="9">
        <v>68.497647208001595</v>
      </c>
      <c r="AE102" s="9">
        <v>68.983589417010094</v>
      </c>
      <c r="AF102" s="9">
        <v>68.983589417010094</v>
      </c>
      <c r="AG102" s="9">
        <v>68.983589417010094</v>
      </c>
      <c r="AH102" s="9">
        <v>69.368080583008094</v>
      </c>
      <c r="AI102" s="10" t="s">
        <v>63</v>
      </c>
      <c r="AJ102" s="9">
        <v>1</v>
      </c>
      <c r="AK102" s="9">
        <v>0.38051637400349098</v>
      </c>
      <c r="AL102" s="10" t="s">
        <v>51</v>
      </c>
      <c r="AM102" s="8"/>
      <c r="AN102" s="8"/>
      <c r="AO102" s="8"/>
      <c r="AP102" s="8"/>
      <c r="AQ102" s="9">
        <v>2</v>
      </c>
      <c r="AR102" s="9">
        <v>1</v>
      </c>
      <c r="AS102" s="10" t="s">
        <v>52</v>
      </c>
      <c r="AT102" s="10" t="s">
        <v>53</v>
      </c>
      <c r="AU102" s="8"/>
      <c r="AV102" s="10" t="s">
        <v>54</v>
      </c>
      <c r="AW102" s="10" t="s">
        <v>51</v>
      </c>
      <c r="AX102" s="10" t="s">
        <v>55</v>
      </c>
      <c r="AY102" s="8"/>
    </row>
    <row r="103" spans="1:51" x14ac:dyDescent="0.15">
      <c r="A103" s="11" t="s">
        <v>78</v>
      </c>
      <c r="B103" s="12" t="s">
        <v>57</v>
      </c>
      <c r="C103" s="10" t="s">
        <v>62</v>
      </c>
      <c r="D103" s="10" t="s">
        <v>63</v>
      </c>
      <c r="E103" s="9">
        <v>54</v>
      </c>
      <c r="F103" s="9">
        <v>54</v>
      </c>
      <c r="G103" s="9">
        <v>1</v>
      </c>
      <c r="H103" s="10" t="s">
        <v>63</v>
      </c>
      <c r="I103" s="9">
        <v>1</v>
      </c>
      <c r="J103" s="9">
        <v>0.48294600000372201</v>
      </c>
      <c r="K103" s="10" t="s">
        <v>51</v>
      </c>
      <c r="L103" s="9">
        <v>1</v>
      </c>
      <c r="M103" s="9">
        <v>54</v>
      </c>
      <c r="N103" s="9">
        <v>54</v>
      </c>
      <c r="O103" s="9">
        <v>27</v>
      </c>
      <c r="P103" s="9">
        <v>71.533853166998597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9">
        <v>71.525545875003402</v>
      </c>
      <c r="AD103" s="9">
        <v>71.533853166998597</v>
      </c>
      <c r="AE103" s="9">
        <v>72.017164250006303</v>
      </c>
      <c r="AF103" s="9">
        <v>72.017164250006303</v>
      </c>
      <c r="AG103" s="9">
        <v>72.017164250006303</v>
      </c>
      <c r="AH103" s="9">
        <v>72.502208958001603</v>
      </c>
      <c r="AI103" s="10" t="s">
        <v>63</v>
      </c>
      <c r="AJ103" s="9">
        <v>1</v>
      </c>
      <c r="AK103" s="9">
        <v>0.48294600000372201</v>
      </c>
      <c r="AL103" s="10" t="s">
        <v>51</v>
      </c>
      <c r="AM103" s="8"/>
      <c r="AN103" s="8"/>
      <c r="AO103" s="8"/>
      <c r="AP103" s="8"/>
      <c r="AQ103" s="9">
        <v>2</v>
      </c>
      <c r="AR103" s="9">
        <v>1</v>
      </c>
      <c r="AS103" s="10" t="s">
        <v>52</v>
      </c>
      <c r="AT103" s="10" t="s">
        <v>53</v>
      </c>
      <c r="AU103" s="8"/>
      <c r="AV103" s="10" t="s">
        <v>54</v>
      </c>
      <c r="AW103" s="10" t="s">
        <v>51</v>
      </c>
      <c r="AX103" s="10" t="s">
        <v>55</v>
      </c>
      <c r="AY103" s="8"/>
    </row>
    <row r="104" spans="1:51" x14ac:dyDescent="0.15">
      <c r="A104" s="11" t="s">
        <v>65</v>
      </c>
      <c r="B104" s="12" t="s">
        <v>57</v>
      </c>
      <c r="C104" s="10" t="s">
        <v>62</v>
      </c>
      <c r="D104" s="10" t="s">
        <v>63</v>
      </c>
      <c r="E104" s="9">
        <v>58</v>
      </c>
      <c r="F104" s="9">
        <v>58</v>
      </c>
      <c r="G104" s="9">
        <v>2</v>
      </c>
      <c r="H104" s="10" t="s">
        <v>63</v>
      </c>
      <c r="I104" s="9">
        <v>1</v>
      </c>
      <c r="J104" s="9">
        <v>1.3332444990082899</v>
      </c>
      <c r="K104" s="10" t="s">
        <v>51</v>
      </c>
      <c r="L104" s="9">
        <v>2</v>
      </c>
      <c r="M104" s="9">
        <v>58</v>
      </c>
      <c r="N104" s="9">
        <v>58</v>
      </c>
      <c r="O104" s="9">
        <v>31</v>
      </c>
      <c r="P104" s="9">
        <v>75.598540958002602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9">
        <v>75.590066125005293</v>
      </c>
      <c r="AD104" s="9">
        <v>75.598540958002602</v>
      </c>
      <c r="AE104" s="9">
        <v>76.083928207997801</v>
      </c>
      <c r="AF104" s="9">
        <v>76.083928207997801</v>
      </c>
      <c r="AG104" s="9">
        <v>76.083928207997801</v>
      </c>
      <c r="AH104" s="9">
        <v>77.418725875002593</v>
      </c>
      <c r="AI104" s="10" t="s">
        <v>63</v>
      </c>
      <c r="AJ104" s="9">
        <v>1</v>
      </c>
      <c r="AK104" s="9">
        <v>1.3332444990082899</v>
      </c>
      <c r="AL104" s="10" t="s">
        <v>51</v>
      </c>
      <c r="AM104" s="8"/>
      <c r="AN104" s="8"/>
      <c r="AO104" s="8"/>
      <c r="AP104" s="8"/>
      <c r="AQ104" s="9">
        <v>2</v>
      </c>
      <c r="AR104" s="9">
        <v>1</v>
      </c>
      <c r="AS104" s="10" t="s">
        <v>52</v>
      </c>
      <c r="AT104" s="10" t="s">
        <v>53</v>
      </c>
      <c r="AU104" s="8"/>
      <c r="AV104" s="10" t="s">
        <v>54</v>
      </c>
      <c r="AW104" s="10" t="s">
        <v>51</v>
      </c>
      <c r="AX104" s="10" t="s">
        <v>55</v>
      </c>
      <c r="AY104" s="8"/>
    </row>
    <row r="105" spans="1:51" x14ac:dyDescent="0.15">
      <c r="A105" s="11" t="s">
        <v>75</v>
      </c>
      <c r="B105" s="12" t="s">
        <v>57</v>
      </c>
      <c r="C105" s="10" t="s">
        <v>58</v>
      </c>
      <c r="D105" s="10" t="s">
        <v>59</v>
      </c>
      <c r="E105" s="9">
        <v>60</v>
      </c>
      <c r="F105" s="9">
        <v>60</v>
      </c>
      <c r="G105" s="9">
        <v>0</v>
      </c>
      <c r="H105" s="10" t="s">
        <v>59</v>
      </c>
      <c r="I105" s="9">
        <v>1</v>
      </c>
      <c r="J105" s="9">
        <v>0.60451124999963202</v>
      </c>
      <c r="K105" s="10" t="s">
        <v>51</v>
      </c>
      <c r="L105" s="9">
        <v>0</v>
      </c>
      <c r="M105" s="9">
        <v>60</v>
      </c>
      <c r="N105" s="9">
        <v>60</v>
      </c>
      <c r="O105" s="9">
        <v>18</v>
      </c>
      <c r="P105" s="9">
        <v>78.406249167004702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9">
        <v>78.394995167007394</v>
      </c>
      <c r="AD105" s="9">
        <v>78.406249167004702</v>
      </c>
      <c r="AE105" s="9">
        <v>78.892732125008493</v>
      </c>
      <c r="AF105" s="9">
        <v>78.892732125008493</v>
      </c>
      <c r="AG105" s="9">
        <v>78.892732125008493</v>
      </c>
      <c r="AH105" s="9">
        <v>79.5028128330014</v>
      </c>
      <c r="AI105" s="10" t="s">
        <v>59</v>
      </c>
      <c r="AJ105" s="9">
        <v>1</v>
      </c>
      <c r="AK105" s="9">
        <v>0.60451124999963202</v>
      </c>
      <c r="AL105" s="10" t="s">
        <v>51</v>
      </c>
      <c r="AM105" s="8"/>
      <c r="AN105" s="8"/>
      <c r="AO105" s="8"/>
      <c r="AP105" s="8"/>
      <c r="AQ105" s="9">
        <v>2</v>
      </c>
      <c r="AR105" s="9">
        <v>1</v>
      </c>
      <c r="AS105" s="10" t="s">
        <v>52</v>
      </c>
      <c r="AT105" s="10" t="s">
        <v>53</v>
      </c>
      <c r="AU105" s="8"/>
      <c r="AV105" s="10" t="s">
        <v>54</v>
      </c>
      <c r="AW105" s="10" t="s">
        <v>51</v>
      </c>
      <c r="AX105" s="10" t="s">
        <v>55</v>
      </c>
      <c r="AY105" s="8"/>
    </row>
    <row r="106" spans="1:51" x14ac:dyDescent="0.15">
      <c r="A106" s="11" t="s">
        <v>71</v>
      </c>
      <c r="B106" s="12" t="s">
        <v>57</v>
      </c>
      <c r="C106" s="10" t="s">
        <v>62</v>
      </c>
      <c r="D106" s="10" t="s">
        <v>63</v>
      </c>
      <c r="E106" s="9">
        <v>63</v>
      </c>
      <c r="F106" s="9">
        <v>63</v>
      </c>
      <c r="G106" s="9">
        <v>2</v>
      </c>
      <c r="H106" s="10" t="s">
        <v>63</v>
      </c>
      <c r="I106" s="9">
        <v>1</v>
      </c>
      <c r="J106" s="9">
        <v>0.69002870800613902</v>
      </c>
      <c r="K106" s="10" t="s">
        <v>51</v>
      </c>
      <c r="L106" s="9">
        <v>2</v>
      </c>
      <c r="M106" s="9">
        <v>63</v>
      </c>
      <c r="N106" s="9">
        <v>63</v>
      </c>
      <c r="O106" s="9">
        <v>29</v>
      </c>
      <c r="P106" s="9">
        <v>81.731943083010293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9">
        <v>81.723747000010903</v>
      </c>
      <c r="AD106" s="9">
        <v>81.731943083010293</v>
      </c>
      <c r="AE106" s="9">
        <v>82.217238042008802</v>
      </c>
      <c r="AF106" s="9">
        <v>82.217238042008802</v>
      </c>
      <c r="AG106" s="9">
        <v>82.217238042008802</v>
      </c>
      <c r="AH106" s="9">
        <v>82.919487125007393</v>
      </c>
      <c r="AI106" s="10" t="s">
        <v>63</v>
      </c>
      <c r="AJ106" s="9">
        <v>1</v>
      </c>
      <c r="AK106" s="9">
        <v>0.69002870800613902</v>
      </c>
      <c r="AL106" s="10" t="s">
        <v>51</v>
      </c>
      <c r="AM106" s="8"/>
      <c r="AN106" s="8"/>
      <c r="AO106" s="8"/>
      <c r="AP106" s="8"/>
      <c r="AQ106" s="9">
        <v>2</v>
      </c>
      <c r="AR106" s="9">
        <v>1</v>
      </c>
      <c r="AS106" s="10" t="s">
        <v>52</v>
      </c>
      <c r="AT106" s="10" t="s">
        <v>53</v>
      </c>
      <c r="AU106" s="8"/>
      <c r="AV106" s="10" t="s">
        <v>54</v>
      </c>
      <c r="AW106" s="10" t="s">
        <v>51</v>
      </c>
      <c r="AX106" s="10" t="s">
        <v>55</v>
      </c>
      <c r="AY106" s="8"/>
    </row>
    <row r="107" spans="1:51" x14ac:dyDescent="0.15">
      <c r="A107" s="11" t="s">
        <v>65</v>
      </c>
      <c r="B107" s="12" t="s">
        <v>57</v>
      </c>
      <c r="C107" s="10" t="s">
        <v>62</v>
      </c>
      <c r="D107" s="10" t="s">
        <v>63</v>
      </c>
      <c r="E107" s="9">
        <v>66</v>
      </c>
      <c r="F107" s="9">
        <v>66</v>
      </c>
      <c r="G107" s="9">
        <v>3</v>
      </c>
      <c r="H107" s="10" t="s">
        <v>63</v>
      </c>
      <c r="I107" s="9">
        <v>1</v>
      </c>
      <c r="J107" s="9">
        <v>0.44310524998582002</v>
      </c>
      <c r="K107" s="10" t="s">
        <v>51</v>
      </c>
      <c r="L107" s="9">
        <v>3</v>
      </c>
      <c r="M107" s="9">
        <v>66</v>
      </c>
      <c r="N107" s="9">
        <v>66</v>
      </c>
      <c r="O107" s="9">
        <v>31</v>
      </c>
      <c r="P107" s="9">
        <v>84.798935625003693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9">
        <v>84.790501499999706</v>
      </c>
      <c r="AD107" s="9">
        <v>84.798935625003693</v>
      </c>
      <c r="AE107" s="9">
        <v>85.284090583009004</v>
      </c>
      <c r="AF107" s="9">
        <v>85.284090583009004</v>
      </c>
      <c r="AG107" s="9">
        <v>85.284090583009004</v>
      </c>
      <c r="AH107" s="9">
        <v>85.736109792007497</v>
      </c>
      <c r="AI107" s="10" t="s">
        <v>63</v>
      </c>
      <c r="AJ107" s="9">
        <v>1</v>
      </c>
      <c r="AK107" s="9">
        <v>0.44310524998582002</v>
      </c>
      <c r="AL107" s="10" t="s">
        <v>51</v>
      </c>
      <c r="AM107" s="8"/>
      <c r="AN107" s="8"/>
      <c r="AO107" s="8"/>
      <c r="AP107" s="8"/>
      <c r="AQ107" s="9">
        <v>2</v>
      </c>
      <c r="AR107" s="9">
        <v>1</v>
      </c>
      <c r="AS107" s="10" t="s">
        <v>52</v>
      </c>
      <c r="AT107" s="10" t="s">
        <v>53</v>
      </c>
      <c r="AU107" s="8"/>
      <c r="AV107" s="10" t="s">
        <v>54</v>
      </c>
      <c r="AW107" s="10" t="s">
        <v>51</v>
      </c>
      <c r="AX107" s="10" t="s">
        <v>55</v>
      </c>
      <c r="AY107" s="8"/>
    </row>
    <row r="108" spans="1:51" x14ac:dyDescent="0.15">
      <c r="A108" s="11" t="s">
        <v>71</v>
      </c>
      <c r="B108" s="12" t="s">
        <v>57</v>
      </c>
      <c r="C108" s="10" t="s">
        <v>58</v>
      </c>
      <c r="D108" s="10" t="s">
        <v>59</v>
      </c>
      <c r="E108" s="9">
        <v>68</v>
      </c>
      <c r="F108" s="9">
        <v>68</v>
      </c>
      <c r="G108" s="9">
        <v>3</v>
      </c>
      <c r="H108" s="10" t="s">
        <v>59</v>
      </c>
      <c r="I108" s="9">
        <v>1</v>
      </c>
      <c r="J108" s="9">
        <v>0.367901292003808</v>
      </c>
      <c r="K108" s="10" t="s">
        <v>51</v>
      </c>
      <c r="L108" s="9">
        <v>3</v>
      </c>
      <c r="M108" s="9">
        <v>68</v>
      </c>
      <c r="N108" s="9">
        <v>68</v>
      </c>
      <c r="O108" s="9">
        <v>28</v>
      </c>
      <c r="P108" s="9">
        <v>86.549408958002502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9">
        <v>86.541198667007905</v>
      </c>
      <c r="AD108" s="9">
        <v>86.549408958002502</v>
      </c>
      <c r="AE108" s="9">
        <v>87.034301457999405</v>
      </c>
      <c r="AF108" s="9">
        <v>87.034301457999405</v>
      </c>
      <c r="AG108" s="9">
        <v>87.034301457999405</v>
      </c>
      <c r="AH108" s="9">
        <v>87.408915042004097</v>
      </c>
      <c r="AI108" s="10" t="s">
        <v>59</v>
      </c>
      <c r="AJ108" s="9">
        <v>1</v>
      </c>
      <c r="AK108" s="9">
        <v>0.367901292003808</v>
      </c>
      <c r="AL108" s="10" t="s">
        <v>51</v>
      </c>
      <c r="AM108" s="8"/>
      <c r="AN108" s="8"/>
      <c r="AO108" s="8"/>
      <c r="AP108" s="8"/>
      <c r="AQ108" s="9">
        <v>2</v>
      </c>
      <c r="AR108" s="9">
        <v>1</v>
      </c>
      <c r="AS108" s="10" t="s">
        <v>52</v>
      </c>
      <c r="AT108" s="10" t="s">
        <v>53</v>
      </c>
      <c r="AU108" s="8"/>
      <c r="AV108" s="10" t="s">
        <v>54</v>
      </c>
      <c r="AW108" s="10" t="s">
        <v>51</v>
      </c>
      <c r="AX108" s="10" t="s">
        <v>55</v>
      </c>
      <c r="AY108" s="8"/>
    </row>
    <row r="109" spans="1:51" x14ac:dyDescent="0.15">
      <c r="A109" s="11" t="s">
        <v>84</v>
      </c>
      <c r="B109" s="12" t="s">
        <v>57</v>
      </c>
      <c r="C109" s="10" t="s">
        <v>62</v>
      </c>
      <c r="D109" s="10" t="s">
        <v>63</v>
      </c>
      <c r="E109" s="9">
        <v>69</v>
      </c>
      <c r="F109" s="9">
        <v>69</v>
      </c>
      <c r="G109" s="9">
        <v>0</v>
      </c>
      <c r="H109" s="10" t="s">
        <v>63</v>
      </c>
      <c r="I109" s="9">
        <v>1</v>
      </c>
      <c r="J109" s="9">
        <v>0.37551037500088602</v>
      </c>
      <c r="K109" s="10" t="s">
        <v>51</v>
      </c>
      <c r="L109" s="9">
        <v>0</v>
      </c>
      <c r="M109" s="9">
        <v>69</v>
      </c>
      <c r="N109" s="9">
        <v>69</v>
      </c>
      <c r="O109" s="9">
        <v>21</v>
      </c>
      <c r="P109" s="9">
        <v>87.422457500011703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9">
        <v>87.413157917006203</v>
      </c>
      <c r="AD109" s="9">
        <v>87.422457500011703</v>
      </c>
      <c r="AE109" s="9">
        <v>87.9088018750044</v>
      </c>
      <c r="AF109" s="9">
        <v>87.9088018750044</v>
      </c>
      <c r="AG109" s="9">
        <v>87.9088018750044</v>
      </c>
      <c r="AH109" s="9">
        <v>88.285886249999805</v>
      </c>
      <c r="AI109" s="10" t="s">
        <v>63</v>
      </c>
      <c r="AJ109" s="9">
        <v>1</v>
      </c>
      <c r="AK109" s="9">
        <v>0.37551037500088602</v>
      </c>
      <c r="AL109" s="10" t="s">
        <v>51</v>
      </c>
      <c r="AM109" s="8"/>
      <c r="AN109" s="8"/>
      <c r="AO109" s="8"/>
      <c r="AP109" s="8"/>
      <c r="AQ109" s="9">
        <v>2</v>
      </c>
      <c r="AR109" s="9">
        <v>1</v>
      </c>
      <c r="AS109" s="10" t="s">
        <v>52</v>
      </c>
      <c r="AT109" s="10" t="s">
        <v>53</v>
      </c>
      <c r="AU109" s="8"/>
      <c r="AV109" s="10" t="s">
        <v>54</v>
      </c>
      <c r="AW109" s="10" t="s">
        <v>51</v>
      </c>
      <c r="AX109" s="10" t="s">
        <v>55</v>
      </c>
      <c r="AY109" s="8"/>
    </row>
    <row r="110" spans="1:51" x14ac:dyDescent="0.15">
      <c r="A110" s="11" t="s">
        <v>84</v>
      </c>
      <c r="B110" s="12" t="s">
        <v>57</v>
      </c>
      <c r="C110" s="10" t="s">
        <v>62</v>
      </c>
      <c r="D110" s="10" t="s">
        <v>63</v>
      </c>
      <c r="E110" s="9">
        <v>73</v>
      </c>
      <c r="F110" s="9">
        <v>73</v>
      </c>
      <c r="G110" s="9">
        <v>1</v>
      </c>
      <c r="H110" s="10" t="s">
        <v>63</v>
      </c>
      <c r="I110" s="9">
        <v>1</v>
      </c>
      <c r="J110" s="9">
        <v>0.35186795800109399</v>
      </c>
      <c r="K110" s="10" t="s">
        <v>51</v>
      </c>
      <c r="L110" s="9">
        <v>1</v>
      </c>
      <c r="M110" s="9">
        <v>73</v>
      </c>
      <c r="N110" s="9">
        <v>73</v>
      </c>
      <c r="O110" s="9">
        <v>21</v>
      </c>
      <c r="P110" s="9">
        <v>90.999146542002606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9">
        <v>90.990772333010696</v>
      </c>
      <c r="AD110" s="9">
        <v>90.999146542002606</v>
      </c>
      <c r="AE110" s="9">
        <v>91.484436708007706</v>
      </c>
      <c r="AF110" s="9">
        <v>91.484436708007706</v>
      </c>
      <c r="AG110" s="9">
        <v>91.484436708007706</v>
      </c>
      <c r="AH110" s="9">
        <v>91.841777833004002</v>
      </c>
      <c r="AI110" s="10" t="s">
        <v>63</v>
      </c>
      <c r="AJ110" s="9">
        <v>1</v>
      </c>
      <c r="AK110" s="9">
        <v>0.35186795800109399</v>
      </c>
      <c r="AL110" s="10" t="s">
        <v>51</v>
      </c>
      <c r="AM110" s="8"/>
      <c r="AN110" s="8"/>
      <c r="AO110" s="8"/>
      <c r="AP110" s="8"/>
      <c r="AQ110" s="9">
        <v>2</v>
      </c>
      <c r="AR110" s="9">
        <v>1</v>
      </c>
      <c r="AS110" s="10" t="s">
        <v>52</v>
      </c>
      <c r="AT110" s="10" t="s">
        <v>53</v>
      </c>
      <c r="AU110" s="8"/>
      <c r="AV110" s="10" t="s">
        <v>54</v>
      </c>
      <c r="AW110" s="10" t="s">
        <v>51</v>
      </c>
      <c r="AX110" s="10" t="s">
        <v>55</v>
      </c>
      <c r="AY110" s="8"/>
    </row>
    <row r="111" spans="1:51" x14ac:dyDescent="0.15">
      <c r="A111" s="11" t="s">
        <v>84</v>
      </c>
      <c r="B111" s="12" t="s">
        <v>57</v>
      </c>
      <c r="C111" s="10" t="s">
        <v>62</v>
      </c>
      <c r="D111" s="10" t="s">
        <v>63</v>
      </c>
      <c r="E111" s="9">
        <v>76</v>
      </c>
      <c r="F111" s="9">
        <v>76</v>
      </c>
      <c r="G111" s="9">
        <v>2</v>
      </c>
      <c r="H111" s="10" t="s">
        <v>63</v>
      </c>
      <c r="I111" s="9">
        <v>1</v>
      </c>
      <c r="J111" s="9">
        <v>0.37290866600233102</v>
      </c>
      <c r="K111" s="10" t="s">
        <v>51</v>
      </c>
      <c r="L111" s="9">
        <v>2</v>
      </c>
      <c r="M111" s="9">
        <v>76</v>
      </c>
      <c r="N111" s="9">
        <v>76</v>
      </c>
      <c r="O111" s="9">
        <v>21</v>
      </c>
      <c r="P111" s="9">
        <v>93.932407458007205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9">
        <v>93.923934125006795</v>
      </c>
      <c r="AD111" s="9">
        <v>93.932407458007205</v>
      </c>
      <c r="AE111" s="9">
        <v>94.417533542000498</v>
      </c>
      <c r="AF111" s="9">
        <v>94.417533542000498</v>
      </c>
      <c r="AG111" s="9">
        <v>94.417533542000498</v>
      </c>
      <c r="AH111" s="9">
        <v>94.802966208008002</v>
      </c>
      <c r="AI111" s="10" t="s">
        <v>63</v>
      </c>
      <c r="AJ111" s="9">
        <v>1</v>
      </c>
      <c r="AK111" s="9">
        <v>0.37290866600233102</v>
      </c>
      <c r="AL111" s="10" t="s">
        <v>51</v>
      </c>
      <c r="AM111" s="8"/>
      <c r="AN111" s="8"/>
      <c r="AO111" s="8"/>
      <c r="AP111" s="8"/>
      <c r="AQ111" s="9">
        <v>2</v>
      </c>
      <c r="AR111" s="9">
        <v>1</v>
      </c>
      <c r="AS111" s="10" t="s">
        <v>52</v>
      </c>
      <c r="AT111" s="10" t="s">
        <v>53</v>
      </c>
      <c r="AU111" s="8"/>
      <c r="AV111" s="10" t="s">
        <v>54</v>
      </c>
      <c r="AW111" s="10" t="s">
        <v>51</v>
      </c>
      <c r="AX111" s="10" t="s">
        <v>55</v>
      </c>
      <c r="AY111" s="8"/>
    </row>
    <row r="112" spans="1:51" x14ac:dyDescent="0.15">
      <c r="A112" s="11" t="s">
        <v>72</v>
      </c>
      <c r="B112" s="12" t="s">
        <v>57</v>
      </c>
      <c r="C112" s="10" t="s">
        <v>62</v>
      </c>
      <c r="D112" s="10" t="s">
        <v>63</v>
      </c>
      <c r="E112" s="9">
        <v>81</v>
      </c>
      <c r="F112" s="9">
        <v>81</v>
      </c>
      <c r="G112" s="9">
        <v>0</v>
      </c>
      <c r="H112" s="10" t="s">
        <v>63</v>
      </c>
      <c r="I112" s="9">
        <v>1</v>
      </c>
      <c r="J112" s="9">
        <v>0.39802712498931198</v>
      </c>
      <c r="K112" s="10" t="s">
        <v>51</v>
      </c>
      <c r="L112" s="9">
        <v>0</v>
      </c>
      <c r="M112" s="9">
        <v>81</v>
      </c>
      <c r="N112" s="9">
        <v>81</v>
      </c>
      <c r="O112" s="9">
        <v>25</v>
      </c>
      <c r="P112" s="9">
        <v>98.649788542010398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9">
        <v>98.641554083005801</v>
      </c>
      <c r="AD112" s="9">
        <v>98.649788542010398</v>
      </c>
      <c r="AE112" s="9">
        <v>99.134640167001606</v>
      </c>
      <c r="AF112" s="9">
        <v>99.134640167001606</v>
      </c>
      <c r="AG112" s="9">
        <v>99.134640167001606</v>
      </c>
      <c r="AH112" s="9">
        <v>99.536321667008494</v>
      </c>
      <c r="AI112" s="10" t="s">
        <v>63</v>
      </c>
      <c r="AJ112" s="9">
        <v>1</v>
      </c>
      <c r="AK112" s="9">
        <v>0.39802712498931198</v>
      </c>
      <c r="AL112" s="10" t="s">
        <v>51</v>
      </c>
      <c r="AM112" s="8"/>
      <c r="AN112" s="8"/>
      <c r="AO112" s="8"/>
      <c r="AP112" s="8"/>
      <c r="AQ112" s="9">
        <v>2</v>
      </c>
      <c r="AR112" s="9">
        <v>1</v>
      </c>
      <c r="AS112" s="10" t="s">
        <v>52</v>
      </c>
      <c r="AT112" s="10" t="s">
        <v>53</v>
      </c>
      <c r="AU112" s="8"/>
      <c r="AV112" s="10" t="s">
        <v>54</v>
      </c>
      <c r="AW112" s="10" t="s">
        <v>51</v>
      </c>
      <c r="AX112" s="10" t="s">
        <v>55</v>
      </c>
      <c r="AY112" s="8"/>
    </row>
    <row r="113" spans="1:51" x14ac:dyDescent="0.15">
      <c r="A113" s="11" t="s">
        <v>75</v>
      </c>
      <c r="B113" s="12" t="s">
        <v>57</v>
      </c>
      <c r="C113" s="10" t="s">
        <v>58</v>
      </c>
      <c r="D113" s="10" t="s">
        <v>59</v>
      </c>
      <c r="E113" s="9">
        <v>92</v>
      </c>
      <c r="F113" s="9">
        <v>92</v>
      </c>
      <c r="G113" s="9">
        <v>1</v>
      </c>
      <c r="H113" s="10" t="s">
        <v>59</v>
      </c>
      <c r="I113" s="9">
        <v>1</v>
      </c>
      <c r="J113" s="9">
        <v>0.60255399900779605</v>
      </c>
      <c r="K113" s="10" t="s">
        <v>51</v>
      </c>
      <c r="L113" s="9">
        <v>1</v>
      </c>
      <c r="M113" s="9">
        <v>92</v>
      </c>
      <c r="N113" s="9">
        <v>92</v>
      </c>
      <c r="O113" s="9">
        <v>18</v>
      </c>
      <c r="P113" s="9">
        <v>111.79760170800699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9">
        <v>111.79122512500901</v>
      </c>
      <c r="AD113" s="9">
        <v>111.79760170800699</v>
      </c>
      <c r="AE113" s="9">
        <v>112.285056542009</v>
      </c>
      <c r="AF113" s="9">
        <v>112.285056542009</v>
      </c>
      <c r="AG113" s="9">
        <v>112.285056542009</v>
      </c>
      <c r="AH113" s="9">
        <v>112.89307187500501</v>
      </c>
      <c r="AI113" s="10" t="s">
        <v>59</v>
      </c>
      <c r="AJ113" s="9">
        <v>1</v>
      </c>
      <c r="AK113" s="9">
        <v>0.60255399900779605</v>
      </c>
      <c r="AL113" s="10" t="s">
        <v>51</v>
      </c>
      <c r="AM113" s="8"/>
      <c r="AN113" s="8"/>
      <c r="AO113" s="8"/>
      <c r="AP113" s="8"/>
      <c r="AQ113" s="9">
        <v>2</v>
      </c>
      <c r="AR113" s="9">
        <v>1</v>
      </c>
      <c r="AS113" s="10" t="s">
        <v>52</v>
      </c>
      <c r="AT113" s="10" t="s">
        <v>53</v>
      </c>
      <c r="AU113" s="8"/>
      <c r="AV113" s="10" t="s">
        <v>54</v>
      </c>
      <c r="AW113" s="10" t="s">
        <v>51</v>
      </c>
      <c r="AX113" s="10" t="s">
        <v>55</v>
      </c>
      <c r="AY113" s="8"/>
    </row>
    <row r="114" spans="1:51" x14ac:dyDescent="0.15">
      <c r="A114" s="11" t="s">
        <v>84</v>
      </c>
      <c r="B114" s="12" t="s">
        <v>57</v>
      </c>
      <c r="C114" s="10" t="s">
        <v>62</v>
      </c>
      <c r="D114" s="10" t="s">
        <v>63</v>
      </c>
      <c r="E114" s="9">
        <v>96</v>
      </c>
      <c r="F114" s="9">
        <v>96</v>
      </c>
      <c r="G114" s="9">
        <v>3</v>
      </c>
      <c r="H114" s="10" t="s">
        <v>63</v>
      </c>
      <c r="I114" s="9">
        <v>1</v>
      </c>
      <c r="J114" s="9">
        <v>1.36000108299777</v>
      </c>
      <c r="K114" s="10" t="s">
        <v>51</v>
      </c>
      <c r="L114" s="9">
        <v>3</v>
      </c>
      <c r="M114" s="9">
        <v>96</v>
      </c>
      <c r="N114" s="9">
        <v>96</v>
      </c>
      <c r="O114" s="9">
        <v>21</v>
      </c>
      <c r="P114" s="9">
        <v>116.665767167011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9">
        <v>116.657547082999</v>
      </c>
      <c r="AD114" s="9">
        <v>116.665767167011</v>
      </c>
      <c r="AE114" s="9">
        <v>117.151780458007</v>
      </c>
      <c r="AF114" s="9">
        <v>117.151780458007</v>
      </c>
      <c r="AG114" s="9">
        <v>117.151780458007</v>
      </c>
      <c r="AH114" s="9">
        <v>118.52046087500599</v>
      </c>
      <c r="AI114" s="10" t="s">
        <v>63</v>
      </c>
      <c r="AJ114" s="9">
        <v>1</v>
      </c>
      <c r="AK114" s="9">
        <v>1.36000108299777</v>
      </c>
      <c r="AL114" s="10" t="s">
        <v>51</v>
      </c>
      <c r="AM114" s="8"/>
      <c r="AN114" s="8"/>
      <c r="AO114" s="8"/>
      <c r="AP114" s="8"/>
      <c r="AQ114" s="9">
        <v>2</v>
      </c>
      <c r="AR114" s="9">
        <v>1</v>
      </c>
      <c r="AS114" s="10" t="s">
        <v>52</v>
      </c>
      <c r="AT114" s="10" t="s">
        <v>53</v>
      </c>
      <c r="AU114" s="8"/>
      <c r="AV114" s="10" t="s">
        <v>54</v>
      </c>
      <c r="AW114" s="10" t="s">
        <v>51</v>
      </c>
      <c r="AX114" s="10" t="s">
        <v>55</v>
      </c>
      <c r="AY114" s="8"/>
    </row>
    <row r="115" spans="1:51" x14ac:dyDescent="0.15">
      <c r="A115" s="11" t="s">
        <v>72</v>
      </c>
      <c r="B115" s="12" t="s">
        <v>57</v>
      </c>
      <c r="C115" s="10" t="s">
        <v>62</v>
      </c>
      <c r="D115" s="10" t="s">
        <v>63</v>
      </c>
      <c r="E115" s="9">
        <v>99</v>
      </c>
      <c r="F115" s="9">
        <v>99</v>
      </c>
      <c r="G115" s="9">
        <v>1</v>
      </c>
      <c r="H115" s="10" t="s">
        <v>63</v>
      </c>
      <c r="I115" s="9">
        <v>1</v>
      </c>
      <c r="J115" s="9">
        <v>0.46481187500467103</v>
      </c>
      <c r="K115" s="10" t="s">
        <v>51</v>
      </c>
      <c r="L115" s="9">
        <v>1</v>
      </c>
      <c r="M115" s="9">
        <v>99</v>
      </c>
      <c r="N115" s="9">
        <v>99</v>
      </c>
      <c r="O115" s="9">
        <v>25</v>
      </c>
      <c r="P115" s="9">
        <v>121.400119416998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9">
        <v>121.391555875001</v>
      </c>
      <c r="AD115" s="9">
        <v>121.400119416998</v>
      </c>
      <c r="AE115" s="9">
        <v>121.885197666998</v>
      </c>
      <c r="AF115" s="9">
        <v>121.885197666998</v>
      </c>
      <c r="AG115" s="9">
        <v>121.885197666998</v>
      </c>
      <c r="AH115" s="9">
        <v>122.353655291998</v>
      </c>
      <c r="AI115" s="10" t="s">
        <v>63</v>
      </c>
      <c r="AJ115" s="9">
        <v>1</v>
      </c>
      <c r="AK115" s="9">
        <v>0.46481187500467103</v>
      </c>
      <c r="AL115" s="10" t="s">
        <v>51</v>
      </c>
      <c r="AM115" s="8"/>
      <c r="AN115" s="8"/>
      <c r="AO115" s="8"/>
      <c r="AP115" s="8"/>
      <c r="AQ115" s="9">
        <v>2</v>
      </c>
      <c r="AR115" s="9">
        <v>1</v>
      </c>
      <c r="AS115" s="10" t="s">
        <v>52</v>
      </c>
      <c r="AT115" s="10" t="s">
        <v>53</v>
      </c>
      <c r="AU115" s="8"/>
      <c r="AV115" s="10" t="s">
        <v>54</v>
      </c>
      <c r="AW115" s="10" t="s">
        <v>51</v>
      </c>
      <c r="AX115" s="10" t="s">
        <v>55</v>
      </c>
      <c r="AY115" s="8"/>
    </row>
    <row r="116" spans="1:51" x14ac:dyDescent="0.15">
      <c r="A116" s="11" t="s">
        <v>56</v>
      </c>
      <c r="B116" s="12" t="s">
        <v>57</v>
      </c>
      <c r="C116" s="10" t="s">
        <v>58</v>
      </c>
      <c r="D116" s="10" t="s">
        <v>59</v>
      </c>
      <c r="E116" s="9">
        <v>101</v>
      </c>
      <c r="F116" s="9">
        <v>101</v>
      </c>
      <c r="G116" s="9">
        <v>2</v>
      </c>
      <c r="H116" s="10" t="s">
        <v>59</v>
      </c>
      <c r="I116" s="9">
        <v>1</v>
      </c>
      <c r="J116" s="9">
        <v>0.45751791600196201</v>
      </c>
      <c r="K116" s="10" t="s">
        <v>51</v>
      </c>
      <c r="L116" s="9">
        <v>2</v>
      </c>
      <c r="M116" s="9">
        <v>101</v>
      </c>
      <c r="N116" s="9">
        <v>101</v>
      </c>
      <c r="O116" s="9">
        <v>16</v>
      </c>
      <c r="P116" s="9">
        <v>123.218776875001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9">
        <v>123.196113416998</v>
      </c>
      <c r="AD116" s="9">
        <v>123.218776875001</v>
      </c>
      <c r="AE116" s="9">
        <v>123.693445167009</v>
      </c>
      <c r="AF116" s="9">
        <v>123.693445167009</v>
      </c>
      <c r="AG116" s="9">
        <v>123.693445167009</v>
      </c>
      <c r="AH116" s="9">
        <v>124.153777917003</v>
      </c>
      <c r="AI116" s="10" t="s">
        <v>59</v>
      </c>
      <c r="AJ116" s="9">
        <v>1</v>
      </c>
      <c r="AK116" s="9">
        <v>0.45751791600196201</v>
      </c>
      <c r="AL116" s="10" t="s">
        <v>51</v>
      </c>
      <c r="AM116" s="8"/>
      <c r="AN116" s="8"/>
      <c r="AO116" s="8"/>
      <c r="AP116" s="8"/>
      <c r="AQ116" s="9">
        <v>2</v>
      </c>
      <c r="AR116" s="9">
        <v>1</v>
      </c>
      <c r="AS116" s="10" t="s">
        <v>52</v>
      </c>
      <c r="AT116" s="10" t="s">
        <v>53</v>
      </c>
      <c r="AU116" s="8"/>
      <c r="AV116" s="10" t="s">
        <v>54</v>
      </c>
      <c r="AW116" s="10" t="s">
        <v>51</v>
      </c>
      <c r="AX116" s="10" t="s">
        <v>55</v>
      </c>
      <c r="AY116" s="8"/>
    </row>
    <row r="117" spans="1:51" x14ac:dyDescent="0.15">
      <c r="A117" s="11" t="s">
        <v>71</v>
      </c>
      <c r="B117" s="12" t="s">
        <v>57</v>
      </c>
      <c r="C117" s="10" t="s">
        <v>62</v>
      </c>
      <c r="D117" s="10" t="s">
        <v>63</v>
      </c>
      <c r="E117" s="9">
        <v>107</v>
      </c>
      <c r="F117" s="9">
        <v>107</v>
      </c>
      <c r="G117" s="9">
        <v>3</v>
      </c>
      <c r="H117" s="10" t="s">
        <v>63</v>
      </c>
      <c r="I117" s="9">
        <v>1</v>
      </c>
      <c r="J117" s="9">
        <v>0.99442558299051598</v>
      </c>
      <c r="K117" s="10" t="s">
        <v>51</v>
      </c>
      <c r="L117" s="9">
        <v>3</v>
      </c>
      <c r="M117" s="9">
        <v>107</v>
      </c>
      <c r="N117" s="9">
        <v>107</v>
      </c>
      <c r="O117" s="9">
        <v>29</v>
      </c>
      <c r="P117" s="9">
        <v>132.16687762500101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9">
        <v>132.158480416998</v>
      </c>
      <c r="AD117" s="9">
        <v>132.16687762500101</v>
      </c>
      <c r="AE117" s="9">
        <v>132.652565833007</v>
      </c>
      <c r="AF117" s="9">
        <v>132.652565833007</v>
      </c>
      <c r="AG117" s="9">
        <v>132.652565833007</v>
      </c>
      <c r="AH117" s="9">
        <v>133.65430566700499</v>
      </c>
      <c r="AI117" s="10" t="s">
        <v>63</v>
      </c>
      <c r="AJ117" s="9">
        <v>1</v>
      </c>
      <c r="AK117" s="9">
        <v>0.99442558299051598</v>
      </c>
      <c r="AL117" s="10" t="s">
        <v>51</v>
      </c>
      <c r="AM117" s="8"/>
      <c r="AN117" s="8"/>
      <c r="AO117" s="8"/>
      <c r="AP117" s="8"/>
      <c r="AQ117" s="9">
        <v>2</v>
      </c>
      <c r="AR117" s="9">
        <v>1</v>
      </c>
      <c r="AS117" s="10" t="s">
        <v>52</v>
      </c>
      <c r="AT117" s="10" t="s">
        <v>53</v>
      </c>
      <c r="AU117" s="8"/>
      <c r="AV117" s="10" t="s">
        <v>54</v>
      </c>
      <c r="AW117" s="10" t="s">
        <v>51</v>
      </c>
      <c r="AX117" s="10" t="s">
        <v>55</v>
      </c>
      <c r="AY117" s="8"/>
    </row>
    <row r="118" spans="1:51" x14ac:dyDescent="0.15">
      <c r="A118" s="11" t="s">
        <v>68</v>
      </c>
      <c r="B118" s="12" t="s">
        <v>57</v>
      </c>
      <c r="C118" s="10" t="s">
        <v>62</v>
      </c>
      <c r="D118" s="10" t="s">
        <v>63</v>
      </c>
      <c r="E118" s="9">
        <v>110</v>
      </c>
      <c r="F118" s="9">
        <v>110</v>
      </c>
      <c r="G118" s="9">
        <v>1</v>
      </c>
      <c r="H118" s="10" t="s">
        <v>63</v>
      </c>
      <c r="I118" s="9">
        <v>1</v>
      </c>
      <c r="J118" s="9">
        <v>0.38153429100930197</v>
      </c>
      <c r="K118" s="10" t="s">
        <v>51</v>
      </c>
      <c r="L118" s="9">
        <v>1</v>
      </c>
      <c r="M118" s="9">
        <v>110</v>
      </c>
      <c r="N118" s="9">
        <v>110</v>
      </c>
      <c r="O118" s="9">
        <v>23</v>
      </c>
      <c r="P118" s="9">
        <v>135.71802529200801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9">
        <v>135.70984166700501</v>
      </c>
      <c r="AD118" s="9">
        <v>135.71802529200801</v>
      </c>
      <c r="AE118" s="9">
        <v>136.20252770801</v>
      </c>
      <c r="AF118" s="9">
        <v>136.20252770801</v>
      </c>
      <c r="AG118" s="9">
        <v>136.20252770801</v>
      </c>
      <c r="AH118" s="9">
        <v>136.588085708005</v>
      </c>
      <c r="AI118" s="10" t="s">
        <v>63</v>
      </c>
      <c r="AJ118" s="9">
        <v>1</v>
      </c>
      <c r="AK118" s="9">
        <v>0.38153429100930197</v>
      </c>
      <c r="AL118" s="10" t="s">
        <v>51</v>
      </c>
      <c r="AM118" s="8"/>
      <c r="AN118" s="8"/>
      <c r="AO118" s="8"/>
      <c r="AP118" s="8"/>
      <c r="AQ118" s="9">
        <v>2</v>
      </c>
      <c r="AR118" s="9">
        <v>1</v>
      </c>
      <c r="AS118" s="10" t="s">
        <v>52</v>
      </c>
      <c r="AT118" s="10" t="s">
        <v>53</v>
      </c>
      <c r="AU118" s="8"/>
      <c r="AV118" s="10" t="s">
        <v>54</v>
      </c>
      <c r="AW118" s="10" t="s">
        <v>51</v>
      </c>
      <c r="AX118" s="10" t="s">
        <v>55</v>
      </c>
      <c r="AY118" s="8"/>
    </row>
    <row r="119" spans="1:51" x14ac:dyDescent="0.15">
      <c r="A119" s="11" t="s">
        <v>75</v>
      </c>
      <c r="B119" s="12" t="s">
        <v>57</v>
      </c>
      <c r="C119" s="10" t="s">
        <v>58</v>
      </c>
      <c r="D119" s="10" t="s">
        <v>59</v>
      </c>
      <c r="E119" s="9">
        <v>113</v>
      </c>
      <c r="F119" s="9">
        <v>113</v>
      </c>
      <c r="G119" s="9">
        <v>2</v>
      </c>
      <c r="H119" s="10" t="s">
        <v>59</v>
      </c>
      <c r="I119" s="9">
        <v>1</v>
      </c>
      <c r="J119" s="9">
        <v>0.41159524999966401</v>
      </c>
      <c r="K119" s="10" t="s">
        <v>51</v>
      </c>
      <c r="L119" s="9">
        <v>2</v>
      </c>
      <c r="M119" s="9">
        <v>113</v>
      </c>
      <c r="N119" s="9">
        <v>113</v>
      </c>
      <c r="O119" s="9">
        <v>18</v>
      </c>
      <c r="P119" s="9">
        <v>138.51716850001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9">
        <v>138.50872095800901</v>
      </c>
      <c r="AD119" s="9">
        <v>138.51716850001</v>
      </c>
      <c r="AE119" s="9">
        <v>139.002467750004</v>
      </c>
      <c r="AF119" s="9">
        <v>139.002467750004</v>
      </c>
      <c r="AG119" s="9">
        <v>139.002467750004</v>
      </c>
      <c r="AH119" s="9">
        <v>139.42098845800501</v>
      </c>
      <c r="AI119" s="10" t="s">
        <v>59</v>
      </c>
      <c r="AJ119" s="9">
        <v>1</v>
      </c>
      <c r="AK119" s="9">
        <v>0.41159524999966401</v>
      </c>
      <c r="AL119" s="10" t="s">
        <v>51</v>
      </c>
      <c r="AM119" s="8"/>
      <c r="AN119" s="8"/>
      <c r="AO119" s="8"/>
      <c r="AP119" s="8"/>
      <c r="AQ119" s="9">
        <v>2</v>
      </c>
      <c r="AR119" s="9">
        <v>1</v>
      </c>
      <c r="AS119" s="10" t="s">
        <v>52</v>
      </c>
      <c r="AT119" s="10" t="s">
        <v>53</v>
      </c>
      <c r="AU119" s="8"/>
      <c r="AV119" s="10" t="s">
        <v>54</v>
      </c>
      <c r="AW119" s="10" t="s">
        <v>51</v>
      </c>
      <c r="AX119" s="10" t="s">
        <v>55</v>
      </c>
      <c r="AY119" s="8"/>
    </row>
    <row r="120" spans="1:51" x14ac:dyDescent="0.15">
      <c r="A120" s="11" t="s">
        <v>72</v>
      </c>
      <c r="B120" s="12" t="s">
        <v>57</v>
      </c>
      <c r="C120" s="10" t="s">
        <v>58</v>
      </c>
      <c r="D120" s="10" t="s">
        <v>59</v>
      </c>
      <c r="E120" s="9">
        <v>114</v>
      </c>
      <c r="F120" s="9">
        <v>114</v>
      </c>
      <c r="G120" s="9">
        <v>1</v>
      </c>
      <c r="H120" s="10" t="s">
        <v>59</v>
      </c>
      <c r="I120" s="9">
        <v>1</v>
      </c>
      <c r="J120" s="9">
        <v>0.39517620799597403</v>
      </c>
      <c r="K120" s="10" t="s">
        <v>51</v>
      </c>
      <c r="L120" s="9">
        <v>1</v>
      </c>
      <c r="M120" s="9">
        <v>114</v>
      </c>
      <c r="N120" s="9">
        <v>114</v>
      </c>
      <c r="O120" s="9">
        <v>24</v>
      </c>
      <c r="P120" s="9">
        <v>139.43397145799801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9">
        <v>139.425854208006</v>
      </c>
      <c r="AD120" s="9">
        <v>139.43397145799801</v>
      </c>
      <c r="AE120" s="9">
        <v>139.91892875000499</v>
      </c>
      <c r="AF120" s="9">
        <v>139.91892875000499</v>
      </c>
      <c r="AG120" s="9">
        <v>139.91892875000499</v>
      </c>
      <c r="AH120" s="9">
        <v>140.321327583006</v>
      </c>
      <c r="AI120" s="10" t="s">
        <v>59</v>
      </c>
      <c r="AJ120" s="9">
        <v>1</v>
      </c>
      <c r="AK120" s="9">
        <v>0.39517620799597403</v>
      </c>
      <c r="AL120" s="10" t="s">
        <v>51</v>
      </c>
      <c r="AM120" s="8"/>
      <c r="AN120" s="8"/>
      <c r="AO120" s="8"/>
      <c r="AP120" s="8"/>
      <c r="AQ120" s="9">
        <v>2</v>
      </c>
      <c r="AR120" s="9">
        <v>1</v>
      </c>
      <c r="AS120" s="10" t="s">
        <v>52</v>
      </c>
      <c r="AT120" s="10" t="s">
        <v>53</v>
      </c>
      <c r="AU120" s="8"/>
      <c r="AV120" s="10" t="s">
        <v>54</v>
      </c>
      <c r="AW120" s="10" t="s">
        <v>51</v>
      </c>
      <c r="AX120" s="10" t="s">
        <v>55</v>
      </c>
      <c r="AY120" s="8"/>
    </row>
    <row r="121" spans="1:51" x14ac:dyDescent="0.15">
      <c r="A121" s="11" t="s">
        <v>71</v>
      </c>
      <c r="B121" s="12" t="s">
        <v>57</v>
      </c>
      <c r="C121" s="10" t="s">
        <v>62</v>
      </c>
      <c r="D121" s="10" t="s">
        <v>63</v>
      </c>
      <c r="E121" s="9">
        <v>116</v>
      </c>
      <c r="F121" s="9">
        <v>116</v>
      </c>
      <c r="G121" s="9">
        <v>4</v>
      </c>
      <c r="H121" s="10" t="s">
        <v>63</v>
      </c>
      <c r="I121" s="9">
        <v>1</v>
      </c>
      <c r="J121" s="9">
        <v>0.34885100000246899</v>
      </c>
      <c r="K121" s="10" t="s">
        <v>51</v>
      </c>
      <c r="L121" s="9">
        <v>4</v>
      </c>
      <c r="M121" s="9">
        <v>116</v>
      </c>
      <c r="N121" s="9">
        <v>116</v>
      </c>
      <c r="O121" s="9">
        <v>29</v>
      </c>
      <c r="P121" s="9">
        <v>141.26724045800799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9">
        <v>141.25924362499799</v>
      </c>
      <c r="AD121" s="9">
        <v>141.26724045800799</v>
      </c>
      <c r="AE121" s="9">
        <v>141.75241058300901</v>
      </c>
      <c r="AF121" s="9">
        <v>141.75241058300901</v>
      </c>
      <c r="AG121" s="9">
        <v>141.75241058300901</v>
      </c>
      <c r="AH121" s="9">
        <v>142.104483792005</v>
      </c>
      <c r="AI121" s="10" t="s">
        <v>63</v>
      </c>
      <c r="AJ121" s="9">
        <v>1</v>
      </c>
      <c r="AK121" s="9">
        <v>0.34885100000246899</v>
      </c>
      <c r="AL121" s="10" t="s">
        <v>51</v>
      </c>
      <c r="AM121" s="8"/>
      <c r="AN121" s="8"/>
      <c r="AO121" s="8"/>
      <c r="AP121" s="8"/>
      <c r="AQ121" s="9">
        <v>2</v>
      </c>
      <c r="AR121" s="9">
        <v>1</v>
      </c>
      <c r="AS121" s="10" t="s">
        <v>52</v>
      </c>
      <c r="AT121" s="10" t="s">
        <v>53</v>
      </c>
      <c r="AU121" s="8"/>
      <c r="AV121" s="10" t="s">
        <v>54</v>
      </c>
      <c r="AW121" s="10" t="s">
        <v>51</v>
      </c>
      <c r="AX121" s="10" t="s">
        <v>55</v>
      </c>
      <c r="AY121" s="8"/>
    </row>
    <row r="122" spans="1:51" x14ac:dyDescent="0.15">
      <c r="A122" s="11" t="s">
        <v>78</v>
      </c>
      <c r="B122" s="12" t="s">
        <v>57</v>
      </c>
      <c r="C122" s="10" t="s">
        <v>58</v>
      </c>
      <c r="D122" s="10" t="s">
        <v>59</v>
      </c>
      <c r="E122" s="9">
        <v>117</v>
      </c>
      <c r="F122" s="9">
        <v>117</v>
      </c>
      <c r="G122" s="9">
        <v>2</v>
      </c>
      <c r="H122" s="10" t="s">
        <v>59</v>
      </c>
      <c r="I122" s="9">
        <v>1</v>
      </c>
      <c r="J122" s="9">
        <v>0.40259662400057999</v>
      </c>
      <c r="K122" s="10" t="s">
        <v>51</v>
      </c>
      <c r="L122" s="9">
        <v>2</v>
      </c>
      <c r="M122" s="9">
        <v>117</v>
      </c>
      <c r="N122" s="9">
        <v>117</v>
      </c>
      <c r="O122" s="9">
        <v>26</v>
      </c>
      <c r="P122" s="9">
        <v>142.116947041999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9">
        <v>142.10857420800301</v>
      </c>
      <c r="AD122" s="9">
        <v>142.116947041999</v>
      </c>
      <c r="AE122" s="9">
        <v>142.60246762500901</v>
      </c>
      <c r="AF122" s="9">
        <v>142.60246762500901</v>
      </c>
      <c r="AG122" s="9">
        <v>142.60246762500901</v>
      </c>
      <c r="AH122" s="9">
        <v>143.009671500011</v>
      </c>
      <c r="AI122" s="10" t="s">
        <v>59</v>
      </c>
      <c r="AJ122" s="9">
        <v>1</v>
      </c>
      <c r="AK122" s="9">
        <v>0.40259662400057999</v>
      </c>
      <c r="AL122" s="10" t="s">
        <v>51</v>
      </c>
      <c r="AM122" s="8"/>
      <c r="AN122" s="8"/>
      <c r="AO122" s="8"/>
      <c r="AP122" s="8"/>
      <c r="AQ122" s="9">
        <v>2</v>
      </c>
      <c r="AR122" s="9">
        <v>1</v>
      </c>
      <c r="AS122" s="10" t="s">
        <v>52</v>
      </c>
      <c r="AT122" s="10" t="s">
        <v>53</v>
      </c>
      <c r="AU122" s="8"/>
      <c r="AV122" s="10" t="s">
        <v>54</v>
      </c>
      <c r="AW122" s="10" t="s">
        <v>51</v>
      </c>
      <c r="AX122" s="10" t="s">
        <v>55</v>
      </c>
      <c r="AY122" s="8"/>
    </row>
    <row r="123" spans="1:51" x14ac:dyDescent="0.15">
      <c r="A123" s="11" t="s">
        <v>72</v>
      </c>
      <c r="B123" s="12" t="s">
        <v>57</v>
      </c>
      <c r="C123" s="10" t="s">
        <v>58</v>
      </c>
      <c r="D123" s="10" t="s">
        <v>59</v>
      </c>
      <c r="E123" s="9">
        <v>119</v>
      </c>
      <c r="F123" s="9">
        <v>119</v>
      </c>
      <c r="G123" s="9">
        <v>2</v>
      </c>
      <c r="H123" s="10" t="s">
        <v>59</v>
      </c>
      <c r="I123" s="9">
        <v>1</v>
      </c>
      <c r="J123" s="9">
        <v>0.52588300000934396</v>
      </c>
      <c r="K123" s="10" t="s">
        <v>51</v>
      </c>
      <c r="L123" s="9">
        <v>2</v>
      </c>
      <c r="M123" s="9">
        <v>119</v>
      </c>
      <c r="N123" s="9">
        <v>119</v>
      </c>
      <c r="O123" s="9">
        <v>24</v>
      </c>
      <c r="P123" s="9">
        <v>143.98465537500999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9">
        <v>143.97619733300201</v>
      </c>
      <c r="AD123" s="9">
        <v>143.98465537500999</v>
      </c>
      <c r="AE123" s="9">
        <v>144.46925716700201</v>
      </c>
      <c r="AF123" s="9">
        <v>144.46925716700201</v>
      </c>
      <c r="AG123" s="9">
        <v>144.46925716700201</v>
      </c>
      <c r="AH123" s="9">
        <v>145.00474658299899</v>
      </c>
      <c r="AI123" s="10" t="s">
        <v>59</v>
      </c>
      <c r="AJ123" s="9">
        <v>1</v>
      </c>
      <c r="AK123" s="9">
        <v>0.52588300000934396</v>
      </c>
      <c r="AL123" s="10" t="s">
        <v>51</v>
      </c>
      <c r="AM123" s="8"/>
      <c r="AN123" s="8"/>
      <c r="AO123" s="8"/>
      <c r="AP123" s="8"/>
      <c r="AQ123" s="9">
        <v>2</v>
      </c>
      <c r="AR123" s="9">
        <v>1</v>
      </c>
      <c r="AS123" s="10" t="s">
        <v>52</v>
      </c>
      <c r="AT123" s="10" t="s">
        <v>53</v>
      </c>
      <c r="AU123" s="8"/>
      <c r="AV123" s="10" t="s">
        <v>54</v>
      </c>
      <c r="AW123" s="10" t="s">
        <v>51</v>
      </c>
      <c r="AX123" s="10" t="s">
        <v>55</v>
      </c>
      <c r="AY123" s="8"/>
    </row>
    <row r="124" spans="1:51" x14ac:dyDescent="0.15">
      <c r="A124" s="11" t="s">
        <v>78</v>
      </c>
      <c r="B124" s="12" t="s">
        <v>57</v>
      </c>
      <c r="C124" s="10" t="s">
        <v>58</v>
      </c>
      <c r="D124" s="10" t="s">
        <v>59</v>
      </c>
      <c r="E124" s="9">
        <v>128</v>
      </c>
      <c r="F124" s="9">
        <v>128</v>
      </c>
      <c r="G124" s="9">
        <v>3</v>
      </c>
      <c r="H124" s="10" t="s">
        <v>59</v>
      </c>
      <c r="I124" s="9">
        <v>1</v>
      </c>
      <c r="J124" s="9">
        <v>0.46411604099557702</v>
      </c>
      <c r="K124" s="10" t="s">
        <v>51</v>
      </c>
      <c r="L124" s="9">
        <v>3</v>
      </c>
      <c r="M124" s="9">
        <v>128</v>
      </c>
      <c r="N124" s="9">
        <v>128</v>
      </c>
      <c r="O124" s="9">
        <v>26</v>
      </c>
      <c r="P124" s="9">
        <v>153.30126920800799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9">
        <v>153.292734208007</v>
      </c>
      <c r="AD124" s="9">
        <v>153.30126920800799</v>
      </c>
      <c r="AE124" s="9">
        <v>153.78641179201099</v>
      </c>
      <c r="AF124" s="9">
        <v>153.78641179201099</v>
      </c>
      <c r="AG124" s="9">
        <v>153.78641179201099</v>
      </c>
      <c r="AH124" s="9">
        <v>154.25467995800099</v>
      </c>
      <c r="AI124" s="10" t="s">
        <v>59</v>
      </c>
      <c r="AJ124" s="9">
        <v>1</v>
      </c>
      <c r="AK124" s="9">
        <v>0.46411604099557702</v>
      </c>
      <c r="AL124" s="10" t="s">
        <v>51</v>
      </c>
      <c r="AM124" s="8"/>
      <c r="AN124" s="8"/>
      <c r="AO124" s="8"/>
      <c r="AP124" s="8"/>
      <c r="AQ124" s="9">
        <v>2</v>
      </c>
      <c r="AR124" s="9">
        <v>1</v>
      </c>
      <c r="AS124" s="10" t="s">
        <v>52</v>
      </c>
      <c r="AT124" s="10" t="s">
        <v>53</v>
      </c>
      <c r="AU124" s="8"/>
      <c r="AV124" s="10" t="s">
        <v>54</v>
      </c>
      <c r="AW124" s="10" t="s">
        <v>51</v>
      </c>
      <c r="AX124" s="10" t="s">
        <v>55</v>
      </c>
      <c r="AY124" s="8"/>
    </row>
    <row r="125" spans="1:51" x14ac:dyDescent="0.15">
      <c r="A125" s="11" t="s">
        <v>75</v>
      </c>
      <c r="B125" s="12" t="s">
        <v>57</v>
      </c>
      <c r="C125" s="10" t="s">
        <v>62</v>
      </c>
      <c r="D125" s="10" t="s">
        <v>63</v>
      </c>
      <c r="E125" s="9">
        <v>133</v>
      </c>
      <c r="F125" s="9">
        <v>133</v>
      </c>
      <c r="G125" s="9">
        <v>3</v>
      </c>
      <c r="H125" s="10" t="s">
        <v>63</v>
      </c>
      <c r="I125" s="9">
        <v>1</v>
      </c>
      <c r="J125" s="9">
        <v>0.73079058299481403</v>
      </c>
      <c r="K125" s="10" t="s">
        <v>51</v>
      </c>
      <c r="L125" s="9">
        <v>3</v>
      </c>
      <c r="M125" s="9">
        <v>133</v>
      </c>
      <c r="N125" s="9">
        <v>133</v>
      </c>
      <c r="O125" s="9">
        <v>19</v>
      </c>
      <c r="P125" s="9">
        <v>158.97489587499899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9">
        <v>158.96450775000301</v>
      </c>
      <c r="AD125" s="9">
        <v>158.97489587499899</v>
      </c>
      <c r="AE125" s="9">
        <v>159.461619542009</v>
      </c>
      <c r="AF125" s="9">
        <v>159.461619542009</v>
      </c>
      <c r="AG125" s="9">
        <v>159.461619542009</v>
      </c>
      <c r="AH125" s="9">
        <v>160.20497929200101</v>
      </c>
      <c r="AI125" s="10" t="s">
        <v>63</v>
      </c>
      <c r="AJ125" s="9">
        <v>1</v>
      </c>
      <c r="AK125" s="9">
        <v>0.73079058299481403</v>
      </c>
      <c r="AL125" s="10" t="s">
        <v>51</v>
      </c>
      <c r="AM125" s="8"/>
      <c r="AN125" s="8"/>
      <c r="AO125" s="8"/>
      <c r="AP125" s="8"/>
      <c r="AQ125" s="9">
        <v>2</v>
      </c>
      <c r="AR125" s="9">
        <v>1</v>
      </c>
      <c r="AS125" s="10" t="s">
        <v>52</v>
      </c>
      <c r="AT125" s="10" t="s">
        <v>53</v>
      </c>
      <c r="AU125" s="8"/>
      <c r="AV125" s="10" t="s">
        <v>54</v>
      </c>
      <c r="AW125" s="10" t="s">
        <v>51</v>
      </c>
      <c r="AX125" s="10" t="s">
        <v>55</v>
      </c>
      <c r="AY125" s="8"/>
    </row>
    <row r="126" spans="1:51" x14ac:dyDescent="0.15">
      <c r="A126" s="11" t="s">
        <v>65</v>
      </c>
      <c r="B126" s="12" t="s">
        <v>57</v>
      </c>
      <c r="C126" s="10" t="s">
        <v>58</v>
      </c>
      <c r="D126" s="10" t="s">
        <v>59</v>
      </c>
      <c r="E126" s="9">
        <v>136</v>
      </c>
      <c r="F126" s="9">
        <v>136</v>
      </c>
      <c r="G126" s="9">
        <v>1</v>
      </c>
      <c r="H126" s="10" t="s">
        <v>59</v>
      </c>
      <c r="I126" s="9">
        <v>1</v>
      </c>
      <c r="J126" s="9">
        <v>0.46332024999719601</v>
      </c>
      <c r="K126" s="10" t="s">
        <v>51</v>
      </c>
      <c r="L126" s="9">
        <v>1</v>
      </c>
      <c r="M126" s="9">
        <v>136</v>
      </c>
      <c r="N126" s="9">
        <v>136</v>
      </c>
      <c r="O126" s="9">
        <v>30</v>
      </c>
      <c r="P126" s="9">
        <v>162.24209483301101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9">
        <v>162.23159016700799</v>
      </c>
      <c r="AD126" s="9">
        <v>162.24209483301101</v>
      </c>
      <c r="AE126" s="9">
        <v>162.72808312500999</v>
      </c>
      <c r="AF126" s="9">
        <v>162.72808312500999</v>
      </c>
      <c r="AG126" s="9">
        <v>162.72808312500999</v>
      </c>
      <c r="AH126" s="9">
        <v>163.19397920800799</v>
      </c>
      <c r="AI126" s="10" t="s">
        <v>59</v>
      </c>
      <c r="AJ126" s="9">
        <v>1</v>
      </c>
      <c r="AK126" s="9">
        <v>0.46332024999719601</v>
      </c>
      <c r="AL126" s="10" t="s">
        <v>51</v>
      </c>
      <c r="AM126" s="8"/>
      <c r="AN126" s="8"/>
      <c r="AO126" s="8"/>
      <c r="AP126" s="8"/>
      <c r="AQ126" s="9">
        <v>2</v>
      </c>
      <c r="AR126" s="9">
        <v>1</v>
      </c>
      <c r="AS126" s="10" t="s">
        <v>52</v>
      </c>
      <c r="AT126" s="10" t="s">
        <v>53</v>
      </c>
      <c r="AU126" s="8"/>
      <c r="AV126" s="10" t="s">
        <v>54</v>
      </c>
      <c r="AW126" s="10" t="s">
        <v>51</v>
      </c>
      <c r="AX126" s="10" t="s">
        <v>55</v>
      </c>
      <c r="AY126" s="8"/>
    </row>
    <row r="127" spans="1:51" x14ac:dyDescent="0.15">
      <c r="A127" s="11" t="s">
        <v>68</v>
      </c>
      <c r="B127" s="12" t="s">
        <v>57</v>
      </c>
      <c r="C127" s="10" t="s">
        <v>62</v>
      </c>
      <c r="D127" s="10" t="s">
        <v>63</v>
      </c>
      <c r="E127" s="9">
        <v>138</v>
      </c>
      <c r="F127" s="9">
        <v>138</v>
      </c>
      <c r="G127" s="9">
        <v>2</v>
      </c>
      <c r="H127" s="10" t="s">
        <v>63</v>
      </c>
      <c r="I127" s="9">
        <v>1</v>
      </c>
      <c r="J127" s="9">
        <v>0.79500837500381805</v>
      </c>
      <c r="K127" s="10" t="s">
        <v>51</v>
      </c>
      <c r="L127" s="9">
        <v>2</v>
      </c>
      <c r="M127" s="9">
        <v>138</v>
      </c>
      <c r="N127" s="9">
        <v>138</v>
      </c>
      <c r="O127" s="9">
        <v>23</v>
      </c>
      <c r="P127" s="9">
        <v>164.25880700000599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9">
        <v>164.24858466700201</v>
      </c>
      <c r="AD127" s="9">
        <v>164.25880700000599</v>
      </c>
      <c r="AE127" s="9">
        <v>164.74435395799799</v>
      </c>
      <c r="AF127" s="9">
        <v>164.74435395799799</v>
      </c>
      <c r="AG127" s="9">
        <v>164.74435395799799</v>
      </c>
      <c r="AH127" s="9">
        <v>165.54386474999799</v>
      </c>
      <c r="AI127" s="10" t="s">
        <v>63</v>
      </c>
      <c r="AJ127" s="9">
        <v>1</v>
      </c>
      <c r="AK127" s="9">
        <v>0.79500837500381805</v>
      </c>
      <c r="AL127" s="10" t="s">
        <v>51</v>
      </c>
      <c r="AM127" s="8"/>
      <c r="AN127" s="8"/>
      <c r="AO127" s="8"/>
      <c r="AP127" s="8"/>
      <c r="AQ127" s="9">
        <v>2</v>
      </c>
      <c r="AR127" s="9">
        <v>1</v>
      </c>
      <c r="AS127" s="10" t="s">
        <v>52</v>
      </c>
      <c r="AT127" s="10" t="s">
        <v>53</v>
      </c>
      <c r="AU127" s="8"/>
      <c r="AV127" s="10" t="s">
        <v>54</v>
      </c>
      <c r="AW127" s="10" t="s">
        <v>51</v>
      </c>
      <c r="AX127" s="10" t="s">
        <v>55</v>
      </c>
      <c r="AY127" s="8"/>
    </row>
    <row r="128" spans="1:51" x14ac:dyDescent="0.15">
      <c r="A128" s="11" t="s">
        <v>75</v>
      </c>
      <c r="B128" s="12" t="s">
        <v>57</v>
      </c>
      <c r="C128" s="10" t="s">
        <v>58</v>
      </c>
      <c r="D128" s="10" t="s">
        <v>59</v>
      </c>
      <c r="E128" s="9">
        <v>144</v>
      </c>
      <c r="F128" s="9">
        <v>144</v>
      </c>
      <c r="G128" s="9">
        <v>3</v>
      </c>
      <c r="H128" s="10" t="s">
        <v>59</v>
      </c>
      <c r="I128" s="9">
        <v>1</v>
      </c>
      <c r="J128" s="9">
        <v>0.52758608300064203</v>
      </c>
      <c r="K128" s="10" t="s">
        <v>51</v>
      </c>
      <c r="L128" s="9">
        <v>3</v>
      </c>
      <c r="M128" s="9">
        <v>144</v>
      </c>
      <c r="N128" s="9">
        <v>144</v>
      </c>
      <c r="O128" s="9">
        <v>18</v>
      </c>
      <c r="P128" s="9">
        <v>171.20099020800299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9">
        <v>171.19283137501</v>
      </c>
      <c r="AD128" s="9">
        <v>171.20099020800299</v>
      </c>
      <c r="AE128" s="9">
        <v>171.686913583006</v>
      </c>
      <c r="AF128" s="9">
        <v>171.686913583006</v>
      </c>
      <c r="AG128" s="9">
        <v>171.686913583006</v>
      </c>
      <c r="AH128" s="9">
        <v>172.22248595800201</v>
      </c>
      <c r="AI128" s="10" t="s">
        <v>59</v>
      </c>
      <c r="AJ128" s="9">
        <v>1</v>
      </c>
      <c r="AK128" s="9">
        <v>0.52758608300064203</v>
      </c>
      <c r="AL128" s="10" t="s">
        <v>51</v>
      </c>
      <c r="AM128" s="8"/>
      <c r="AN128" s="8"/>
      <c r="AO128" s="8"/>
      <c r="AP128" s="8"/>
      <c r="AQ128" s="9">
        <v>2</v>
      </c>
      <c r="AR128" s="9">
        <v>1</v>
      </c>
      <c r="AS128" s="10" t="s">
        <v>52</v>
      </c>
      <c r="AT128" s="10" t="s">
        <v>53</v>
      </c>
      <c r="AU128" s="8"/>
      <c r="AV128" s="10" t="s">
        <v>54</v>
      </c>
      <c r="AW128" s="10" t="s">
        <v>51</v>
      </c>
      <c r="AX128" s="10" t="s">
        <v>55</v>
      </c>
      <c r="AY128" s="8"/>
    </row>
    <row r="129" spans="1:51" x14ac:dyDescent="0.15">
      <c r="A129" s="11" t="s">
        <v>72</v>
      </c>
      <c r="B129" s="12" t="s">
        <v>57</v>
      </c>
      <c r="C129" s="10" t="s">
        <v>62</v>
      </c>
      <c r="D129" s="10" t="s">
        <v>63</v>
      </c>
      <c r="E129" s="9">
        <v>150</v>
      </c>
      <c r="F129" s="9">
        <v>150</v>
      </c>
      <c r="G129" s="9">
        <v>2</v>
      </c>
      <c r="H129" s="10" t="s">
        <v>63</v>
      </c>
      <c r="I129" s="9">
        <v>1</v>
      </c>
      <c r="J129" s="9">
        <v>0.87427037399902496</v>
      </c>
      <c r="K129" s="10" t="s">
        <v>51</v>
      </c>
      <c r="L129" s="9">
        <v>2</v>
      </c>
      <c r="M129" s="9">
        <v>150</v>
      </c>
      <c r="N129" s="9">
        <v>150</v>
      </c>
      <c r="O129" s="9">
        <v>25</v>
      </c>
      <c r="P129" s="9">
        <v>177.75265929200401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9">
        <v>177.744802625006</v>
      </c>
      <c r="AD129" s="9">
        <v>177.75265929200401</v>
      </c>
      <c r="AE129" s="9">
        <v>178.23732304200499</v>
      </c>
      <c r="AF129" s="9">
        <v>178.23732304200499</v>
      </c>
      <c r="AG129" s="9">
        <v>178.23732304200499</v>
      </c>
      <c r="AH129" s="9">
        <v>179.122529250002</v>
      </c>
      <c r="AI129" s="10" t="s">
        <v>63</v>
      </c>
      <c r="AJ129" s="9">
        <v>1</v>
      </c>
      <c r="AK129" s="9">
        <v>0.87427037399902496</v>
      </c>
      <c r="AL129" s="10" t="s">
        <v>51</v>
      </c>
      <c r="AM129" s="8"/>
      <c r="AN129" s="8"/>
      <c r="AO129" s="8"/>
      <c r="AP129" s="8"/>
      <c r="AQ129" s="9">
        <v>2</v>
      </c>
      <c r="AR129" s="9">
        <v>1</v>
      </c>
      <c r="AS129" s="10" t="s">
        <v>52</v>
      </c>
      <c r="AT129" s="10" t="s">
        <v>53</v>
      </c>
      <c r="AU129" s="8"/>
      <c r="AV129" s="10" t="s">
        <v>54</v>
      </c>
      <c r="AW129" s="10" t="s">
        <v>51</v>
      </c>
      <c r="AX129" s="10" t="s">
        <v>55</v>
      </c>
      <c r="AY129" s="8"/>
    </row>
    <row r="130" spans="1:51" x14ac:dyDescent="0.15">
      <c r="A130" s="11" t="s">
        <v>65</v>
      </c>
      <c r="B130" s="12" t="s">
        <v>57</v>
      </c>
      <c r="C130" s="10" t="s">
        <v>62</v>
      </c>
      <c r="D130" s="10" t="s">
        <v>63</v>
      </c>
      <c r="E130" s="9">
        <v>153</v>
      </c>
      <c r="F130" s="9">
        <v>153</v>
      </c>
      <c r="G130" s="9">
        <v>4</v>
      </c>
      <c r="H130" s="10" t="s">
        <v>63</v>
      </c>
      <c r="I130" s="9">
        <v>1</v>
      </c>
      <c r="J130" s="9">
        <v>1.59050770799513</v>
      </c>
      <c r="K130" s="10" t="s">
        <v>51</v>
      </c>
      <c r="L130" s="9">
        <v>4</v>
      </c>
      <c r="M130" s="9">
        <v>153</v>
      </c>
      <c r="N130" s="9">
        <v>153</v>
      </c>
      <c r="O130" s="9">
        <v>31</v>
      </c>
      <c r="P130" s="9">
        <v>181.34224587499901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9">
        <v>181.332134583005</v>
      </c>
      <c r="AD130" s="9">
        <v>181.34224587499901</v>
      </c>
      <c r="AE130" s="9">
        <v>181.82838666700999</v>
      </c>
      <c r="AF130" s="9">
        <v>181.82838666700999</v>
      </c>
      <c r="AG130" s="9">
        <v>181.82838666700999</v>
      </c>
      <c r="AH130" s="9">
        <v>183.422629083012</v>
      </c>
      <c r="AI130" s="10" t="s">
        <v>63</v>
      </c>
      <c r="AJ130" s="9">
        <v>1</v>
      </c>
      <c r="AK130" s="9">
        <v>1.59050770799513</v>
      </c>
      <c r="AL130" s="10" t="s">
        <v>51</v>
      </c>
      <c r="AM130" s="8"/>
      <c r="AN130" s="8"/>
      <c r="AO130" s="8"/>
      <c r="AP130" s="8"/>
      <c r="AQ130" s="9">
        <v>2</v>
      </c>
      <c r="AR130" s="9">
        <v>1</v>
      </c>
      <c r="AS130" s="10" t="s">
        <v>52</v>
      </c>
      <c r="AT130" s="10" t="s">
        <v>53</v>
      </c>
      <c r="AU130" s="8"/>
      <c r="AV130" s="10" t="s">
        <v>54</v>
      </c>
      <c r="AW130" s="10" t="s">
        <v>51</v>
      </c>
      <c r="AX130" s="10" t="s">
        <v>55</v>
      </c>
      <c r="AY130" s="8"/>
    </row>
    <row r="131" spans="1:51" x14ac:dyDescent="0.15">
      <c r="A131" s="11" t="s">
        <v>68</v>
      </c>
      <c r="B131" s="12" t="s">
        <v>57</v>
      </c>
      <c r="C131" s="10" t="s">
        <v>58</v>
      </c>
      <c r="D131" s="10" t="s">
        <v>59</v>
      </c>
      <c r="E131" s="9">
        <v>156</v>
      </c>
      <c r="F131" s="9">
        <v>156</v>
      </c>
      <c r="G131" s="9">
        <v>2</v>
      </c>
      <c r="H131" s="10" t="s">
        <v>59</v>
      </c>
      <c r="I131" s="9">
        <v>1</v>
      </c>
      <c r="J131" s="9">
        <v>0.822834249993321</v>
      </c>
      <c r="K131" s="10" t="s">
        <v>51</v>
      </c>
      <c r="L131" s="9">
        <v>2</v>
      </c>
      <c r="M131" s="9">
        <v>156</v>
      </c>
      <c r="N131" s="9">
        <v>156</v>
      </c>
      <c r="O131" s="9">
        <v>22</v>
      </c>
      <c r="P131" s="9">
        <v>186.036245667012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9">
        <v>186.02812591700101</v>
      </c>
      <c r="AD131" s="9">
        <v>186.036245667012</v>
      </c>
      <c r="AE131" s="9">
        <v>186.520911583008</v>
      </c>
      <c r="AF131" s="9">
        <v>186.520911583008</v>
      </c>
      <c r="AG131" s="9">
        <v>186.520911583008</v>
      </c>
      <c r="AH131" s="9">
        <v>187.35585320800601</v>
      </c>
      <c r="AI131" s="10" t="s">
        <v>59</v>
      </c>
      <c r="AJ131" s="9">
        <v>1</v>
      </c>
      <c r="AK131" s="9">
        <v>0.822834249993321</v>
      </c>
      <c r="AL131" s="10" t="s">
        <v>51</v>
      </c>
      <c r="AM131" s="8"/>
      <c r="AN131" s="8"/>
      <c r="AO131" s="8"/>
      <c r="AP131" s="8"/>
      <c r="AQ131" s="9">
        <v>2</v>
      </c>
      <c r="AR131" s="9">
        <v>1</v>
      </c>
      <c r="AS131" s="10" t="s">
        <v>52</v>
      </c>
      <c r="AT131" s="10" t="s">
        <v>53</v>
      </c>
      <c r="AU131" s="8"/>
      <c r="AV131" s="10" t="s">
        <v>54</v>
      </c>
      <c r="AW131" s="10" t="s">
        <v>51</v>
      </c>
      <c r="AX131" s="10" t="s">
        <v>55</v>
      </c>
      <c r="AY131" s="8"/>
    </row>
    <row r="132" spans="1:51" x14ac:dyDescent="0.15">
      <c r="A132" s="11" t="s">
        <v>56</v>
      </c>
      <c r="B132" s="12" t="s">
        <v>57</v>
      </c>
      <c r="C132" s="10" t="s">
        <v>62</v>
      </c>
      <c r="D132" s="10" t="s">
        <v>63</v>
      </c>
      <c r="E132" s="9">
        <v>163</v>
      </c>
      <c r="F132" s="9">
        <v>163</v>
      </c>
      <c r="G132" s="9">
        <v>0</v>
      </c>
      <c r="H132" s="10" t="s">
        <v>63</v>
      </c>
      <c r="I132" s="9">
        <v>1</v>
      </c>
      <c r="J132" s="9">
        <v>0.37865233299089601</v>
      </c>
      <c r="K132" s="10" t="s">
        <v>51</v>
      </c>
      <c r="L132" s="9">
        <v>0</v>
      </c>
      <c r="M132" s="9">
        <v>163</v>
      </c>
      <c r="N132" s="9">
        <v>163</v>
      </c>
      <c r="O132" s="9">
        <v>17</v>
      </c>
      <c r="P132" s="9">
        <v>193.925906792007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9">
        <v>193.91570012499901</v>
      </c>
      <c r="AD132" s="9">
        <v>193.925906792007</v>
      </c>
      <c r="AE132" s="9">
        <v>194.412077792003</v>
      </c>
      <c r="AF132" s="9">
        <v>194.412077792003</v>
      </c>
      <c r="AG132" s="9">
        <v>194.412077792003</v>
      </c>
      <c r="AH132" s="9">
        <v>194.794912500001</v>
      </c>
      <c r="AI132" s="10" t="s">
        <v>63</v>
      </c>
      <c r="AJ132" s="9">
        <v>1</v>
      </c>
      <c r="AK132" s="9">
        <v>0.37865233299089601</v>
      </c>
      <c r="AL132" s="10" t="s">
        <v>51</v>
      </c>
      <c r="AM132" s="8"/>
      <c r="AN132" s="8"/>
      <c r="AO132" s="8"/>
      <c r="AP132" s="8"/>
      <c r="AQ132" s="9">
        <v>2</v>
      </c>
      <c r="AR132" s="9">
        <v>1</v>
      </c>
      <c r="AS132" s="10" t="s">
        <v>52</v>
      </c>
      <c r="AT132" s="10" t="s">
        <v>53</v>
      </c>
      <c r="AU132" s="8"/>
      <c r="AV132" s="10" t="s">
        <v>54</v>
      </c>
      <c r="AW132" s="10" t="s">
        <v>51</v>
      </c>
      <c r="AX132" s="10" t="s">
        <v>55</v>
      </c>
      <c r="AY132" s="8"/>
    </row>
    <row r="133" spans="1:51" x14ac:dyDescent="0.15">
      <c r="A133" s="11" t="s">
        <v>68</v>
      </c>
      <c r="B133" s="12" t="s">
        <v>57</v>
      </c>
      <c r="C133" s="10" t="s">
        <v>58</v>
      </c>
      <c r="D133" s="10" t="s">
        <v>59</v>
      </c>
      <c r="E133" s="9">
        <v>171</v>
      </c>
      <c r="F133" s="9">
        <v>171</v>
      </c>
      <c r="G133" s="9">
        <v>3</v>
      </c>
      <c r="H133" s="10" t="s">
        <v>59</v>
      </c>
      <c r="I133" s="9">
        <v>1</v>
      </c>
      <c r="J133" s="9">
        <v>0.37381533299048902</v>
      </c>
      <c r="K133" s="10" t="s">
        <v>51</v>
      </c>
      <c r="L133" s="9">
        <v>3</v>
      </c>
      <c r="M133" s="9">
        <v>171</v>
      </c>
      <c r="N133" s="9">
        <v>171</v>
      </c>
      <c r="O133" s="9">
        <v>22</v>
      </c>
      <c r="P133" s="9">
        <v>202.28613095800401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9">
        <v>202.278425042008</v>
      </c>
      <c r="AD133" s="9">
        <v>202.28613095800401</v>
      </c>
      <c r="AE133" s="9">
        <v>202.771203791999</v>
      </c>
      <c r="AF133" s="9">
        <v>202.771203791999</v>
      </c>
      <c r="AG133" s="9">
        <v>202.771203791999</v>
      </c>
      <c r="AH133" s="9">
        <v>203.15650224999999</v>
      </c>
      <c r="AI133" s="10" t="s">
        <v>59</v>
      </c>
      <c r="AJ133" s="9">
        <v>1</v>
      </c>
      <c r="AK133" s="9">
        <v>0.37381533299048902</v>
      </c>
      <c r="AL133" s="10" t="s">
        <v>51</v>
      </c>
      <c r="AM133" s="8"/>
      <c r="AN133" s="8"/>
      <c r="AO133" s="8"/>
      <c r="AP133" s="8"/>
      <c r="AQ133" s="9">
        <v>2</v>
      </c>
      <c r="AR133" s="9">
        <v>1</v>
      </c>
      <c r="AS133" s="10" t="s">
        <v>52</v>
      </c>
      <c r="AT133" s="10" t="s">
        <v>53</v>
      </c>
      <c r="AU133" s="8"/>
      <c r="AV133" s="10" t="s">
        <v>54</v>
      </c>
      <c r="AW133" s="10" t="s">
        <v>51</v>
      </c>
      <c r="AX133" s="10" t="s">
        <v>55</v>
      </c>
      <c r="AY133" s="8"/>
    </row>
    <row r="134" spans="1:51" x14ac:dyDescent="0.15">
      <c r="A134" s="11" t="s">
        <v>72</v>
      </c>
      <c r="B134" s="12" t="s">
        <v>57</v>
      </c>
      <c r="C134" s="10" t="s">
        <v>58</v>
      </c>
      <c r="D134" s="10" t="s">
        <v>59</v>
      </c>
      <c r="E134" s="9">
        <v>176</v>
      </c>
      <c r="F134" s="9">
        <v>176</v>
      </c>
      <c r="G134" s="9">
        <v>3</v>
      </c>
      <c r="H134" s="10" t="s">
        <v>59</v>
      </c>
      <c r="I134" s="9">
        <v>1</v>
      </c>
      <c r="J134" s="9">
        <v>0.560046083002817</v>
      </c>
      <c r="K134" s="10" t="s">
        <v>51</v>
      </c>
      <c r="L134" s="9">
        <v>3</v>
      </c>
      <c r="M134" s="9">
        <v>176</v>
      </c>
      <c r="N134" s="9">
        <v>176</v>
      </c>
      <c r="O134" s="9">
        <v>24</v>
      </c>
      <c r="P134" s="9">
        <v>207.02005458300101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9">
        <v>207.011664000005</v>
      </c>
      <c r="AD134" s="9">
        <v>207.02005458300101</v>
      </c>
      <c r="AE134" s="9">
        <v>207.505020000011</v>
      </c>
      <c r="AF134" s="9">
        <v>207.505020000011</v>
      </c>
      <c r="AG134" s="9">
        <v>207.505020000011</v>
      </c>
      <c r="AH134" s="9">
        <v>208.07336258300299</v>
      </c>
      <c r="AI134" s="10" t="s">
        <v>59</v>
      </c>
      <c r="AJ134" s="9">
        <v>1</v>
      </c>
      <c r="AK134" s="9">
        <v>0.560046083002817</v>
      </c>
      <c r="AL134" s="10" t="s">
        <v>51</v>
      </c>
      <c r="AM134" s="8"/>
      <c r="AN134" s="8"/>
      <c r="AO134" s="8"/>
      <c r="AP134" s="8"/>
      <c r="AQ134" s="9">
        <v>2</v>
      </c>
      <c r="AR134" s="9">
        <v>1</v>
      </c>
      <c r="AS134" s="10" t="s">
        <v>52</v>
      </c>
      <c r="AT134" s="10" t="s">
        <v>53</v>
      </c>
      <c r="AU134" s="8"/>
      <c r="AV134" s="10" t="s">
        <v>54</v>
      </c>
      <c r="AW134" s="10" t="s">
        <v>51</v>
      </c>
      <c r="AX134" s="10" t="s">
        <v>55</v>
      </c>
      <c r="AY134" s="8"/>
    </row>
    <row r="135" spans="1:51" x14ac:dyDescent="0.15">
      <c r="A135" s="11" t="s">
        <v>71</v>
      </c>
      <c r="B135" s="12" t="s">
        <v>57</v>
      </c>
      <c r="C135" s="10" t="s">
        <v>58</v>
      </c>
      <c r="D135" s="10" t="s">
        <v>59</v>
      </c>
      <c r="E135" s="9">
        <v>177</v>
      </c>
      <c r="F135" s="9">
        <v>177</v>
      </c>
      <c r="G135" s="9">
        <v>4</v>
      </c>
      <c r="H135" s="10" t="s">
        <v>59</v>
      </c>
      <c r="I135" s="9">
        <v>1</v>
      </c>
      <c r="J135" s="9">
        <v>0.33535216700693099</v>
      </c>
      <c r="K135" s="10" t="s">
        <v>51</v>
      </c>
      <c r="L135" s="9">
        <v>4</v>
      </c>
      <c r="M135" s="9">
        <v>177</v>
      </c>
      <c r="N135" s="9">
        <v>177</v>
      </c>
      <c r="O135" s="9">
        <v>28</v>
      </c>
      <c r="P135" s="9">
        <v>208.08796025000601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9">
        <v>208.079577417011</v>
      </c>
      <c r="AD135" s="9">
        <v>208.08796025000601</v>
      </c>
      <c r="AE135" s="9">
        <v>208.57165458300699</v>
      </c>
      <c r="AF135" s="9">
        <v>208.57165458300699</v>
      </c>
      <c r="AG135" s="9">
        <v>208.57165458300699</v>
      </c>
      <c r="AH135" s="9">
        <v>208.91206554201199</v>
      </c>
      <c r="AI135" s="10" t="s">
        <v>59</v>
      </c>
      <c r="AJ135" s="9">
        <v>1</v>
      </c>
      <c r="AK135" s="9">
        <v>0.33535216700693099</v>
      </c>
      <c r="AL135" s="10" t="s">
        <v>51</v>
      </c>
      <c r="AM135" s="8"/>
      <c r="AN135" s="8"/>
      <c r="AO135" s="8"/>
      <c r="AP135" s="8"/>
      <c r="AQ135" s="9">
        <v>2</v>
      </c>
      <c r="AR135" s="9">
        <v>1</v>
      </c>
      <c r="AS135" s="10" t="s">
        <v>52</v>
      </c>
      <c r="AT135" s="10" t="s">
        <v>53</v>
      </c>
      <c r="AU135" s="8"/>
      <c r="AV135" s="10" t="s">
        <v>54</v>
      </c>
      <c r="AW135" s="10" t="s">
        <v>51</v>
      </c>
      <c r="AX135" s="10" t="s">
        <v>55</v>
      </c>
      <c r="AY135" s="8"/>
    </row>
    <row r="136" spans="1:51" x14ac:dyDescent="0.15">
      <c r="A136" s="11" t="s">
        <v>56</v>
      </c>
      <c r="B136" s="12" t="s">
        <v>57</v>
      </c>
      <c r="C136" s="10" t="s">
        <v>62</v>
      </c>
      <c r="D136" s="10" t="s">
        <v>63</v>
      </c>
      <c r="E136" s="9">
        <v>178</v>
      </c>
      <c r="F136" s="9">
        <v>178</v>
      </c>
      <c r="G136" s="9">
        <v>1</v>
      </c>
      <c r="H136" s="10" t="s">
        <v>63</v>
      </c>
      <c r="I136" s="9">
        <v>1</v>
      </c>
      <c r="J136" s="9">
        <v>0.70743641701119497</v>
      </c>
      <c r="K136" s="10" t="s">
        <v>51</v>
      </c>
      <c r="L136" s="9">
        <v>1</v>
      </c>
      <c r="M136" s="9">
        <v>178</v>
      </c>
      <c r="N136" s="9">
        <v>178</v>
      </c>
      <c r="O136" s="9">
        <v>17</v>
      </c>
      <c r="P136" s="9">
        <v>208.92602408300399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9">
        <v>208.91667558300799</v>
      </c>
      <c r="AD136" s="9">
        <v>208.92602408300399</v>
      </c>
      <c r="AE136" s="9">
        <v>209.41275950000301</v>
      </c>
      <c r="AF136" s="9">
        <v>209.41275950000301</v>
      </c>
      <c r="AG136" s="9">
        <v>209.41275950000301</v>
      </c>
      <c r="AH136" s="9">
        <v>210.12338908300401</v>
      </c>
      <c r="AI136" s="10" t="s">
        <v>63</v>
      </c>
      <c r="AJ136" s="9">
        <v>1</v>
      </c>
      <c r="AK136" s="9">
        <v>0.70743641701119497</v>
      </c>
      <c r="AL136" s="10" t="s">
        <v>51</v>
      </c>
      <c r="AM136" s="8"/>
      <c r="AN136" s="8"/>
      <c r="AO136" s="8"/>
      <c r="AP136" s="8"/>
      <c r="AQ136" s="9">
        <v>2</v>
      </c>
      <c r="AR136" s="9">
        <v>1</v>
      </c>
      <c r="AS136" s="10" t="s">
        <v>52</v>
      </c>
      <c r="AT136" s="10" t="s">
        <v>53</v>
      </c>
      <c r="AU136" s="8"/>
      <c r="AV136" s="10" t="s">
        <v>54</v>
      </c>
      <c r="AW136" s="10" t="s">
        <v>51</v>
      </c>
      <c r="AX136" s="10" t="s">
        <v>55</v>
      </c>
      <c r="AY136" s="8"/>
    </row>
    <row r="137" spans="1:51" x14ac:dyDescent="0.15">
      <c r="A137" s="11" t="s">
        <v>56</v>
      </c>
      <c r="B137" s="12" t="s">
        <v>57</v>
      </c>
      <c r="C137" s="10" t="s">
        <v>62</v>
      </c>
      <c r="D137" s="10" t="s">
        <v>63</v>
      </c>
      <c r="E137" s="9">
        <v>179</v>
      </c>
      <c r="F137" s="9">
        <v>179</v>
      </c>
      <c r="G137" s="9">
        <v>2</v>
      </c>
      <c r="H137" s="10" t="s">
        <v>63</v>
      </c>
      <c r="I137" s="9">
        <v>1</v>
      </c>
      <c r="J137" s="9">
        <v>0.45336450000468198</v>
      </c>
      <c r="K137" s="10" t="s">
        <v>51</v>
      </c>
      <c r="L137" s="9">
        <v>2</v>
      </c>
      <c r="M137" s="9">
        <v>179</v>
      </c>
      <c r="N137" s="9">
        <v>179</v>
      </c>
      <c r="O137" s="9">
        <v>17</v>
      </c>
      <c r="P137" s="9">
        <v>210.13273229201201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9">
        <v>210.12440641700201</v>
      </c>
      <c r="AD137" s="9">
        <v>210.13273229201201</v>
      </c>
      <c r="AE137" s="9">
        <v>210.62168708300999</v>
      </c>
      <c r="AF137" s="9">
        <v>210.62168708300999</v>
      </c>
      <c r="AG137" s="9">
        <v>210.62168708300999</v>
      </c>
      <c r="AH137" s="9">
        <v>211.07834529199999</v>
      </c>
      <c r="AI137" s="10" t="s">
        <v>63</v>
      </c>
      <c r="AJ137" s="9">
        <v>1</v>
      </c>
      <c r="AK137" s="9">
        <v>0.45336450000468198</v>
      </c>
      <c r="AL137" s="10" t="s">
        <v>51</v>
      </c>
      <c r="AM137" s="8"/>
      <c r="AN137" s="8"/>
      <c r="AO137" s="8"/>
      <c r="AP137" s="8"/>
      <c r="AQ137" s="9">
        <v>2</v>
      </c>
      <c r="AR137" s="9">
        <v>1</v>
      </c>
      <c r="AS137" s="10" t="s">
        <v>52</v>
      </c>
      <c r="AT137" s="10" t="s">
        <v>53</v>
      </c>
      <c r="AU137" s="8"/>
      <c r="AV137" s="10" t="s">
        <v>54</v>
      </c>
      <c r="AW137" s="10" t="s">
        <v>51</v>
      </c>
      <c r="AX137" s="10" t="s">
        <v>55</v>
      </c>
      <c r="AY137" s="8"/>
    </row>
    <row r="138" spans="1:51" x14ac:dyDescent="0.15">
      <c r="A138" s="11" t="s">
        <v>84</v>
      </c>
      <c r="B138" s="12" t="s">
        <v>57</v>
      </c>
      <c r="C138" s="10" t="s">
        <v>58</v>
      </c>
      <c r="D138" s="10" t="s">
        <v>59</v>
      </c>
      <c r="E138" s="9">
        <v>182</v>
      </c>
      <c r="F138" s="9">
        <v>182</v>
      </c>
      <c r="G138" s="9">
        <v>1</v>
      </c>
      <c r="H138" s="10" t="s">
        <v>59</v>
      </c>
      <c r="I138" s="9">
        <v>1</v>
      </c>
      <c r="J138" s="9">
        <v>0.32349299899942702</v>
      </c>
      <c r="K138" s="10" t="s">
        <v>51</v>
      </c>
      <c r="L138" s="9">
        <v>1</v>
      </c>
      <c r="M138" s="9">
        <v>182</v>
      </c>
      <c r="N138" s="9">
        <v>182</v>
      </c>
      <c r="O138" s="9">
        <v>20</v>
      </c>
      <c r="P138" s="9">
        <v>212.85329337501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9">
        <v>212.844954917004</v>
      </c>
      <c r="AD138" s="9">
        <v>212.85329337501</v>
      </c>
      <c r="AE138" s="9">
        <v>213.33859637500399</v>
      </c>
      <c r="AF138" s="9">
        <v>213.33859637500399</v>
      </c>
      <c r="AG138" s="9">
        <v>213.33859637500399</v>
      </c>
      <c r="AH138" s="9">
        <v>213.673494875009</v>
      </c>
      <c r="AI138" s="10" t="s">
        <v>59</v>
      </c>
      <c r="AJ138" s="9">
        <v>1</v>
      </c>
      <c r="AK138" s="9">
        <v>0.32349299899942702</v>
      </c>
      <c r="AL138" s="10" t="s">
        <v>51</v>
      </c>
      <c r="AM138" s="8"/>
      <c r="AN138" s="8"/>
      <c r="AO138" s="8"/>
      <c r="AP138" s="8"/>
      <c r="AQ138" s="9">
        <v>2</v>
      </c>
      <c r="AR138" s="9">
        <v>1</v>
      </c>
      <c r="AS138" s="10" t="s">
        <v>52</v>
      </c>
      <c r="AT138" s="10" t="s">
        <v>53</v>
      </c>
      <c r="AU138" s="8"/>
      <c r="AV138" s="10" t="s">
        <v>54</v>
      </c>
      <c r="AW138" s="10" t="s">
        <v>51</v>
      </c>
      <c r="AX138" s="10" t="s">
        <v>55</v>
      </c>
      <c r="AY138" s="8"/>
    </row>
    <row r="139" spans="1:51" x14ac:dyDescent="0.15">
      <c r="A139" s="11" t="s">
        <v>56</v>
      </c>
      <c r="B139" s="12" t="s">
        <v>57</v>
      </c>
      <c r="C139" s="10" t="s">
        <v>62</v>
      </c>
      <c r="D139" s="10" t="s">
        <v>63</v>
      </c>
      <c r="E139" s="9">
        <v>184</v>
      </c>
      <c r="F139" s="9">
        <v>184</v>
      </c>
      <c r="G139" s="9">
        <v>3</v>
      </c>
      <c r="H139" s="10" t="s">
        <v>63</v>
      </c>
      <c r="I139" s="9">
        <v>1</v>
      </c>
      <c r="J139" s="9">
        <v>0.51967129099648501</v>
      </c>
      <c r="K139" s="10" t="s">
        <v>51</v>
      </c>
      <c r="L139" s="9">
        <v>3</v>
      </c>
      <c r="M139" s="9">
        <v>184</v>
      </c>
      <c r="N139" s="9">
        <v>184</v>
      </c>
      <c r="O139" s="9">
        <v>17</v>
      </c>
      <c r="P139" s="9">
        <v>214.60367804201101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9">
        <v>214.59536920800701</v>
      </c>
      <c r="AD139" s="9">
        <v>214.60367804201101</v>
      </c>
      <c r="AE139" s="9">
        <v>215.08844137500299</v>
      </c>
      <c r="AF139" s="9">
        <v>215.08844137500299</v>
      </c>
      <c r="AG139" s="9">
        <v>215.08844137500299</v>
      </c>
      <c r="AH139" s="9">
        <v>215.612063083012</v>
      </c>
      <c r="AI139" s="10" t="s">
        <v>63</v>
      </c>
      <c r="AJ139" s="9">
        <v>1</v>
      </c>
      <c r="AK139" s="9">
        <v>0.51967129099648501</v>
      </c>
      <c r="AL139" s="10" t="s">
        <v>51</v>
      </c>
      <c r="AM139" s="8"/>
      <c r="AN139" s="8"/>
      <c r="AO139" s="8"/>
      <c r="AP139" s="8"/>
      <c r="AQ139" s="9">
        <v>2</v>
      </c>
      <c r="AR139" s="9">
        <v>1</v>
      </c>
      <c r="AS139" s="10" t="s">
        <v>52</v>
      </c>
      <c r="AT139" s="10" t="s">
        <v>53</v>
      </c>
      <c r="AU139" s="8"/>
      <c r="AV139" s="10" t="s">
        <v>54</v>
      </c>
      <c r="AW139" s="10" t="s">
        <v>51</v>
      </c>
      <c r="AX139" s="10" t="s">
        <v>55</v>
      </c>
      <c r="AY139" s="8"/>
    </row>
    <row r="140" spans="1:51" x14ac:dyDescent="0.15">
      <c r="A140" s="11" t="s">
        <v>56</v>
      </c>
      <c r="B140" s="12" t="s">
        <v>57</v>
      </c>
      <c r="C140" s="10" t="s">
        <v>58</v>
      </c>
      <c r="D140" s="10" t="s">
        <v>59</v>
      </c>
      <c r="E140" s="9">
        <v>185</v>
      </c>
      <c r="F140" s="9">
        <v>185</v>
      </c>
      <c r="G140" s="9">
        <v>3</v>
      </c>
      <c r="H140" s="10" t="s">
        <v>59</v>
      </c>
      <c r="I140" s="9">
        <v>1</v>
      </c>
      <c r="J140" s="9">
        <v>0.45869320799829399</v>
      </c>
      <c r="K140" s="10" t="s">
        <v>51</v>
      </c>
      <c r="L140" s="9">
        <v>3</v>
      </c>
      <c r="M140" s="9">
        <v>185</v>
      </c>
      <c r="N140" s="9">
        <v>185</v>
      </c>
      <c r="O140" s="9">
        <v>16</v>
      </c>
      <c r="P140" s="9">
        <v>215.621534582999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9">
        <v>215.61297295799901</v>
      </c>
      <c r="AD140" s="9">
        <v>215.621534582999</v>
      </c>
      <c r="AE140" s="9">
        <v>216.11250450000799</v>
      </c>
      <c r="AF140" s="9">
        <v>216.11250450000799</v>
      </c>
      <c r="AG140" s="9">
        <v>216.11250450000799</v>
      </c>
      <c r="AH140" s="9">
        <v>216.57373762500399</v>
      </c>
      <c r="AI140" s="10" t="s">
        <v>59</v>
      </c>
      <c r="AJ140" s="9">
        <v>1</v>
      </c>
      <c r="AK140" s="9">
        <v>0.45869320799829399</v>
      </c>
      <c r="AL140" s="10" t="s">
        <v>51</v>
      </c>
      <c r="AM140" s="8"/>
      <c r="AN140" s="8"/>
      <c r="AO140" s="8"/>
      <c r="AP140" s="8"/>
      <c r="AQ140" s="9">
        <v>2</v>
      </c>
      <c r="AR140" s="9">
        <v>1</v>
      </c>
      <c r="AS140" s="10" t="s">
        <v>52</v>
      </c>
      <c r="AT140" s="10" t="s">
        <v>53</v>
      </c>
      <c r="AU140" s="8"/>
      <c r="AV140" s="10" t="s">
        <v>54</v>
      </c>
      <c r="AW140" s="10" t="s">
        <v>51</v>
      </c>
      <c r="AX140" s="10" t="s">
        <v>55</v>
      </c>
      <c r="AY140" s="8"/>
    </row>
    <row r="141" spans="1:51" x14ac:dyDescent="0.15">
      <c r="A141" s="11" t="s">
        <v>84</v>
      </c>
      <c r="B141" s="12" t="s">
        <v>57</v>
      </c>
      <c r="C141" s="10" t="s">
        <v>58</v>
      </c>
      <c r="D141" s="10" t="s">
        <v>59</v>
      </c>
      <c r="E141" s="9">
        <v>188</v>
      </c>
      <c r="F141" s="9">
        <v>188</v>
      </c>
      <c r="G141" s="9">
        <v>2</v>
      </c>
      <c r="H141" s="10" t="s">
        <v>59</v>
      </c>
      <c r="I141" s="9">
        <v>1</v>
      </c>
      <c r="J141" s="9">
        <v>0.39916954201180499</v>
      </c>
      <c r="K141" s="10" t="s">
        <v>51</v>
      </c>
      <c r="L141" s="9">
        <v>2</v>
      </c>
      <c r="M141" s="9">
        <v>188</v>
      </c>
      <c r="N141" s="9">
        <v>188</v>
      </c>
      <c r="O141" s="9">
        <v>20</v>
      </c>
      <c r="P141" s="9">
        <v>218.486558250006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9">
        <v>218.478350417005</v>
      </c>
      <c r="AD141" s="9">
        <v>218.486558250006</v>
      </c>
      <c r="AE141" s="9">
        <v>218.972101042004</v>
      </c>
      <c r="AF141" s="9">
        <v>218.972101042004</v>
      </c>
      <c r="AG141" s="9">
        <v>218.972101042004</v>
      </c>
      <c r="AH141" s="9">
        <v>219.373687125</v>
      </c>
      <c r="AI141" s="10" t="s">
        <v>59</v>
      </c>
      <c r="AJ141" s="9">
        <v>1</v>
      </c>
      <c r="AK141" s="9">
        <v>0.39916954201180499</v>
      </c>
      <c r="AL141" s="10" t="s">
        <v>51</v>
      </c>
      <c r="AM141" s="8"/>
      <c r="AN141" s="8"/>
      <c r="AO141" s="8"/>
      <c r="AP141" s="8"/>
      <c r="AQ141" s="9">
        <v>2</v>
      </c>
      <c r="AR141" s="9">
        <v>1</v>
      </c>
      <c r="AS141" s="10" t="s">
        <v>52</v>
      </c>
      <c r="AT141" s="10" t="s">
        <v>53</v>
      </c>
      <c r="AU141" s="8"/>
      <c r="AV141" s="10" t="s">
        <v>54</v>
      </c>
      <c r="AW141" s="10" t="s">
        <v>51</v>
      </c>
      <c r="AX141" s="10" t="s">
        <v>55</v>
      </c>
      <c r="AY141" s="8"/>
    </row>
    <row r="142" spans="1:51" x14ac:dyDescent="0.15">
      <c r="A142" s="11" t="s">
        <v>84</v>
      </c>
      <c r="B142" s="12" t="s">
        <v>57</v>
      </c>
      <c r="C142" s="10" t="s">
        <v>58</v>
      </c>
      <c r="D142" s="10" t="s">
        <v>59</v>
      </c>
      <c r="E142" s="9">
        <v>189</v>
      </c>
      <c r="F142" s="9">
        <v>189</v>
      </c>
      <c r="G142" s="9">
        <v>3</v>
      </c>
      <c r="H142" s="10" t="s">
        <v>59</v>
      </c>
      <c r="I142" s="9">
        <v>1</v>
      </c>
      <c r="J142" s="9">
        <v>0.40529637399595198</v>
      </c>
      <c r="K142" s="10" t="s">
        <v>51</v>
      </c>
      <c r="L142" s="9">
        <v>3</v>
      </c>
      <c r="M142" s="9">
        <v>189</v>
      </c>
      <c r="N142" s="9">
        <v>189</v>
      </c>
      <c r="O142" s="9">
        <v>20</v>
      </c>
      <c r="P142" s="9">
        <v>219.384337125011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9">
        <v>219.37489958301001</v>
      </c>
      <c r="AD142" s="9">
        <v>219.384337125011</v>
      </c>
      <c r="AE142" s="9">
        <v>219.872010625011</v>
      </c>
      <c r="AF142" s="9">
        <v>219.872010625011</v>
      </c>
      <c r="AG142" s="9">
        <v>219.872010625011</v>
      </c>
      <c r="AH142" s="9">
        <v>220.27907866700801</v>
      </c>
      <c r="AI142" s="10" t="s">
        <v>59</v>
      </c>
      <c r="AJ142" s="9">
        <v>1</v>
      </c>
      <c r="AK142" s="9">
        <v>0.40529637399595198</v>
      </c>
      <c r="AL142" s="10" t="s">
        <v>51</v>
      </c>
      <c r="AM142" s="8"/>
      <c r="AN142" s="8"/>
      <c r="AO142" s="8"/>
      <c r="AP142" s="8"/>
      <c r="AQ142" s="9">
        <v>2</v>
      </c>
      <c r="AR142" s="9">
        <v>1</v>
      </c>
      <c r="AS142" s="10" t="s">
        <v>52</v>
      </c>
      <c r="AT142" s="10" t="s">
        <v>53</v>
      </c>
      <c r="AU142" s="8"/>
      <c r="AV142" s="10" t="s">
        <v>54</v>
      </c>
      <c r="AW142" s="10" t="s">
        <v>51</v>
      </c>
      <c r="AX142" s="10" t="s">
        <v>55</v>
      </c>
      <c r="AY142" s="8"/>
    </row>
    <row r="143" spans="1:51" x14ac:dyDescent="0.15">
      <c r="A143" s="11" t="s">
        <v>84</v>
      </c>
      <c r="B143" s="12" t="s">
        <v>57</v>
      </c>
      <c r="C143" s="10" t="s">
        <v>62</v>
      </c>
      <c r="D143" s="10" t="s">
        <v>63</v>
      </c>
      <c r="E143" s="9">
        <v>190</v>
      </c>
      <c r="F143" s="9">
        <v>190</v>
      </c>
      <c r="G143" s="9">
        <v>4</v>
      </c>
      <c r="H143" s="10" t="s">
        <v>63</v>
      </c>
      <c r="I143" s="9">
        <v>1</v>
      </c>
      <c r="J143" s="9">
        <v>0.51779395798803296</v>
      </c>
      <c r="K143" s="10" t="s">
        <v>51</v>
      </c>
      <c r="L143" s="9">
        <v>4</v>
      </c>
      <c r="M143" s="9">
        <v>190</v>
      </c>
      <c r="N143" s="9">
        <v>190</v>
      </c>
      <c r="O143" s="9">
        <v>21</v>
      </c>
      <c r="P143" s="9">
        <v>220.28829683300901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9">
        <v>220.280292875003</v>
      </c>
      <c r="AD143" s="9">
        <v>220.28829683300901</v>
      </c>
      <c r="AE143" s="9">
        <v>220.77942220801199</v>
      </c>
      <c r="AF143" s="9">
        <v>220.77942220801199</v>
      </c>
      <c r="AG143" s="9">
        <v>220.77942220801199</v>
      </c>
      <c r="AH143" s="9">
        <v>221.307107417</v>
      </c>
      <c r="AI143" s="10" t="s">
        <v>63</v>
      </c>
      <c r="AJ143" s="9">
        <v>1</v>
      </c>
      <c r="AK143" s="9">
        <v>0.51779395798803296</v>
      </c>
      <c r="AL143" s="10" t="s">
        <v>51</v>
      </c>
      <c r="AM143" s="8"/>
      <c r="AN143" s="8"/>
      <c r="AO143" s="8"/>
      <c r="AP143" s="8"/>
      <c r="AQ143" s="9">
        <v>2</v>
      </c>
      <c r="AR143" s="9">
        <v>1</v>
      </c>
      <c r="AS143" s="10" t="s">
        <v>52</v>
      </c>
      <c r="AT143" s="10" t="s">
        <v>53</v>
      </c>
      <c r="AU143" s="8"/>
      <c r="AV143" s="10" t="s">
        <v>54</v>
      </c>
      <c r="AW143" s="10" t="s">
        <v>51</v>
      </c>
      <c r="AX143" s="10" t="s">
        <v>55</v>
      </c>
      <c r="AY143" s="8"/>
    </row>
    <row r="144" spans="1:51" x14ac:dyDescent="0.15">
      <c r="A144" s="11" t="s">
        <v>72</v>
      </c>
      <c r="B144" s="12" t="s">
        <v>57</v>
      </c>
      <c r="C144" s="10" t="s">
        <v>62</v>
      </c>
      <c r="D144" s="10" t="s">
        <v>63</v>
      </c>
      <c r="E144" s="9">
        <v>192</v>
      </c>
      <c r="F144" s="9">
        <v>192</v>
      </c>
      <c r="G144" s="9">
        <v>3</v>
      </c>
      <c r="H144" s="10" t="s">
        <v>63</v>
      </c>
      <c r="I144" s="9">
        <v>1</v>
      </c>
      <c r="J144" s="9">
        <v>0.37201245799951699</v>
      </c>
      <c r="K144" s="10" t="s">
        <v>51</v>
      </c>
      <c r="L144" s="9">
        <v>3</v>
      </c>
      <c r="M144" s="9">
        <v>192</v>
      </c>
      <c r="N144" s="9">
        <v>192</v>
      </c>
      <c r="O144" s="9">
        <v>25</v>
      </c>
      <c r="P144" s="9">
        <v>222.21026116699801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9">
        <v>222.20063191700299</v>
      </c>
      <c r="AD144" s="9">
        <v>222.21026116699801</v>
      </c>
      <c r="AE144" s="9">
        <v>222.69647279199901</v>
      </c>
      <c r="AF144" s="9">
        <v>222.69647279199901</v>
      </c>
      <c r="AG144" s="9">
        <v>222.69647279199901</v>
      </c>
      <c r="AH144" s="9">
        <v>223.07374354200101</v>
      </c>
      <c r="AI144" s="10" t="s">
        <v>63</v>
      </c>
      <c r="AJ144" s="9">
        <v>1</v>
      </c>
      <c r="AK144" s="9">
        <v>0.37201245799951699</v>
      </c>
      <c r="AL144" s="10" t="s">
        <v>51</v>
      </c>
      <c r="AM144" s="8"/>
      <c r="AN144" s="8"/>
      <c r="AO144" s="8"/>
      <c r="AP144" s="8"/>
      <c r="AQ144" s="9">
        <v>2</v>
      </c>
      <c r="AR144" s="9">
        <v>1</v>
      </c>
      <c r="AS144" s="10" t="s">
        <v>52</v>
      </c>
      <c r="AT144" s="10" t="s">
        <v>53</v>
      </c>
      <c r="AU144" s="8"/>
      <c r="AV144" s="10" t="s">
        <v>54</v>
      </c>
      <c r="AW144" s="10" t="s">
        <v>51</v>
      </c>
      <c r="AX144" s="10" t="s">
        <v>55</v>
      </c>
      <c r="AY144" s="8"/>
    </row>
    <row r="145" spans="1:51" x14ac:dyDescent="0.15">
      <c r="A145" s="11" t="s">
        <v>84</v>
      </c>
      <c r="B145" s="12" t="s">
        <v>57</v>
      </c>
      <c r="C145" s="10" t="s">
        <v>58</v>
      </c>
      <c r="D145" s="10" t="s">
        <v>59</v>
      </c>
      <c r="E145" s="9">
        <v>196</v>
      </c>
      <c r="F145" s="9">
        <v>196</v>
      </c>
      <c r="G145" s="9">
        <v>4</v>
      </c>
      <c r="H145" s="10" t="s">
        <v>63</v>
      </c>
      <c r="I145" s="9">
        <v>0</v>
      </c>
      <c r="J145" s="9">
        <v>0.85526395800115995</v>
      </c>
      <c r="K145" s="10" t="s">
        <v>51</v>
      </c>
      <c r="L145" s="9">
        <v>4</v>
      </c>
      <c r="M145" s="9">
        <v>196</v>
      </c>
      <c r="N145" s="9">
        <v>196</v>
      </c>
      <c r="O145" s="9">
        <v>20</v>
      </c>
      <c r="P145" s="9">
        <v>225.68711779201101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9">
        <v>225.67873229199901</v>
      </c>
      <c r="AD145" s="9">
        <v>225.68711779201101</v>
      </c>
      <c r="AE145" s="9">
        <v>226.172080375007</v>
      </c>
      <c r="AF145" s="9">
        <v>226.172080375007</v>
      </c>
      <c r="AG145" s="9">
        <v>226.172080375007</v>
      </c>
      <c r="AH145" s="9">
        <v>227.029263125005</v>
      </c>
      <c r="AI145" s="10" t="s">
        <v>63</v>
      </c>
      <c r="AJ145" s="9">
        <v>0</v>
      </c>
      <c r="AK145" s="9">
        <v>0.85526395800115995</v>
      </c>
      <c r="AL145" s="10" t="s">
        <v>51</v>
      </c>
      <c r="AM145" s="8"/>
      <c r="AN145" s="8"/>
      <c r="AO145" s="8"/>
      <c r="AP145" s="8"/>
      <c r="AQ145" s="9">
        <v>2</v>
      </c>
      <c r="AR145" s="9">
        <v>1</v>
      </c>
      <c r="AS145" s="10" t="s">
        <v>52</v>
      </c>
      <c r="AT145" s="10" t="s">
        <v>53</v>
      </c>
      <c r="AU145" s="8"/>
      <c r="AV145" s="10" t="s">
        <v>54</v>
      </c>
      <c r="AW145" s="10" t="s">
        <v>51</v>
      </c>
      <c r="AX145" s="10" t="s">
        <v>55</v>
      </c>
      <c r="AY145" s="8"/>
    </row>
    <row r="146" spans="1:51" x14ac:dyDescent="0.15">
      <c r="A146" s="11" t="s">
        <v>65</v>
      </c>
      <c r="B146" s="12" t="s">
        <v>57</v>
      </c>
      <c r="C146" s="10" t="s">
        <v>58</v>
      </c>
      <c r="D146" s="10" t="s">
        <v>59</v>
      </c>
      <c r="E146" s="9">
        <v>199</v>
      </c>
      <c r="F146" s="9">
        <v>199</v>
      </c>
      <c r="G146" s="9">
        <v>2</v>
      </c>
      <c r="H146" s="10" t="s">
        <v>59</v>
      </c>
      <c r="I146" s="9">
        <v>1</v>
      </c>
      <c r="J146" s="9">
        <v>0.38523520799935801</v>
      </c>
      <c r="K146" s="10" t="s">
        <v>51</v>
      </c>
      <c r="L146" s="9">
        <v>2</v>
      </c>
      <c r="M146" s="9">
        <v>199</v>
      </c>
      <c r="N146" s="9">
        <v>199</v>
      </c>
      <c r="O146" s="9">
        <v>30</v>
      </c>
      <c r="P146" s="9">
        <v>230.287140917004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9">
        <v>230.27906675000901</v>
      </c>
      <c r="AD146" s="9">
        <v>230.287140917004</v>
      </c>
      <c r="AE146" s="9">
        <v>230.772151083002</v>
      </c>
      <c r="AF146" s="9">
        <v>230.772151083002</v>
      </c>
      <c r="AG146" s="9">
        <v>230.772151083002</v>
      </c>
      <c r="AH146" s="9">
        <v>231.16326595800601</v>
      </c>
      <c r="AI146" s="10" t="s">
        <v>59</v>
      </c>
      <c r="AJ146" s="9">
        <v>1</v>
      </c>
      <c r="AK146" s="9">
        <v>0.38523520799935801</v>
      </c>
      <c r="AL146" s="10" t="s">
        <v>51</v>
      </c>
      <c r="AM146" s="8"/>
      <c r="AN146" s="8"/>
      <c r="AO146" s="8"/>
      <c r="AP146" s="8"/>
      <c r="AQ146" s="9">
        <v>2</v>
      </c>
      <c r="AR146" s="9">
        <v>1</v>
      </c>
      <c r="AS146" s="10" t="s">
        <v>52</v>
      </c>
      <c r="AT146" s="10" t="s">
        <v>53</v>
      </c>
      <c r="AU146" s="8"/>
      <c r="AV146" s="10" t="s">
        <v>54</v>
      </c>
      <c r="AW146" s="10" t="s">
        <v>51</v>
      </c>
      <c r="AX146" s="10" t="s">
        <v>55</v>
      </c>
      <c r="AY146" s="8"/>
    </row>
    <row r="147" spans="1:51" x14ac:dyDescent="0.15">
      <c r="A147" s="11" t="s">
        <v>75</v>
      </c>
      <c r="B147" s="12" t="s">
        <v>57</v>
      </c>
      <c r="C147" s="10" t="s">
        <v>58</v>
      </c>
      <c r="D147" s="10" t="s">
        <v>59</v>
      </c>
      <c r="E147" s="9">
        <v>200</v>
      </c>
      <c r="F147" s="9">
        <v>200</v>
      </c>
      <c r="G147" s="9">
        <v>4</v>
      </c>
      <c r="H147" s="10" t="s">
        <v>59</v>
      </c>
      <c r="I147" s="9">
        <v>1</v>
      </c>
      <c r="J147" s="9">
        <v>0.33519349999551201</v>
      </c>
      <c r="K147" s="10" t="s">
        <v>51</v>
      </c>
      <c r="L147" s="9">
        <v>4</v>
      </c>
      <c r="M147" s="9">
        <v>200</v>
      </c>
      <c r="N147" s="9">
        <v>200</v>
      </c>
      <c r="O147" s="9">
        <v>18</v>
      </c>
      <c r="P147" s="9">
        <v>231.177698375002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9">
        <v>231.16717525001201</v>
      </c>
      <c r="AD147" s="9">
        <v>231.177698375002</v>
      </c>
      <c r="AE147" s="9">
        <v>231.66415550001</v>
      </c>
      <c r="AF147" s="9">
        <v>231.66415550001</v>
      </c>
      <c r="AG147" s="9">
        <v>231.66415550001</v>
      </c>
      <c r="AH147" s="9">
        <v>232.00753300001099</v>
      </c>
      <c r="AI147" s="10" t="s">
        <v>59</v>
      </c>
      <c r="AJ147" s="9">
        <v>1</v>
      </c>
      <c r="AK147" s="9">
        <v>0.33519349999551201</v>
      </c>
      <c r="AL147" s="10" t="s">
        <v>51</v>
      </c>
      <c r="AM147" s="8"/>
      <c r="AN147" s="8"/>
      <c r="AO147" s="8"/>
      <c r="AP147" s="8"/>
      <c r="AQ147" s="9">
        <v>2</v>
      </c>
      <c r="AR147" s="9">
        <v>1</v>
      </c>
      <c r="AS147" s="10" t="s">
        <v>52</v>
      </c>
      <c r="AT147" s="10" t="s">
        <v>53</v>
      </c>
      <c r="AU147" s="8"/>
      <c r="AV147" s="10" t="s">
        <v>54</v>
      </c>
      <c r="AW147" s="10" t="s">
        <v>51</v>
      </c>
      <c r="AX147" s="10" t="s">
        <v>55</v>
      </c>
      <c r="AY147" s="8"/>
    </row>
    <row r="148" spans="1:51" x14ac:dyDescent="0.15">
      <c r="A148" s="11" t="s">
        <v>65</v>
      </c>
      <c r="B148" s="12" t="s">
        <v>57</v>
      </c>
      <c r="C148" s="10" t="s">
        <v>58</v>
      </c>
      <c r="D148" s="10" t="s">
        <v>59</v>
      </c>
      <c r="E148" s="9">
        <v>201</v>
      </c>
      <c r="F148" s="9">
        <v>201</v>
      </c>
      <c r="G148" s="9">
        <v>3</v>
      </c>
      <c r="H148" s="10" t="s">
        <v>59</v>
      </c>
      <c r="I148" s="9">
        <v>1</v>
      </c>
      <c r="J148" s="9">
        <v>0.48490729200420901</v>
      </c>
      <c r="K148" s="10" t="s">
        <v>51</v>
      </c>
      <c r="L148" s="9">
        <v>3</v>
      </c>
      <c r="M148" s="9">
        <v>201</v>
      </c>
      <c r="N148" s="9">
        <v>201</v>
      </c>
      <c r="O148" s="9">
        <v>30</v>
      </c>
      <c r="P148" s="9">
        <v>232.02072854200401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9">
        <v>232.01255941700899</v>
      </c>
      <c r="AD148" s="9">
        <v>232.02072854200401</v>
      </c>
      <c r="AE148" s="9">
        <v>232.50548750000601</v>
      </c>
      <c r="AF148" s="9">
        <v>232.50548750000601</v>
      </c>
      <c r="AG148" s="9">
        <v>232.50548750000601</v>
      </c>
      <c r="AH148" s="9">
        <v>232.996661375</v>
      </c>
      <c r="AI148" s="10" t="s">
        <v>59</v>
      </c>
      <c r="AJ148" s="9">
        <v>1</v>
      </c>
      <c r="AK148" s="9">
        <v>0.48490729200420901</v>
      </c>
      <c r="AL148" s="10" t="s">
        <v>51</v>
      </c>
      <c r="AM148" s="8"/>
      <c r="AN148" s="8"/>
      <c r="AO148" s="8"/>
      <c r="AP148" s="8"/>
      <c r="AQ148" s="9">
        <v>2</v>
      </c>
      <c r="AR148" s="9">
        <v>1</v>
      </c>
      <c r="AS148" s="10" t="s">
        <v>52</v>
      </c>
      <c r="AT148" s="10" t="s">
        <v>53</v>
      </c>
      <c r="AU148" s="8"/>
      <c r="AV148" s="10" t="s">
        <v>54</v>
      </c>
      <c r="AW148" s="10" t="s">
        <v>51</v>
      </c>
      <c r="AX148" s="10" t="s">
        <v>55</v>
      </c>
      <c r="AY148" s="8"/>
    </row>
    <row r="149" spans="1:51" x14ac:dyDescent="0.15">
      <c r="A149" s="11" t="s">
        <v>78</v>
      </c>
      <c r="B149" s="12" t="s">
        <v>57</v>
      </c>
      <c r="C149" s="10" t="s">
        <v>58</v>
      </c>
      <c r="D149" s="10" t="s">
        <v>59</v>
      </c>
      <c r="E149" s="9">
        <v>205</v>
      </c>
      <c r="F149" s="9">
        <v>205</v>
      </c>
      <c r="G149" s="9">
        <v>4</v>
      </c>
      <c r="H149" s="10" t="s">
        <v>59</v>
      </c>
      <c r="I149" s="9">
        <v>1</v>
      </c>
      <c r="J149" s="9">
        <v>0.37895274999027601</v>
      </c>
      <c r="K149" s="10" t="s">
        <v>51</v>
      </c>
      <c r="L149" s="9">
        <v>4</v>
      </c>
      <c r="M149" s="9">
        <v>205</v>
      </c>
      <c r="N149" s="9">
        <v>205</v>
      </c>
      <c r="O149" s="9">
        <v>26</v>
      </c>
      <c r="P149" s="9">
        <v>235.86923479200101</v>
      </c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9">
        <v>235.86172250000499</v>
      </c>
      <c r="AD149" s="9">
        <v>235.86923479200101</v>
      </c>
      <c r="AE149" s="9">
        <v>236.35557629199999</v>
      </c>
      <c r="AF149" s="9">
        <v>236.35557629199999</v>
      </c>
      <c r="AG149" s="9">
        <v>236.35557629199999</v>
      </c>
      <c r="AH149" s="9">
        <v>236.741042916998</v>
      </c>
      <c r="AI149" s="10" t="s">
        <v>59</v>
      </c>
      <c r="AJ149" s="9">
        <v>1</v>
      </c>
      <c r="AK149" s="9">
        <v>0.37895274999027601</v>
      </c>
      <c r="AL149" s="10" t="s">
        <v>51</v>
      </c>
      <c r="AM149" s="8"/>
      <c r="AN149" s="8"/>
      <c r="AO149" s="8"/>
      <c r="AP149" s="8"/>
      <c r="AQ149" s="9">
        <v>2</v>
      </c>
      <c r="AR149" s="9">
        <v>1</v>
      </c>
      <c r="AS149" s="10" t="s">
        <v>52</v>
      </c>
      <c r="AT149" s="10" t="s">
        <v>53</v>
      </c>
      <c r="AU149" s="8"/>
      <c r="AV149" s="10" t="s">
        <v>54</v>
      </c>
      <c r="AW149" s="10" t="s">
        <v>51</v>
      </c>
      <c r="AX149" s="10" t="s">
        <v>55</v>
      </c>
      <c r="AY149" s="8"/>
    </row>
    <row r="150" spans="1:51" x14ac:dyDescent="0.15">
      <c r="A150" s="11" t="s">
        <v>68</v>
      </c>
      <c r="B150" s="12" t="s">
        <v>57</v>
      </c>
      <c r="C150" s="10" t="s">
        <v>62</v>
      </c>
      <c r="D150" s="10" t="s">
        <v>63</v>
      </c>
      <c r="E150" s="9">
        <v>208</v>
      </c>
      <c r="F150" s="9">
        <v>208</v>
      </c>
      <c r="G150" s="9">
        <v>3</v>
      </c>
      <c r="H150" s="10" t="s">
        <v>63</v>
      </c>
      <c r="I150" s="9">
        <v>1</v>
      </c>
      <c r="J150" s="9">
        <v>0.57328820800466895</v>
      </c>
      <c r="K150" s="10" t="s">
        <v>51</v>
      </c>
      <c r="L150" s="9">
        <v>3</v>
      </c>
      <c r="M150" s="9">
        <v>208</v>
      </c>
      <c r="N150" s="9">
        <v>208</v>
      </c>
      <c r="O150" s="9">
        <v>23</v>
      </c>
      <c r="P150" s="9">
        <v>238.855179917009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9">
        <v>238.84662920801199</v>
      </c>
      <c r="AD150" s="9">
        <v>238.855179917009</v>
      </c>
      <c r="AE150" s="9">
        <v>239.339239042005</v>
      </c>
      <c r="AF150" s="9">
        <v>239.339239042005</v>
      </c>
      <c r="AG150" s="9">
        <v>239.339239042005</v>
      </c>
      <c r="AH150" s="9">
        <v>239.92430483301001</v>
      </c>
      <c r="AI150" s="10" t="s">
        <v>63</v>
      </c>
      <c r="AJ150" s="9">
        <v>1</v>
      </c>
      <c r="AK150" s="9">
        <v>0.57328820800466895</v>
      </c>
      <c r="AL150" s="10" t="s">
        <v>51</v>
      </c>
      <c r="AM150" s="8"/>
      <c r="AN150" s="8"/>
      <c r="AO150" s="8"/>
      <c r="AP150" s="8"/>
      <c r="AQ150" s="9">
        <v>2</v>
      </c>
      <c r="AR150" s="9">
        <v>1</v>
      </c>
      <c r="AS150" s="10" t="s">
        <v>52</v>
      </c>
      <c r="AT150" s="10" t="s">
        <v>53</v>
      </c>
      <c r="AU150" s="8"/>
      <c r="AV150" s="10" t="s">
        <v>54</v>
      </c>
      <c r="AW150" s="10" t="s">
        <v>51</v>
      </c>
      <c r="AX150" s="10" t="s">
        <v>55</v>
      </c>
      <c r="AY150" s="8"/>
    </row>
    <row r="151" spans="1:51" x14ac:dyDescent="0.15">
      <c r="A151" s="11" t="s">
        <v>78</v>
      </c>
      <c r="B151" s="12" t="s">
        <v>57</v>
      </c>
      <c r="C151" s="10" t="s">
        <v>62</v>
      </c>
      <c r="D151" s="10" t="s">
        <v>63</v>
      </c>
      <c r="E151" s="9">
        <v>210</v>
      </c>
      <c r="F151" s="9">
        <v>210</v>
      </c>
      <c r="G151" s="9">
        <v>2</v>
      </c>
      <c r="H151" s="10" t="s">
        <v>63</v>
      </c>
      <c r="I151" s="9">
        <v>1</v>
      </c>
      <c r="J151" s="9">
        <v>0.48749216699798098</v>
      </c>
      <c r="K151" s="10" t="s">
        <v>51</v>
      </c>
      <c r="L151" s="9">
        <v>2</v>
      </c>
      <c r="M151" s="9">
        <v>210</v>
      </c>
      <c r="N151" s="9">
        <v>210</v>
      </c>
      <c r="O151" s="9">
        <v>27</v>
      </c>
      <c r="P151" s="9">
        <v>241.270967083008</v>
      </c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9">
        <v>241.26256120800099</v>
      </c>
      <c r="AD151" s="9">
        <v>241.270967083008</v>
      </c>
      <c r="AE151" s="9">
        <v>241.75604266701001</v>
      </c>
      <c r="AF151" s="9">
        <v>241.75604266701001</v>
      </c>
      <c r="AG151" s="9">
        <v>241.75604266701001</v>
      </c>
      <c r="AH151" s="9">
        <v>242.24623154199799</v>
      </c>
      <c r="AI151" s="10" t="s">
        <v>63</v>
      </c>
      <c r="AJ151" s="9">
        <v>1</v>
      </c>
      <c r="AK151" s="9">
        <v>0.48749216699798098</v>
      </c>
      <c r="AL151" s="10" t="s">
        <v>51</v>
      </c>
      <c r="AM151" s="8"/>
      <c r="AN151" s="8"/>
      <c r="AO151" s="8"/>
      <c r="AP151" s="8"/>
      <c r="AQ151" s="9">
        <v>2</v>
      </c>
      <c r="AR151" s="9">
        <v>1</v>
      </c>
      <c r="AS151" s="10" t="s">
        <v>52</v>
      </c>
      <c r="AT151" s="10" t="s">
        <v>53</v>
      </c>
      <c r="AU151" s="8"/>
      <c r="AV151" s="10" t="s">
        <v>54</v>
      </c>
      <c r="AW151" s="10" t="s">
        <v>51</v>
      </c>
      <c r="AX151" s="10" t="s">
        <v>55</v>
      </c>
      <c r="AY151" s="8"/>
    </row>
    <row r="152" spans="1:51" x14ac:dyDescent="0.15">
      <c r="A152" s="11" t="s">
        <v>56</v>
      </c>
      <c r="B152" s="12" t="s">
        <v>57</v>
      </c>
      <c r="C152" s="10" t="s">
        <v>58</v>
      </c>
      <c r="D152" s="10" t="s">
        <v>59</v>
      </c>
      <c r="E152" s="9">
        <v>211</v>
      </c>
      <c r="F152" s="9">
        <v>211</v>
      </c>
      <c r="G152" s="9">
        <v>4</v>
      </c>
      <c r="H152" s="10" t="s">
        <v>63</v>
      </c>
      <c r="I152" s="9">
        <v>0</v>
      </c>
      <c r="J152" s="9">
        <v>0.72195595799712498</v>
      </c>
      <c r="K152" s="10" t="s">
        <v>51</v>
      </c>
      <c r="L152" s="9">
        <v>4</v>
      </c>
      <c r="M152" s="9">
        <v>211</v>
      </c>
      <c r="N152" s="9">
        <v>211</v>
      </c>
      <c r="O152" s="9">
        <v>16</v>
      </c>
      <c r="P152" s="9">
        <v>242.26136862501201</v>
      </c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9">
        <v>242.250125958002</v>
      </c>
      <c r="AD152" s="9">
        <v>242.26136862501201</v>
      </c>
      <c r="AE152" s="9">
        <v>242.74766641701001</v>
      </c>
      <c r="AF152" s="9">
        <v>242.74766641701001</v>
      </c>
      <c r="AG152" s="9">
        <v>242.74766641701001</v>
      </c>
      <c r="AH152" s="9">
        <v>243.47470529199899</v>
      </c>
      <c r="AI152" s="10" t="s">
        <v>63</v>
      </c>
      <c r="AJ152" s="9">
        <v>0</v>
      </c>
      <c r="AK152" s="9">
        <v>0.72195595799712498</v>
      </c>
      <c r="AL152" s="10" t="s">
        <v>51</v>
      </c>
      <c r="AM152" s="8"/>
      <c r="AN152" s="8"/>
      <c r="AO152" s="8"/>
      <c r="AP152" s="8"/>
      <c r="AQ152" s="9">
        <v>2</v>
      </c>
      <c r="AR152" s="9">
        <v>1</v>
      </c>
      <c r="AS152" s="10" t="s">
        <v>52</v>
      </c>
      <c r="AT152" s="10" t="s">
        <v>53</v>
      </c>
      <c r="AU152" s="8"/>
      <c r="AV152" s="10" t="s">
        <v>54</v>
      </c>
      <c r="AW152" s="10" t="s">
        <v>51</v>
      </c>
      <c r="AX152" s="10" t="s">
        <v>55</v>
      </c>
      <c r="AY152" s="8"/>
    </row>
    <row r="153" spans="1:51" x14ac:dyDescent="0.15">
      <c r="A153" s="11" t="s">
        <v>56</v>
      </c>
      <c r="B153" s="12" t="s">
        <v>57</v>
      </c>
      <c r="C153" s="10" t="s">
        <v>62</v>
      </c>
      <c r="D153" s="10" t="s">
        <v>63</v>
      </c>
      <c r="E153" s="9">
        <v>212</v>
      </c>
      <c r="F153" s="9">
        <v>212</v>
      </c>
      <c r="G153" s="9">
        <v>4</v>
      </c>
      <c r="H153" s="10" t="s">
        <v>63</v>
      </c>
      <c r="I153" s="9">
        <v>1</v>
      </c>
      <c r="J153" s="9">
        <v>1.48606820800342</v>
      </c>
      <c r="K153" s="10" t="s">
        <v>51</v>
      </c>
      <c r="L153" s="9">
        <v>4</v>
      </c>
      <c r="M153" s="9">
        <v>212</v>
      </c>
      <c r="N153" s="9">
        <v>212</v>
      </c>
      <c r="O153" s="9">
        <v>17</v>
      </c>
      <c r="P153" s="9">
        <v>243.48469812500099</v>
      </c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9">
        <v>243.475946167004</v>
      </c>
      <c r="AD153" s="9">
        <v>243.48469812500099</v>
      </c>
      <c r="AE153" s="9">
        <v>243.97255291701001</v>
      </c>
      <c r="AF153" s="9">
        <v>243.97255291701001</v>
      </c>
      <c r="AG153" s="9">
        <v>243.97255291701001</v>
      </c>
      <c r="AH153" s="9">
        <v>245.462986958009</v>
      </c>
      <c r="AI153" s="10" t="s">
        <v>63</v>
      </c>
      <c r="AJ153" s="9">
        <v>1</v>
      </c>
      <c r="AK153" s="9">
        <v>1.48606820800342</v>
      </c>
      <c r="AL153" s="10" t="s">
        <v>51</v>
      </c>
      <c r="AM153" s="8"/>
      <c r="AN153" s="8"/>
      <c r="AO153" s="8"/>
      <c r="AP153" s="8"/>
      <c r="AQ153" s="9">
        <v>2</v>
      </c>
      <c r="AR153" s="9">
        <v>1</v>
      </c>
      <c r="AS153" s="10" t="s">
        <v>52</v>
      </c>
      <c r="AT153" s="10" t="s">
        <v>53</v>
      </c>
      <c r="AU153" s="8"/>
      <c r="AV153" s="10" t="s">
        <v>54</v>
      </c>
      <c r="AW153" s="10" t="s">
        <v>51</v>
      </c>
      <c r="AX153" s="10" t="s">
        <v>55</v>
      </c>
      <c r="AY153" s="8"/>
    </row>
    <row r="154" spans="1:51" x14ac:dyDescent="0.15">
      <c r="A154" s="11" t="s">
        <v>72</v>
      </c>
      <c r="B154" s="12" t="s">
        <v>57</v>
      </c>
      <c r="C154" s="10" t="s">
        <v>62</v>
      </c>
      <c r="D154" s="10" t="s">
        <v>63</v>
      </c>
      <c r="E154" s="9">
        <v>213</v>
      </c>
      <c r="F154" s="9">
        <v>213</v>
      </c>
      <c r="G154" s="9">
        <v>4</v>
      </c>
      <c r="H154" s="10" t="s">
        <v>63</v>
      </c>
      <c r="I154" s="9">
        <v>1</v>
      </c>
      <c r="J154" s="9">
        <v>0.72140112500346698</v>
      </c>
      <c r="K154" s="10" t="s">
        <v>51</v>
      </c>
      <c r="L154" s="9">
        <v>4</v>
      </c>
      <c r="M154" s="9">
        <v>213</v>
      </c>
      <c r="N154" s="9">
        <v>213</v>
      </c>
      <c r="O154" s="9">
        <v>25</v>
      </c>
      <c r="P154" s="9">
        <v>245.477475667009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9">
        <v>245.46751758300499</v>
      </c>
      <c r="AD154" s="9">
        <v>245.477475667009</v>
      </c>
      <c r="AE154" s="9">
        <v>245.963339417009</v>
      </c>
      <c r="AF154" s="9">
        <v>245.963339417009</v>
      </c>
      <c r="AG154" s="9">
        <v>245.963339417009</v>
      </c>
      <c r="AH154" s="9">
        <v>246.690889833</v>
      </c>
      <c r="AI154" s="10" t="s">
        <v>63</v>
      </c>
      <c r="AJ154" s="9">
        <v>1</v>
      </c>
      <c r="AK154" s="9">
        <v>0.72140112500346698</v>
      </c>
      <c r="AL154" s="10" t="s">
        <v>51</v>
      </c>
      <c r="AM154" s="8"/>
      <c r="AN154" s="8"/>
      <c r="AO154" s="8"/>
      <c r="AP154" s="8"/>
      <c r="AQ154" s="9">
        <v>2</v>
      </c>
      <c r="AR154" s="9">
        <v>1</v>
      </c>
      <c r="AS154" s="10" t="s">
        <v>52</v>
      </c>
      <c r="AT154" s="10" t="s">
        <v>53</v>
      </c>
      <c r="AU154" s="8"/>
      <c r="AV154" s="10" t="s">
        <v>54</v>
      </c>
      <c r="AW154" s="10" t="s">
        <v>51</v>
      </c>
      <c r="AX154" s="10" t="s">
        <v>55</v>
      </c>
      <c r="AY154" s="8"/>
    </row>
    <row r="155" spans="1:51" x14ac:dyDescent="0.15">
      <c r="A155" s="11" t="s">
        <v>68</v>
      </c>
      <c r="B155" s="12" t="s">
        <v>57</v>
      </c>
      <c r="C155" s="10" t="s">
        <v>58</v>
      </c>
      <c r="D155" s="10" t="s">
        <v>59</v>
      </c>
      <c r="E155" s="9">
        <v>217</v>
      </c>
      <c r="F155" s="9">
        <v>217</v>
      </c>
      <c r="G155" s="9">
        <v>4</v>
      </c>
      <c r="H155" s="10" t="s">
        <v>59</v>
      </c>
      <c r="I155" s="9">
        <v>1</v>
      </c>
      <c r="J155" s="9">
        <v>0.43575774999044398</v>
      </c>
      <c r="K155" s="10" t="s">
        <v>51</v>
      </c>
      <c r="L155" s="9">
        <v>4</v>
      </c>
      <c r="M155" s="9">
        <v>217</v>
      </c>
      <c r="N155" s="9">
        <v>217</v>
      </c>
      <c r="O155" s="9">
        <v>22</v>
      </c>
      <c r="P155" s="9">
        <v>249.587208417011</v>
      </c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9">
        <v>249.57906816700401</v>
      </c>
      <c r="AD155" s="9">
        <v>249.587208417011</v>
      </c>
      <c r="AE155" s="9">
        <v>250.072858333006</v>
      </c>
      <c r="AF155" s="9">
        <v>250.072858333006</v>
      </c>
      <c r="AG155" s="9">
        <v>250.072858333006</v>
      </c>
      <c r="AH155" s="9">
        <v>250.512836417009</v>
      </c>
      <c r="AI155" s="10" t="s">
        <v>59</v>
      </c>
      <c r="AJ155" s="9">
        <v>1</v>
      </c>
      <c r="AK155" s="9">
        <v>0.43575774999044398</v>
      </c>
      <c r="AL155" s="10" t="s">
        <v>51</v>
      </c>
      <c r="AM155" s="8"/>
      <c r="AN155" s="8"/>
      <c r="AO155" s="8"/>
      <c r="AP155" s="8"/>
      <c r="AQ155" s="9">
        <v>2</v>
      </c>
      <c r="AR155" s="9">
        <v>1</v>
      </c>
      <c r="AS155" s="10" t="s">
        <v>52</v>
      </c>
      <c r="AT155" s="10" t="s">
        <v>53</v>
      </c>
      <c r="AU155" s="8"/>
      <c r="AV155" s="10" t="s">
        <v>54</v>
      </c>
      <c r="AW155" s="10" t="s">
        <v>51</v>
      </c>
      <c r="AX155" s="10" t="s">
        <v>55</v>
      </c>
      <c r="AY155" s="8"/>
    </row>
    <row r="156" spans="1:51" x14ac:dyDescent="0.15">
      <c r="A156" s="11" t="s">
        <v>72</v>
      </c>
      <c r="B156" s="12" t="s">
        <v>57</v>
      </c>
      <c r="C156" s="10" t="s">
        <v>58</v>
      </c>
      <c r="D156" s="10" t="s">
        <v>59</v>
      </c>
      <c r="E156" s="9">
        <v>220</v>
      </c>
      <c r="F156" s="9">
        <v>220</v>
      </c>
      <c r="G156" s="9">
        <v>4</v>
      </c>
      <c r="H156" s="10" t="s">
        <v>63</v>
      </c>
      <c r="I156" s="9">
        <v>0</v>
      </c>
      <c r="J156" s="9">
        <v>1.73309499899915</v>
      </c>
      <c r="K156" s="10" t="s">
        <v>51</v>
      </c>
      <c r="L156" s="9">
        <v>4</v>
      </c>
      <c r="M156" s="9">
        <v>220</v>
      </c>
      <c r="N156" s="9">
        <v>220</v>
      </c>
      <c r="O156" s="9">
        <v>24</v>
      </c>
      <c r="P156" s="9">
        <v>252.56249475000399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9">
        <v>252.551877167003</v>
      </c>
      <c r="AD156" s="9">
        <v>252.56249475000399</v>
      </c>
      <c r="AE156" s="9">
        <v>253.04751712500001</v>
      </c>
      <c r="AF156" s="9">
        <v>253.04751712500001</v>
      </c>
      <c r="AG156" s="9">
        <v>253.04751712500001</v>
      </c>
      <c r="AH156" s="9">
        <v>254.79141395801</v>
      </c>
      <c r="AI156" s="10" t="s">
        <v>63</v>
      </c>
      <c r="AJ156" s="9">
        <v>0</v>
      </c>
      <c r="AK156" s="9">
        <v>1.73309499899915</v>
      </c>
      <c r="AL156" s="10" t="s">
        <v>51</v>
      </c>
      <c r="AM156" s="8"/>
      <c r="AN156" s="8"/>
      <c r="AO156" s="8"/>
      <c r="AP156" s="8"/>
      <c r="AQ156" s="9">
        <v>2</v>
      </c>
      <c r="AR156" s="9">
        <v>1</v>
      </c>
      <c r="AS156" s="10" t="s">
        <v>52</v>
      </c>
      <c r="AT156" s="10" t="s">
        <v>53</v>
      </c>
      <c r="AU156" s="8"/>
      <c r="AV156" s="10" t="s">
        <v>54</v>
      </c>
      <c r="AW156" s="10" t="s">
        <v>51</v>
      </c>
      <c r="AX156" s="10" t="s">
        <v>55</v>
      </c>
      <c r="AY156" s="8"/>
    </row>
    <row r="157" spans="1:51" x14ac:dyDescent="0.15">
      <c r="A157" s="11" t="s">
        <v>75</v>
      </c>
      <c r="B157" s="12" t="s">
        <v>57</v>
      </c>
      <c r="C157" s="10" t="s">
        <v>62</v>
      </c>
      <c r="D157" s="10" t="s">
        <v>63</v>
      </c>
      <c r="E157" s="9">
        <v>226</v>
      </c>
      <c r="F157" s="9">
        <v>226</v>
      </c>
      <c r="G157" s="9">
        <v>4</v>
      </c>
      <c r="H157" s="10" t="s">
        <v>63</v>
      </c>
      <c r="I157" s="9">
        <v>1</v>
      </c>
      <c r="J157" s="9">
        <v>0.49014508300751902</v>
      </c>
      <c r="K157" s="10" t="s">
        <v>51</v>
      </c>
      <c r="L157" s="9">
        <v>4</v>
      </c>
      <c r="M157" s="9">
        <v>226</v>
      </c>
      <c r="N157" s="9">
        <v>226</v>
      </c>
      <c r="O157" s="9">
        <v>19</v>
      </c>
      <c r="P157" s="9">
        <v>259.90442720800598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9">
        <v>259.89607916701101</v>
      </c>
      <c r="AD157" s="9">
        <v>259.90442720800598</v>
      </c>
      <c r="AE157" s="9">
        <v>260.38967962500499</v>
      </c>
      <c r="AF157" s="9">
        <v>260.38967962500499</v>
      </c>
      <c r="AG157" s="9">
        <v>260.38967962500499</v>
      </c>
      <c r="AH157" s="9">
        <v>260.89147950000199</v>
      </c>
      <c r="AI157" s="10" t="s">
        <v>63</v>
      </c>
      <c r="AJ157" s="9">
        <v>1</v>
      </c>
      <c r="AK157" s="9">
        <v>0.49014508300751902</v>
      </c>
      <c r="AL157" s="10" t="s">
        <v>51</v>
      </c>
      <c r="AM157" s="8"/>
      <c r="AN157" s="8"/>
      <c r="AO157" s="8"/>
      <c r="AP157" s="8"/>
      <c r="AQ157" s="9">
        <v>2</v>
      </c>
      <c r="AR157" s="9">
        <v>1</v>
      </c>
      <c r="AS157" s="10" t="s">
        <v>52</v>
      </c>
      <c r="AT157" s="10" t="s">
        <v>53</v>
      </c>
      <c r="AU157" s="8"/>
      <c r="AV157" s="10" t="s">
        <v>54</v>
      </c>
      <c r="AW157" s="10" t="s">
        <v>51</v>
      </c>
      <c r="AX157" s="10" t="s">
        <v>55</v>
      </c>
      <c r="AY157" s="8"/>
    </row>
    <row r="158" spans="1:51" x14ac:dyDescent="0.15">
      <c r="A158" s="11" t="s">
        <v>78</v>
      </c>
      <c r="B158" s="12" t="s">
        <v>57</v>
      </c>
      <c r="C158" s="10" t="s">
        <v>62</v>
      </c>
      <c r="D158" s="10" t="s">
        <v>63</v>
      </c>
      <c r="E158" s="9">
        <v>230</v>
      </c>
      <c r="F158" s="9">
        <v>230</v>
      </c>
      <c r="G158" s="9">
        <v>3</v>
      </c>
      <c r="H158" s="10" t="s">
        <v>63</v>
      </c>
      <c r="I158" s="9">
        <v>1</v>
      </c>
      <c r="J158" s="9">
        <v>0.50736091600265398</v>
      </c>
      <c r="K158" s="10" t="s">
        <v>51</v>
      </c>
      <c r="L158" s="9">
        <v>3</v>
      </c>
      <c r="M158" s="9">
        <v>230</v>
      </c>
      <c r="N158" s="9">
        <v>230</v>
      </c>
      <c r="O158" s="9">
        <v>27</v>
      </c>
      <c r="P158" s="9">
        <v>263.71992937500198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9">
        <v>263.71217450000398</v>
      </c>
      <c r="AD158" s="9">
        <v>263.71992937500198</v>
      </c>
      <c r="AE158" s="9">
        <v>264.20650362499902</v>
      </c>
      <c r="AF158" s="9">
        <v>264.20650362499902</v>
      </c>
      <c r="AG158" s="9">
        <v>264.20650362499902</v>
      </c>
      <c r="AH158" s="9">
        <v>264.72544329200201</v>
      </c>
      <c r="AI158" s="10" t="s">
        <v>63</v>
      </c>
      <c r="AJ158" s="9">
        <v>1</v>
      </c>
      <c r="AK158" s="9">
        <v>0.50736091600265398</v>
      </c>
      <c r="AL158" s="10" t="s">
        <v>51</v>
      </c>
      <c r="AM158" s="8"/>
      <c r="AN158" s="8"/>
      <c r="AO158" s="8"/>
      <c r="AP158" s="8"/>
      <c r="AQ158" s="9">
        <v>2</v>
      </c>
      <c r="AR158" s="9">
        <v>1</v>
      </c>
      <c r="AS158" s="10" t="s">
        <v>52</v>
      </c>
      <c r="AT158" s="10" t="s">
        <v>53</v>
      </c>
      <c r="AU158" s="8"/>
      <c r="AV158" s="10" t="s">
        <v>54</v>
      </c>
      <c r="AW158" s="10" t="s">
        <v>51</v>
      </c>
      <c r="AX158" s="10" t="s">
        <v>55</v>
      </c>
      <c r="AY158" s="8"/>
    </row>
    <row r="159" spans="1:51" x14ac:dyDescent="0.15">
      <c r="A159" s="11" t="s">
        <v>65</v>
      </c>
      <c r="B159" s="12" t="s">
        <v>57</v>
      </c>
      <c r="C159" s="10" t="s">
        <v>58</v>
      </c>
      <c r="D159" s="10" t="s">
        <v>59</v>
      </c>
      <c r="E159" s="9">
        <v>233</v>
      </c>
      <c r="F159" s="9">
        <v>233</v>
      </c>
      <c r="G159" s="9">
        <v>4</v>
      </c>
      <c r="H159" s="10" t="s">
        <v>59</v>
      </c>
      <c r="I159" s="9">
        <v>1</v>
      </c>
      <c r="J159" s="9">
        <v>0.54053541600296695</v>
      </c>
      <c r="K159" s="10" t="s">
        <v>51</v>
      </c>
      <c r="L159" s="9">
        <v>4</v>
      </c>
      <c r="M159" s="9">
        <v>233</v>
      </c>
      <c r="N159" s="9">
        <v>233</v>
      </c>
      <c r="O159" s="9">
        <v>30</v>
      </c>
      <c r="P159" s="9">
        <v>266.65440891700598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9">
        <v>266.646257875007</v>
      </c>
      <c r="AD159" s="9">
        <v>266.65440891700598</v>
      </c>
      <c r="AE159" s="9">
        <v>267.14025591700897</v>
      </c>
      <c r="AF159" s="9">
        <v>267.14025591700897</v>
      </c>
      <c r="AG159" s="9">
        <v>267.14025591700897</v>
      </c>
      <c r="AH159" s="9">
        <v>267.69223700000998</v>
      </c>
      <c r="AI159" s="10" t="s">
        <v>59</v>
      </c>
      <c r="AJ159" s="9">
        <v>1</v>
      </c>
      <c r="AK159" s="9">
        <v>0.54053541600296695</v>
      </c>
      <c r="AL159" s="10" t="s">
        <v>51</v>
      </c>
      <c r="AM159" s="8"/>
      <c r="AN159" s="8"/>
      <c r="AO159" s="8"/>
      <c r="AP159" s="8"/>
      <c r="AQ159" s="9">
        <v>2</v>
      </c>
      <c r="AR159" s="9">
        <v>1</v>
      </c>
      <c r="AS159" s="10" t="s">
        <v>52</v>
      </c>
      <c r="AT159" s="10" t="s">
        <v>53</v>
      </c>
      <c r="AU159" s="8"/>
      <c r="AV159" s="10" t="s">
        <v>54</v>
      </c>
      <c r="AW159" s="10" t="s">
        <v>51</v>
      </c>
      <c r="AX159" s="10" t="s">
        <v>55</v>
      </c>
      <c r="AY159" s="8"/>
    </row>
    <row r="160" spans="1:51" x14ac:dyDescent="0.15">
      <c r="A160" s="11" t="s">
        <v>68</v>
      </c>
      <c r="B160" s="12" t="s">
        <v>57</v>
      </c>
      <c r="C160" s="10" t="s">
        <v>62</v>
      </c>
      <c r="D160" s="10" t="s">
        <v>63</v>
      </c>
      <c r="E160" s="9">
        <v>237</v>
      </c>
      <c r="F160" s="9">
        <v>237</v>
      </c>
      <c r="G160" s="9">
        <v>4</v>
      </c>
      <c r="H160" s="10" t="s">
        <v>63</v>
      </c>
      <c r="I160" s="9">
        <v>1</v>
      </c>
      <c r="J160" s="9">
        <v>0.30625216700718699</v>
      </c>
      <c r="K160" s="10" t="s">
        <v>51</v>
      </c>
      <c r="L160" s="9">
        <v>4</v>
      </c>
      <c r="M160" s="9">
        <v>237</v>
      </c>
      <c r="N160" s="9">
        <v>237</v>
      </c>
      <c r="O160" s="9">
        <v>23</v>
      </c>
      <c r="P160" s="9">
        <v>270.63949250000599</v>
      </c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9">
        <v>270.63079816701099</v>
      </c>
      <c r="AD160" s="9">
        <v>270.63949250000599</v>
      </c>
      <c r="AE160" s="9">
        <v>271.12363775000301</v>
      </c>
      <c r="AF160" s="9">
        <v>271.12363775000301</v>
      </c>
      <c r="AG160" s="9">
        <v>271.12363775000301</v>
      </c>
      <c r="AH160" s="9">
        <v>271.441747042001</v>
      </c>
      <c r="AI160" s="10" t="s">
        <v>63</v>
      </c>
      <c r="AJ160" s="9">
        <v>1</v>
      </c>
      <c r="AK160" s="9">
        <v>0.30625216700718699</v>
      </c>
      <c r="AL160" s="10" t="s">
        <v>51</v>
      </c>
      <c r="AM160" s="8"/>
      <c r="AN160" s="8"/>
      <c r="AO160" s="8"/>
      <c r="AP160" s="8"/>
      <c r="AQ160" s="9">
        <v>2</v>
      </c>
      <c r="AR160" s="9">
        <v>1</v>
      </c>
      <c r="AS160" s="10" t="s">
        <v>52</v>
      </c>
      <c r="AT160" s="10" t="s">
        <v>53</v>
      </c>
      <c r="AU160" s="8"/>
      <c r="AV160" s="10" t="s">
        <v>54</v>
      </c>
      <c r="AW160" s="10" t="s">
        <v>51</v>
      </c>
      <c r="AX160" s="10" t="s">
        <v>55</v>
      </c>
      <c r="AY160" s="8"/>
    </row>
    <row r="161" spans="1:51" x14ac:dyDescent="0.15">
      <c r="A161" s="11" t="s">
        <v>78</v>
      </c>
      <c r="B161" s="12" t="s">
        <v>57</v>
      </c>
      <c r="C161" s="10" t="s">
        <v>62</v>
      </c>
      <c r="D161" s="10" t="s">
        <v>63</v>
      </c>
      <c r="E161" s="9">
        <v>238</v>
      </c>
      <c r="F161" s="9">
        <v>238</v>
      </c>
      <c r="G161" s="9">
        <v>4</v>
      </c>
      <c r="H161" s="10" t="s">
        <v>63</v>
      </c>
      <c r="I161" s="9">
        <v>1</v>
      </c>
      <c r="J161" s="9">
        <v>0.27390445800847402</v>
      </c>
      <c r="K161" s="10" t="s">
        <v>51</v>
      </c>
      <c r="L161" s="9">
        <v>4</v>
      </c>
      <c r="M161" s="9">
        <v>238</v>
      </c>
      <c r="N161" s="9">
        <v>238</v>
      </c>
      <c r="O161" s="9">
        <v>27</v>
      </c>
      <c r="P161" s="9">
        <v>271.45477587499801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9">
        <v>271.44634766700602</v>
      </c>
      <c r="AD161" s="9">
        <v>271.45477587499801</v>
      </c>
      <c r="AE161" s="9">
        <v>271.94003487500601</v>
      </c>
      <c r="AF161" s="9">
        <v>271.94003487500601</v>
      </c>
      <c r="AG161" s="9">
        <v>271.94003487500601</v>
      </c>
      <c r="AH161" s="9">
        <v>272.22540037499903</v>
      </c>
      <c r="AI161" s="10" t="s">
        <v>63</v>
      </c>
      <c r="AJ161" s="9">
        <v>1</v>
      </c>
      <c r="AK161" s="9">
        <v>0.27390445800847402</v>
      </c>
      <c r="AL161" s="10" t="s">
        <v>51</v>
      </c>
      <c r="AM161" s="8"/>
      <c r="AN161" s="8"/>
      <c r="AO161" s="8"/>
      <c r="AP161" s="8"/>
      <c r="AQ161" s="9">
        <v>2</v>
      </c>
      <c r="AR161" s="9">
        <v>1</v>
      </c>
      <c r="AS161" s="10" t="s">
        <v>52</v>
      </c>
      <c r="AT161" s="10" t="s">
        <v>53</v>
      </c>
      <c r="AU161" s="8"/>
      <c r="AV161" s="10" t="s">
        <v>54</v>
      </c>
      <c r="AW161" s="10" t="s">
        <v>51</v>
      </c>
      <c r="AX161" s="10" t="s">
        <v>55</v>
      </c>
      <c r="AY161" s="8"/>
    </row>
    <row r="162" spans="1:51" x14ac:dyDescent="0.15">
      <c r="A162" s="11" t="s">
        <v>66</v>
      </c>
      <c r="B162" s="12" t="s">
        <v>67</v>
      </c>
      <c r="C162" s="10" t="s">
        <v>58</v>
      </c>
      <c r="D162" s="10" t="s">
        <v>59</v>
      </c>
      <c r="E162" s="9">
        <v>4</v>
      </c>
      <c r="F162" s="9">
        <v>4</v>
      </c>
      <c r="G162" s="9">
        <v>0</v>
      </c>
      <c r="H162" s="10" t="s">
        <v>59</v>
      </c>
      <c r="I162" s="9">
        <v>1</v>
      </c>
      <c r="J162" s="9">
        <v>0.33571270799438901</v>
      </c>
      <c r="K162" s="10" t="s">
        <v>51</v>
      </c>
      <c r="L162" s="9">
        <v>0</v>
      </c>
      <c r="M162" s="9">
        <v>4</v>
      </c>
      <c r="N162" s="9">
        <v>4</v>
      </c>
      <c r="O162" s="9">
        <v>46</v>
      </c>
      <c r="P162" s="9">
        <v>20.814547542002401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9">
        <v>20.806650292011899</v>
      </c>
      <c r="AD162" s="9">
        <v>20.814547542002401</v>
      </c>
      <c r="AE162" s="9">
        <v>21.298488708009199</v>
      </c>
      <c r="AF162" s="9">
        <v>21.298488708009199</v>
      </c>
      <c r="AG162" s="9">
        <v>21.298488708009199</v>
      </c>
      <c r="AH162" s="9">
        <v>21.639230000000701</v>
      </c>
      <c r="AI162" s="10" t="s">
        <v>59</v>
      </c>
      <c r="AJ162" s="9">
        <v>1</v>
      </c>
      <c r="AK162" s="9">
        <v>0.33571270799438901</v>
      </c>
      <c r="AL162" s="10" t="s">
        <v>51</v>
      </c>
      <c r="AM162" s="8"/>
      <c r="AN162" s="8"/>
      <c r="AO162" s="8"/>
      <c r="AP162" s="8"/>
      <c r="AQ162" s="9">
        <v>2</v>
      </c>
      <c r="AR162" s="9">
        <v>1</v>
      </c>
      <c r="AS162" s="10" t="s">
        <v>52</v>
      </c>
      <c r="AT162" s="10" t="s">
        <v>53</v>
      </c>
      <c r="AU162" s="8"/>
      <c r="AV162" s="10" t="s">
        <v>54</v>
      </c>
      <c r="AW162" s="10" t="s">
        <v>51</v>
      </c>
      <c r="AX162" s="10" t="s">
        <v>55</v>
      </c>
      <c r="AY162" s="8"/>
    </row>
    <row r="163" spans="1:51" x14ac:dyDescent="0.15">
      <c r="A163" s="11" t="s">
        <v>69</v>
      </c>
      <c r="B163" s="12" t="s">
        <v>67</v>
      </c>
      <c r="C163" s="10" t="s">
        <v>58</v>
      </c>
      <c r="D163" s="10" t="s">
        <v>59</v>
      </c>
      <c r="E163" s="9">
        <v>6</v>
      </c>
      <c r="F163" s="9">
        <v>6</v>
      </c>
      <c r="G163" s="9">
        <v>0</v>
      </c>
      <c r="H163" s="10" t="s">
        <v>59</v>
      </c>
      <c r="I163" s="9">
        <v>1</v>
      </c>
      <c r="J163" s="9">
        <v>0.34801704100391401</v>
      </c>
      <c r="K163" s="10" t="s">
        <v>51</v>
      </c>
      <c r="L163" s="9">
        <v>0</v>
      </c>
      <c r="M163" s="9">
        <v>6</v>
      </c>
      <c r="N163" s="9">
        <v>6</v>
      </c>
      <c r="O163" s="9">
        <v>38</v>
      </c>
      <c r="P163" s="9">
        <v>22.504136041999999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9">
        <v>22.493362542008999</v>
      </c>
      <c r="AD163" s="9">
        <v>22.504136041999999</v>
      </c>
      <c r="AE163" s="9">
        <v>22.989231625004301</v>
      </c>
      <c r="AF163" s="9">
        <v>22.989231625004301</v>
      </c>
      <c r="AG163" s="9">
        <v>22.989231625004301</v>
      </c>
      <c r="AH163" s="9">
        <v>23.3392682920094</v>
      </c>
      <c r="AI163" s="10" t="s">
        <v>59</v>
      </c>
      <c r="AJ163" s="9">
        <v>1</v>
      </c>
      <c r="AK163" s="9">
        <v>0.34801704100391401</v>
      </c>
      <c r="AL163" s="10" t="s">
        <v>51</v>
      </c>
      <c r="AM163" s="8"/>
      <c r="AN163" s="8"/>
      <c r="AO163" s="8"/>
      <c r="AP163" s="8"/>
      <c r="AQ163" s="9">
        <v>2</v>
      </c>
      <c r="AR163" s="9">
        <v>1</v>
      </c>
      <c r="AS163" s="10" t="s">
        <v>52</v>
      </c>
      <c r="AT163" s="10" t="s">
        <v>53</v>
      </c>
      <c r="AU163" s="8"/>
      <c r="AV163" s="10" t="s">
        <v>54</v>
      </c>
      <c r="AW163" s="10" t="s">
        <v>51</v>
      </c>
      <c r="AX163" s="10" t="s">
        <v>55</v>
      </c>
      <c r="AY163" s="8"/>
    </row>
    <row r="164" spans="1:51" x14ac:dyDescent="0.15">
      <c r="A164" s="11" t="s">
        <v>76</v>
      </c>
      <c r="B164" s="12" t="s">
        <v>67</v>
      </c>
      <c r="C164" s="10" t="s">
        <v>58</v>
      </c>
      <c r="D164" s="10" t="s">
        <v>59</v>
      </c>
      <c r="E164" s="9">
        <v>16</v>
      </c>
      <c r="F164" s="9">
        <v>16</v>
      </c>
      <c r="G164" s="9">
        <v>0</v>
      </c>
      <c r="H164" s="10" t="s">
        <v>59</v>
      </c>
      <c r="I164" s="9">
        <v>1</v>
      </c>
      <c r="J164" s="9">
        <v>0.48529995800345199</v>
      </c>
      <c r="K164" s="10" t="s">
        <v>51</v>
      </c>
      <c r="L164" s="9">
        <v>0</v>
      </c>
      <c r="M164" s="9">
        <v>16</v>
      </c>
      <c r="N164" s="9">
        <v>16</v>
      </c>
      <c r="O164" s="9">
        <v>42</v>
      </c>
      <c r="P164" s="9">
        <v>31.463409167001402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9">
        <v>31.45516016701</v>
      </c>
      <c r="AD164" s="9">
        <v>31.463409167001402</v>
      </c>
      <c r="AE164" s="9">
        <v>31.949039500003</v>
      </c>
      <c r="AF164" s="9">
        <v>31.949039500003</v>
      </c>
      <c r="AG164" s="9">
        <v>31.949039500003</v>
      </c>
      <c r="AH164" s="9">
        <v>32.439320500008797</v>
      </c>
      <c r="AI164" s="10" t="s">
        <v>59</v>
      </c>
      <c r="AJ164" s="9">
        <v>1</v>
      </c>
      <c r="AK164" s="9">
        <v>0.48529995800345199</v>
      </c>
      <c r="AL164" s="10" t="s">
        <v>51</v>
      </c>
      <c r="AM164" s="8"/>
      <c r="AN164" s="8"/>
      <c r="AO164" s="8"/>
      <c r="AP164" s="8"/>
      <c r="AQ164" s="9">
        <v>2</v>
      </c>
      <c r="AR164" s="9">
        <v>1</v>
      </c>
      <c r="AS164" s="10" t="s">
        <v>52</v>
      </c>
      <c r="AT164" s="10" t="s">
        <v>53</v>
      </c>
      <c r="AU164" s="8"/>
      <c r="AV164" s="10" t="s">
        <v>54</v>
      </c>
      <c r="AW164" s="10" t="s">
        <v>51</v>
      </c>
      <c r="AX164" s="10" t="s">
        <v>55</v>
      </c>
      <c r="AY164" s="8"/>
    </row>
    <row r="165" spans="1:51" x14ac:dyDescent="0.15">
      <c r="A165" s="11" t="s">
        <v>77</v>
      </c>
      <c r="B165" s="12" t="s">
        <v>67</v>
      </c>
      <c r="C165" s="10" t="s">
        <v>62</v>
      </c>
      <c r="D165" s="10" t="s">
        <v>63</v>
      </c>
      <c r="E165" s="9">
        <v>18</v>
      </c>
      <c r="F165" s="9">
        <v>18</v>
      </c>
      <c r="G165" s="9">
        <v>0</v>
      </c>
      <c r="H165" s="10" t="s">
        <v>63</v>
      </c>
      <c r="I165" s="9">
        <v>1</v>
      </c>
      <c r="J165" s="9">
        <v>0.434442874000524</v>
      </c>
      <c r="K165" s="10" t="s">
        <v>51</v>
      </c>
      <c r="L165" s="9">
        <v>0</v>
      </c>
      <c r="M165" s="9">
        <v>18</v>
      </c>
      <c r="N165" s="9">
        <v>18</v>
      </c>
      <c r="O165" s="9">
        <v>41</v>
      </c>
      <c r="P165" s="9">
        <v>33.314138500005399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9">
        <v>33.305929374997497</v>
      </c>
      <c r="AD165" s="9">
        <v>33.314138500005399</v>
      </c>
      <c r="AE165" s="9">
        <v>33.798948167008398</v>
      </c>
      <c r="AF165" s="9">
        <v>33.798948167008398</v>
      </c>
      <c r="AG165" s="9">
        <v>33.798948167008398</v>
      </c>
      <c r="AH165" s="9">
        <v>34.239742875011899</v>
      </c>
      <c r="AI165" s="10" t="s">
        <v>63</v>
      </c>
      <c r="AJ165" s="9">
        <v>1</v>
      </c>
      <c r="AK165" s="9">
        <v>0.434442874000524</v>
      </c>
      <c r="AL165" s="10" t="s">
        <v>51</v>
      </c>
      <c r="AM165" s="8"/>
      <c r="AN165" s="8"/>
      <c r="AO165" s="8"/>
      <c r="AP165" s="8"/>
      <c r="AQ165" s="9">
        <v>2</v>
      </c>
      <c r="AR165" s="9">
        <v>1</v>
      </c>
      <c r="AS165" s="10" t="s">
        <v>52</v>
      </c>
      <c r="AT165" s="10" t="s">
        <v>53</v>
      </c>
      <c r="AU165" s="8"/>
      <c r="AV165" s="10" t="s">
        <v>54</v>
      </c>
      <c r="AW165" s="10" t="s">
        <v>51</v>
      </c>
      <c r="AX165" s="10" t="s">
        <v>55</v>
      </c>
      <c r="AY165" s="8"/>
    </row>
    <row r="166" spans="1:51" x14ac:dyDescent="0.15">
      <c r="A166" s="11" t="s">
        <v>80</v>
      </c>
      <c r="B166" s="12" t="s">
        <v>67</v>
      </c>
      <c r="C166" s="10" t="s">
        <v>62</v>
      </c>
      <c r="D166" s="10" t="s">
        <v>63</v>
      </c>
      <c r="E166" s="9">
        <v>23</v>
      </c>
      <c r="F166" s="9">
        <v>23</v>
      </c>
      <c r="G166" s="9">
        <v>0</v>
      </c>
      <c r="H166" s="10" t="s">
        <v>63</v>
      </c>
      <c r="I166" s="9">
        <v>1</v>
      </c>
      <c r="J166" s="9">
        <v>0.47451454099791601</v>
      </c>
      <c r="K166" s="10" t="s">
        <v>51</v>
      </c>
      <c r="L166" s="9">
        <v>0</v>
      </c>
      <c r="M166" s="9">
        <v>23</v>
      </c>
      <c r="N166" s="9">
        <v>23</v>
      </c>
      <c r="O166" s="9">
        <v>33</v>
      </c>
      <c r="P166" s="9">
        <v>38.430610750001499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9">
        <v>38.422373499997803</v>
      </c>
      <c r="AD166" s="9">
        <v>38.430610750001499</v>
      </c>
      <c r="AE166" s="9">
        <v>38.915898582999901</v>
      </c>
      <c r="AF166" s="9">
        <v>38.915898582999901</v>
      </c>
      <c r="AG166" s="9">
        <v>38.915898582999901</v>
      </c>
      <c r="AH166" s="9">
        <v>39.401023250000399</v>
      </c>
      <c r="AI166" s="10" t="s">
        <v>63</v>
      </c>
      <c r="AJ166" s="9">
        <v>1</v>
      </c>
      <c r="AK166" s="9">
        <v>0.47451454099791601</v>
      </c>
      <c r="AL166" s="10" t="s">
        <v>51</v>
      </c>
      <c r="AM166" s="8"/>
      <c r="AN166" s="8"/>
      <c r="AO166" s="8"/>
      <c r="AP166" s="8"/>
      <c r="AQ166" s="9">
        <v>2</v>
      </c>
      <c r="AR166" s="9">
        <v>1</v>
      </c>
      <c r="AS166" s="10" t="s">
        <v>52</v>
      </c>
      <c r="AT166" s="10" t="s">
        <v>53</v>
      </c>
      <c r="AU166" s="8"/>
      <c r="AV166" s="10" t="s">
        <v>54</v>
      </c>
      <c r="AW166" s="10" t="s">
        <v>51</v>
      </c>
      <c r="AX166" s="10" t="s">
        <v>55</v>
      </c>
      <c r="AY166" s="8"/>
    </row>
    <row r="167" spans="1:51" x14ac:dyDescent="0.15">
      <c r="A167" s="11" t="s">
        <v>81</v>
      </c>
      <c r="B167" s="12" t="s">
        <v>67</v>
      </c>
      <c r="C167" s="10" t="s">
        <v>58</v>
      </c>
      <c r="D167" s="10" t="s">
        <v>59</v>
      </c>
      <c r="E167" s="9">
        <v>25</v>
      </c>
      <c r="F167" s="9">
        <v>25</v>
      </c>
      <c r="G167" s="9">
        <v>0</v>
      </c>
      <c r="H167" s="10" t="s">
        <v>59</v>
      </c>
      <c r="I167" s="9">
        <v>1</v>
      </c>
      <c r="J167" s="9">
        <v>0.41218641700106701</v>
      </c>
      <c r="K167" s="10" t="s">
        <v>51</v>
      </c>
      <c r="L167" s="9">
        <v>0</v>
      </c>
      <c r="M167" s="9">
        <v>25</v>
      </c>
      <c r="N167" s="9">
        <v>25</v>
      </c>
      <c r="O167" s="9">
        <v>44</v>
      </c>
      <c r="P167" s="9">
        <v>40.265009208000301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9">
        <v>40.256309125004897</v>
      </c>
      <c r="AD167" s="9">
        <v>40.265009208000301</v>
      </c>
      <c r="AE167" s="9">
        <v>40.7495642499998</v>
      </c>
      <c r="AF167" s="9">
        <v>40.7495642499998</v>
      </c>
      <c r="AG167" s="9">
        <v>40.7495642499998</v>
      </c>
      <c r="AH167" s="9">
        <v>41.167361875006499</v>
      </c>
      <c r="AI167" s="10" t="s">
        <v>59</v>
      </c>
      <c r="AJ167" s="9">
        <v>1</v>
      </c>
      <c r="AK167" s="9">
        <v>0.41218641700106701</v>
      </c>
      <c r="AL167" s="10" t="s">
        <v>51</v>
      </c>
      <c r="AM167" s="8"/>
      <c r="AN167" s="8"/>
      <c r="AO167" s="8"/>
      <c r="AP167" s="8"/>
      <c r="AQ167" s="9">
        <v>2</v>
      </c>
      <c r="AR167" s="9">
        <v>1</v>
      </c>
      <c r="AS167" s="10" t="s">
        <v>52</v>
      </c>
      <c r="AT167" s="10" t="s">
        <v>53</v>
      </c>
      <c r="AU167" s="8"/>
      <c r="AV167" s="10" t="s">
        <v>54</v>
      </c>
      <c r="AW167" s="10" t="s">
        <v>51</v>
      </c>
      <c r="AX167" s="10" t="s">
        <v>55</v>
      </c>
      <c r="AY167" s="8"/>
    </row>
    <row r="168" spans="1:51" x14ac:dyDescent="0.15">
      <c r="A168" s="11" t="s">
        <v>82</v>
      </c>
      <c r="B168" s="12" t="s">
        <v>67</v>
      </c>
      <c r="C168" s="10" t="s">
        <v>58</v>
      </c>
      <c r="D168" s="10" t="s">
        <v>59</v>
      </c>
      <c r="E168" s="9">
        <v>27</v>
      </c>
      <c r="F168" s="9">
        <v>27</v>
      </c>
      <c r="G168" s="9">
        <v>0</v>
      </c>
      <c r="H168" s="10" t="s">
        <v>59</v>
      </c>
      <c r="I168" s="9">
        <v>1</v>
      </c>
      <c r="J168" s="9">
        <v>0.698786207998637</v>
      </c>
      <c r="K168" s="10" t="s">
        <v>51</v>
      </c>
      <c r="L168" s="9">
        <v>0</v>
      </c>
      <c r="M168" s="9">
        <v>27</v>
      </c>
      <c r="N168" s="9">
        <v>27</v>
      </c>
      <c r="O168" s="9">
        <v>36</v>
      </c>
      <c r="P168" s="9">
        <v>42.082015457999702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9">
        <v>42.0736373330001</v>
      </c>
      <c r="AD168" s="9">
        <v>42.082015457999702</v>
      </c>
      <c r="AE168" s="9">
        <v>42.565912417005201</v>
      </c>
      <c r="AF168" s="9">
        <v>42.565912417005201</v>
      </c>
      <c r="AG168" s="9">
        <v>42.565912417005201</v>
      </c>
      <c r="AH168" s="9">
        <v>43.267985124999498</v>
      </c>
      <c r="AI168" s="10" t="s">
        <v>59</v>
      </c>
      <c r="AJ168" s="9">
        <v>1</v>
      </c>
      <c r="AK168" s="9">
        <v>0.698786207998637</v>
      </c>
      <c r="AL168" s="10" t="s">
        <v>51</v>
      </c>
      <c r="AM168" s="8"/>
      <c r="AN168" s="8"/>
      <c r="AO168" s="8"/>
      <c r="AP168" s="8"/>
      <c r="AQ168" s="9">
        <v>2</v>
      </c>
      <c r="AR168" s="9">
        <v>1</v>
      </c>
      <c r="AS168" s="10" t="s">
        <v>52</v>
      </c>
      <c r="AT168" s="10" t="s">
        <v>53</v>
      </c>
      <c r="AU168" s="8"/>
      <c r="AV168" s="10" t="s">
        <v>54</v>
      </c>
      <c r="AW168" s="10" t="s">
        <v>51</v>
      </c>
      <c r="AX168" s="10" t="s">
        <v>55</v>
      </c>
      <c r="AY168" s="8"/>
    </row>
    <row r="169" spans="1:51" x14ac:dyDescent="0.15">
      <c r="A169" s="11" t="s">
        <v>69</v>
      </c>
      <c r="B169" s="12" t="s">
        <v>67</v>
      </c>
      <c r="C169" s="10" t="s">
        <v>58</v>
      </c>
      <c r="D169" s="10" t="s">
        <v>59</v>
      </c>
      <c r="E169" s="9">
        <v>31</v>
      </c>
      <c r="F169" s="9">
        <v>31</v>
      </c>
      <c r="G169" s="9">
        <v>1</v>
      </c>
      <c r="H169" s="10" t="s">
        <v>59</v>
      </c>
      <c r="I169" s="9">
        <v>1</v>
      </c>
      <c r="J169" s="9">
        <v>0.39543358299124498</v>
      </c>
      <c r="K169" s="10" t="s">
        <v>51</v>
      </c>
      <c r="L169" s="9">
        <v>1</v>
      </c>
      <c r="M169" s="9">
        <v>31</v>
      </c>
      <c r="N169" s="9">
        <v>31</v>
      </c>
      <c r="O169" s="9">
        <v>38</v>
      </c>
      <c r="P169" s="9">
        <v>47.432667208006002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9">
        <v>47.424058500008002</v>
      </c>
      <c r="AD169" s="9">
        <v>47.432667208006002</v>
      </c>
      <c r="AE169" s="9">
        <v>47.9162920420058</v>
      </c>
      <c r="AF169" s="9">
        <v>47.9162920420058</v>
      </c>
      <c r="AG169" s="9">
        <v>47.9162920420058</v>
      </c>
      <c r="AH169" s="9">
        <v>48.317666083006799</v>
      </c>
      <c r="AI169" s="10" t="s">
        <v>59</v>
      </c>
      <c r="AJ169" s="9">
        <v>1</v>
      </c>
      <c r="AK169" s="9">
        <v>0.39543358299124498</v>
      </c>
      <c r="AL169" s="10" t="s">
        <v>51</v>
      </c>
      <c r="AM169" s="8"/>
      <c r="AN169" s="8"/>
      <c r="AO169" s="8"/>
      <c r="AP169" s="8"/>
      <c r="AQ169" s="9">
        <v>2</v>
      </c>
      <c r="AR169" s="9">
        <v>1</v>
      </c>
      <c r="AS169" s="10" t="s">
        <v>52</v>
      </c>
      <c r="AT169" s="10" t="s">
        <v>53</v>
      </c>
      <c r="AU169" s="8"/>
      <c r="AV169" s="10" t="s">
        <v>54</v>
      </c>
      <c r="AW169" s="10" t="s">
        <v>51</v>
      </c>
      <c r="AX169" s="10" t="s">
        <v>55</v>
      </c>
      <c r="AY169" s="8"/>
    </row>
    <row r="170" spans="1:51" x14ac:dyDescent="0.15">
      <c r="A170" s="11" t="s">
        <v>69</v>
      </c>
      <c r="B170" s="12" t="s">
        <v>67</v>
      </c>
      <c r="C170" s="10" t="s">
        <v>58</v>
      </c>
      <c r="D170" s="10" t="s">
        <v>59</v>
      </c>
      <c r="E170" s="9">
        <v>35</v>
      </c>
      <c r="F170" s="9">
        <v>35</v>
      </c>
      <c r="G170" s="9">
        <v>2</v>
      </c>
      <c r="H170" s="10" t="s">
        <v>59</v>
      </c>
      <c r="I170" s="9">
        <v>1</v>
      </c>
      <c r="J170" s="9">
        <v>1.14564458299719</v>
      </c>
      <c r="K170" s="10" t="s">
        <v>51</v>
      </c>
      <c r="L170" s="9">
        <v>2</v>
      </c>
      <c r="M170" s="9">
        <v>35</v>
      </c>
      <c r="N170" s="9">
        <v>35</v>
      </c>
      <c r="O170" s="9">
        <v>38</v>
      </c>
      <c r="P170" s="9">
        <v>51.330846750002799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9">
        <v>51.3225970000058</v>
      </c>
      <c r="AD170" s="9">
        <v>51.330846750002799</v>
      </c>
      <c r="AE170" s="9">
        <v>51.816167167009603</v>
      </c>
      <c r="AF170" s="9">
        <v>51.816167167009603</v>
      </c>
      <c r="AG170" s="9">
        <v>51.816167167009603</v>
      </c>
      <c r="AH170" s="9">
        <v>52.968426999999799</v>
      </c>
      <c r="AI170" s="10" t="s">
        <v>59</v>
      </c>
      <c r="AJ170" s="9">
        <v>1</v>
      </c>
      <c r="AK170" s="9">
        <v>1.14564458299719</v>
      </c>
      <c r="AL170" s="10" t="s">
        <v>51</v>
      </c>
      <c r="AM170" s="8"/>
      <c r="AN170" s="8"/>
      <c r="AO170" s="8"/>
      <c r="AP170" s="8"/>
      <c r="AQ170" s="9">
        <v>2</v>
      </c>
      <c r="AR170" s="9">
        <v>1</v>
      </c>
      <c r="AS170" s="10" t="s">
        <v>52</v>
      </c>
      <c r="AT170" s="10" t="s">
        <v>53</v>
      </c>
      <c r="AU170" s="8"/>
      <c r="AV170" s="10" t="s">
        <v>54</v>
      </c>
      <c r="AW170" s="10" t="s">
        <v>51</v>
      </c>
      <c r="AX170" s="10" t="s">
        <v>55</v>
      </c>
      <c r="AY170" s="8"/>
    </row>
    <row r="171" spans="1:51" x14ac:dyDescent="0.15">
      <c r="A171" s="11" t="s">
        <v>69</v>
      </c>
      <c r="B171" s="12" t="s">
        <v>67</v>
      </c>
      <c r="C171" s="10" t="s">
        <v>62</v>
      </c>
      <c r="D171" s="10" t="s">
        <v>63</v>
      </c>
      <c r="E171" s="9">
        <v>38</v>
      </c>
      <c r="F171" s="9">
        <v>38</v>
      </c>
      <c r="G171" s="9">
        <v>0</v>
      </c>
      <c r="H171" s="10" t="s">
        <v>63</v>
      </c>
      <c r="I171" s="9">
        <v>1</v>
      </c>
      <c r="J171" s="9">
        <v>0.372519500000635</v>
      </c>
      <c r="K171" s="10" t="s">
        <v>51</v>
      </c>
      <c r="L171" s="9">
        <v>0</v>
      </c>
      <c r="M171" s="9">
        <v>38</v>
      </c>
      <c r="N171" s="9">
        <v>38</v>
      </c>
      <c r="O171" s="9">
        <v>39</v>
      </c>
      <c r="P171" s="9">
        <v>54.897822833008803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9">
        <v>54.889517458010197</v>
      </c>
      <c r="AD171" s="9">
        <v>54.897822833008803</v>
      </c>
      <c r="AE171" s="9">
        <v>55.377345833010601</v>
      </c>
      <c r="AF171" s="9">
        <v>55.377345833010601</v>
      </c>
      <c r="AG171" s="9">
        <v>55.377345833010601</v>
      </c>
      <c r="AH171" s="9">
        <v>55.751844625003301</v>
      </c>
      <c r="AI171" s="10" t="s">
        <v>63</v>
      </c>
      <c r="AJ171" s="9">
        <v>1</v>
      </c>
      <c r="AK171" s="9">
        <v>0.372519500000635</v>
      </c>
      <c r="AL171" s="10" t="s">
        <v>51</v>
      </c>
      <c r="AM171" s="8"/>
      <c r="AN171" s="8"/>
      <c r="AO171" s="8"/>
      <c r="AP171" s="8"/>
      <c r="AQ171" s="9">
        <v>2</v>
      </c>
      <c r="AR171" s="9">
        <v>1</v>
      </c>
      <c r="AS171" s="10" t="s">
        <v>52</v>
      </c>
      <c r="AT171" s="10" t="s">
        <v>53</v>
      </c>
      <c r="AU171" s="8"/>
      <c r="AV171" s="10" t="s">
        <v>54</v>
      </c>
      <c r="AW171" s="10" t="s">
        <v>51</v>
      </c>
      <c r="AX171" s="10" t="s">
        <v>55</v>
      </c>
      <c r="AY171" s="8"/>
    </row>
    <row r="172" spans="1:51" x14ac:dyDescent="0.15">
      <c r="A172" s="11" t="s">
        <v>80</v>
      </c>
      <c r="B172" s="12" t="s">
        <v>67</v>
      </c>
      <c r="C172" s="10" t="s">
        <v>62</v>
      </c>
      <c r="D172" s="10" t="s">
        <v>63</v>
      </c>
      <c r="E172" s="9">
        <v>39</v>
      </c>
      <c r="F172" s="9">
        <v>39</v>
      </c>
      <c r="G172" s="9">
        <v>1</v>
      </c>
      <c r="H172" s="10" t="s">
        <v>63</v>
      </c>
      <c r="I172" s="9">
        <v>1</v>
      </c>
      <c r="J172" s="9">
        <v>0.70303075000992998</v>
      </c>
      <c r="K172" s="10" t="s">
        <v>51</v>
      </c>
      <c r="L172" s="9">
        <v>1</v>
      </c>
      <c r="M172" s="9">
        <v>39</v>
      </c>
      <c r="N172" s="9">
        <v>39</v>
      </c>
      <c r="O172" s="9">
        <v>33</v>
      </c>
      <c r="P172" s="9">
        <v>55.765240292006602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9">
        <v>55.756699250006903</v>
      </c>
      <c r="AD172" s="9">
        <v>55.765240292006602</v>
      </c>
      <c r="AE172" s="9">
        <v>56.249687832998497</v>
      </c>
      <c r="AF172" s="9">
        <v>56.249687832998497</v>
      </c>
      <c r="AG172" s="9">
        <v>56.249687832998497</v>
      </c>
      <c r="AH172" s="9">
        <v>56.957203249999999</v>
      </c>
      <c r="AI172" s="10" t="s">
        <v>63</v>
      </c>
      <c r="AJ172" s="9">
        <v>1</v>
      </c>
      <c r="AK172" s="9">
        <v>0.70303075000992998</v>
      </c>
      <c r="AL172" s="10" t="s">
        <v>51</v>
      </c>
      <c r="AM172" s="8"/>
      <c r="AN172" s="8"/>
      <c r="AO172" s="8"/>
      <c r="AP172" s="8"/>
      <c r="AQ172" s="9">
        <v>2</v>
      </c>
      <c r="AR172" s="9">
        <v>1</v>
      </c>
      <c r="AS172" s="10" t="s">
        <v>52</v>
      </c>
      <c r="AT172" s="10" t="s">
        <v>53</v>
      </c>
      <c r="AU172" s="8"/>
      <c r="AV172" s="10" t="s">
        <v>54</v>
      </c>
      <c r="AW172" s="10" t="s">
        <v>51</v>
      </c>
      <c r="AX172" s="10" t="s">
        <v>55</v>
      </c>
      <c r="AY172" s="8"/>
    </row>
    <row r="173" spans="1:51" x14ac:dyDescent="0.15">
      <c r="A173" s="11" t="s">
        <v>81</v>
      </c>
      <c r="B173" s="12" t="s">
        <v>67</v>
      </c>
      <c r="C173" s="10" t="s">
        <v>58</v>
      </c>
      <c r="D173" s="10" t="s">
        <v>59</v>
      </c>
      <c r="E173" s="9">
        <v>42</v>
      </c>
      <c r="F173" s="9">
        <v>42</v>
      </c>
      <c r="G173" s="9">
        <v>1</v>
      </c>
      <c r="H173" s="10" t="s">
        <v>59</v>
      </c>
      <c r="I173" s="9">
        <v>1</v>
      </c>
      <c r="J173" s="9">
        <v>0.32480312501138497</v>
      </c>
      <c r="K173" s="10" t="s">
        <v>51</v>
      </c>
      <c r="L173" s="9">
        <v>1</v>
      </c>
      <c r="M173" s="9">
        <v>42</v>
      </c>
      <c r="N173" s="9">
        <v>42</v>
      </c>
      <c r="O173" s="9">
        <v>44</v>
      </c>
      <c r="P173" s="9">
        <v>59.315178500008201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9">
        <v>59.306386292009897</v>
      </c>
      <c r="AD173" s="9">
        <v>59.315178500008201</v>
      </c>
      <c r="AE173" s="9">
        <v>59.799977125003402</v>
      </c>
      <c r="AF173" s="9">
        <v>59.799977125003402</v>
      </c>
      <c r="AG173" s="9">
        <v>59.799977125003402</v>
      </c>
      <c r="AH173" s="9">
        <v>60.134975082997698</v>
      </c>
      <c r="AI173" s="10" t="s">
        <v>59</v>
      </c>
      <c r="AJ173" s="9">
        <v>1</v>
      </c>
      <c r="AK173" s="9">
        <v>0.32480312501138497</v>
      </c>
      <c r="AL173" s="10" t="s">
        <v>51</v>
      </c>
      <c r="AM173" s="8"/>
      <c r="AN173" s="8"/>
      <c r="AO173" s="8"/>
      <c r="AP173" s="8"/>
      <c r="AQ173" s="9">
        <v>2</v>
      </c>
      <c r="AR173" s="9">
        <v>1</v>
      </c>
      <c r="AS173" s="10" t="s">
        <v>52</v>
      </c>
      <c r="AT173" s="10" t="s">
        <v>53</v>
      </c>
      <c r="AU173" s="8"/>
      <c r="AV173" s="10" t="s">
        <v>54</v>
      </c>
      <c r="AW173" s="10" t="s">
        <v>51</v>
      </c>
      <c r="AX173" s="10" t="s">
        <v>55</v>
      </c>
      <c r="AY173" s="8"/>
    </row>
    <row r="174" spans="1:51" x14ac:dyDescent="0.15">
      <c r="A174" s="11" t="s">
        <v>69</v>
      </c>
      <c r="B174" s="12" t="s">
        <v>67</v>
      </c>
      <c r="C174" s="10" t="s">
        <v>62</v>
      </c>
      <c r="D174" s="10" t="s">
        <v>63</v>
      </c>
      <c r="E174" s="9">
        <v>43</v>
      </c>
      <c r="F174" s="9">
        <v>43</v>
      </c>
      <c r="G174" s="9">
        <v>1</v>
      </c>
      <c r="H174" s="10" t="s">
        <v>63</v>
      </c>
      <c r="I174" s="9">
        <v>1</v>
      </c>
      <c r="J174" s="9">
        <v>0.56744062498910397</v>
      </c>
      <c r="K174" s="10" t="s">
        <v>51</v>
      </c>
      <c r="L174" s="9">
        <v>1</v>
      </c>
      <c r="M174" s="9">
        <v>43</v>
      </c>
      <c r="N174" s="9">
        <v>43</v>
      </c>
      <c r="O174" s="9">
        <v>39</v>
      </c>
      <c r="P174" s="9">
        <v>60.1482950000063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9">
        <v>60.140205832998603</v>
      </c>
      <c r="AD174" s="9">
        <v>60.1482950000063</v>
      </c>
      <c r="AE174" s="9">
        <v>60.633485292011798</v>
      </c>
      <c r="AF174" s="9">
        <v>60.633485292011798</v>
      </c>
      <c r="AG174" s="9">
        <v>60.633485292011798</v>
      </c>
      <c r="AH174" s="9">
        <v>61.207178666998502</v>
      </c>
      <c r="AI174" s="10" t="s">
        <v>63</v>
      </c>
      <c r="AJ174" s="9">
        <v>1</v>
      </c>
      <c r="AK174" s="9">
        <v>0.56744062498910397</v>
      </c>
      <c r="AL174" s="10" t="s">
        <v>51</v>
      </c>
      <c r="AM174" s="8"/>
      <c r="AN174" s="8"/>
      <c r="AO174" s="8"/>
      <c r="AP174" s="8"/>
      <c r="AQ174" s="9">
        <v>2</v>
      </c>
      <c r="AR174" s="9">
        <v>1</v>
      </c>
      <c r="AS174" s="10" t="s">
        <v>52</v>
      </c>
      <c r="AT174" s="10" t="s">
        <v>53</v>
      </c>
      <c r="AU174" s="8"/>
      <c r="AV174" s="10" t="s">
        <v>54</v>
      </c>
      <c r="AW174" s="10" t="s">
        <v>51</v>
      </c>
      <c r="AX174" s="10" t="s">
        <v>55</v>
      </c>
      <c r="AY174" s="8"/>
    </row>
    <row r="175" spans="1:51" x14ac:dyDescent="0.15">
      <c r="A175" s="11" t="s">
        <v>86</v>
      </c>
      <c r="B175" s="12" t="s">
        <v>67</v>
      </c>
      <c r="C175" s="10" t="s">
        <v>58</v>
      </c>
      <c r="D175" s="10" t="s">
        <v>59</v>
      </c>
      <c r="E175" s="9">
        <v>46</v>
      </c>
      <c r="F175" s="9">
        <v>46</v>
      </c>
      <c r="G175" s="9">
        <v>0</v>
      </c>
      <c r="H175" s="10" t="s">
        <v>59</v>
      </c>
      <c r="I175" s="9">
        <v>1</v>
      </c>
      <c r="J175" s="9">
        <v>0.53004729200620204</v>
      </c>
      <c r="K175" s="10" t="s">
        <v>51</v>
      </c>
      <c r="L175" s="9">
        <v>0</v>
      </c>
      <c r="M175" s="9">
        <v>46</v>
      </c>
      <c r="N175" s="9">
        <v>46</v>
      </c>
      <c r="O175" s="9">
        <v>34</v>
      </c>
      <c r="P175" s="9">
        <v>63.364901458000503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9">
        <v>63.356463458010701</v>
      </c>
      <c r="AD175" s="9">
        <v>63.364901458000503</v>
      </c>
      <c r="AE175" s="9">
        <v>63.850170375007998</v>
      </c>
      <c r="AF175" s="9">
        <v>63.850170375007998</v>
      </c>
      <c r="AG175" s="9">
        <v>63.850170375007998</v>
      </c>
      <c r="AH175" s="9">
        <v>64.385364292000304</v>
      </c>
      <c r="AI175" s="10" t="s">
        <v>59</v>
      </c>
      <c r="AJ175" s="9">
        <v>1</v>
      </c>
      <c r="AK175" s="9">
        <v>0.53004729200620204</v>
      </c>
      <c r="AL175" s="10" t="s">
        <v>51</v>
      </c>
      <c r="AM175" s="8"/>
      <c r="AN175" s="8"/>
      <c r="AO175" s="8"/>
      <c r="AP175" s="8"/>
      <c r="AQ175" s="9">
        <v>2</v>
      </c>
      <c r="AR175" s="9">
        <v>1</v>
      </c>
      <c r="AS175" s="10" t="s">
        <v>52</v>
      </c>
      <c r="AT175" s="10" t="s">
        <v>53</v>
      </c>
      <c r="AU175" s="8"/>
      <c r="AV175" s="10" t="s">
        <v>54</v>
      </c>
      <c r="AW175" s="10" t="s">
        <v>51</v>
      </c>
      <c r="AX175" s="10" t="s">
        <v>55</v>
      </c>
      <c r="AY175" s="8"/>
    </row>
    <row r="176" spans="1:51" x14ac:dyDescent="0.15">
      <c r="A176" s="11" t="s">
        <v>69</v>
      </c>
      <c r="B176" s="12" t="s">
        <v>67</v>
      </c>
      <c r="C176" s="10" t="s">
        <v>62</v>
      </c>
      <c r="D176" s="10" t="s">
        <v>63</v>
      </c>
      <c r="E176" s="9">
        <v>47</v>
      </c>
      <c r="F176" s="9">
        <v>47</v>
      </c>
      <c r="G176" s="9">
        <v>2</v>
      </c>
      <c r="H176" s="10" t="s">
        <v>63</v>
      </c>
      <c r="I176" s="9">
        <v>1</v>
      </c>
      <c r="J176" s="9">
        <v>0.47792041600041602</v>
      </c>
      <c r="K176" s="10" t="s">
        <v>51</v>
      </c>
      <c r="L176" s="9">
        <v>2</v>
      </c>
      <c r="M176" s="9">
        <v>47</v>
      </c>
      <c r="N176" s="9">
        <v>47</v>
      </c>
      <c r="O176" s="9">
        <v>39</v>
      </c>
      <c r="P176" s="9">
        <v>64.398931083007497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9">
        <v>64.390703333003302</v>
      </c>
      <c r="AD176" s="9">
        <v>64.398931083007497</v>
      </c>
      <c r="AE176" s="9">
        <v>64.883060833002702</v>
      </c>
      <c r="AF176" s="9">
        <v>64.883060833002702</v>
      </c>
      <c r="AG176" s="9">
        <v>64.883060833002702</v>
      </c>
      <c r="AH176" s="9">
        <v>65.368580916998297</v>
      </c>
      <c r="AI176" s="10" t="s">
        <v>63</v>
      </c>
      <c r="AJ176" s="9">
        <v>1</v>
      </c>
      <c r="AK176" s="9">
        <v>0.47792041600041602</v>
      </c>
      <c r="AL176" s="10" t="s">
        <v>51</v>
      </c>
      <c r="AM176" s="8"/>
      <c r="AN176" s="8"/>
      <c r="AO176" s="8"/>
      <c r="AP176" s="8"/>
      <c r="AQ176" s="9">
        <v>2</v>
      </c>
      <c r="AR176" s="9">
        <v>1</v>
      </c>
      <c r="AS176" s="10" t="s">
        <v>52</v>
      </c>
      <c r="AT176" s="10" t="s">
        <v>53</v>
      </c>
      <c r="AU176" s="8"/>
      <c r="AV176" s="10" t="s">
        <v>54</v>
      </c>
      <c r="AW176" s="10" t="s">
        <v>51</v>
      </c>
      <c r="AX176" s="10" t="s">
        <v>55</v>
      </c>
      <c r="AY176" s="8"/>
    </row>
    <row r="177" spans="1:51" x14ac:dyDescent="0.15">
      <c r="A177" s="11" t="s">
        <v>86</v>
      </c>
      <c r="B177" s="12" t="s">
        <v>67</v>
      </c>
      <c r="C177" s="10" t="s">
        <v>58</v>
      </c>
      <c r="D177" s="10" t="s">
        <v>59</v>
      </c>
      <c r="E177" s="9">
        <v>49</v>
      </c>
      <c r="F177" s="9">
        <v>49</v>
      </c>
      <c r="G177" s="9">
        <v>1</v>
      </c>
      <c r="H177" s="10" t="s">
        <v>59</v>
      </c>
      <c r="I177" s="9">
        <v>1</v>
      </c>
      <c r="J177" s="9">
        <v>0.50656904200150199</v>
      </c>
      <c r="K177" s="10" t="s">
        <v>51</v>
      </c>
      <c r="L177" s="9">
        <v>1</v>
      </c>
      <c r="M177" s="9">
        <v>49</v>
      </c>
      <c r="N177" s="9">
        <v>49</v>
      </c>
      <c r="O177" s="9">
        <v>34</v>
      </c>
      <c r="P177" s="9">
        <v>66.248892417002907</v>
      </c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9">
        <v>66.2406431249983</v>
      </c>
      <c r="AD177" s="9">
        <v>66.248892417002907</v>
      </c>
      <c r="AE177" s="9">
        <v>66.733368458008002</v>
      </c>
      <c r="AF177" s="9">
        <v>66.733368458008002</v>
      </c>
      <c r="AG177" s="9">
        <v>66.733368458008002</v>
      </c>
      <c r="AH177" s="9">
        <v>67.251996833001598</v>
      </c>
      <c r="AI177" s="10" t="s">
        <v>59</v>
      </c>
      <c r="AJ177" s="9">
        <v>1</v>
      </c>
      <c r="AK177" s="9">
        <v>0.50656904200150199</v>
      </c>
      <c r="AL177" s="10" t="s">
        <v>51</v>
      </c>
      <c r="AM177" s="8"/>
      <c r="AN177" s="8"/>
      <c r="AO177" s="8"/>
      <c r="AP177" s="8"/>
      <c r="AQ177" s="9">
        <v>2</v>
      </c>
      <c r="AR177" s="9">
        <v>1</v>
      </c>
      <c r="AS177" s="10" t="s">
        <v>52</v>
      </c>
      <c r="AT177" s="10" t="s">
        <v>53</v>
      </c>
      <c r="AU177" s="8"/>
      <c r="AV177" s="10" t="s">
        <v>54</v>
      </c>
      <c r="AW177" s="10" t="s">
        <v>51</v>
      </c>
      <c r="AX177" s="10" t="s">
        <v>55</v>
      </c>
      <c r="AY177" s="8"/>
    </row>
    <row r="178" spans="1:51" x14ac:dyDescent="0.15">
      <c r="A178" s="11" t="s">
        <v>69</v>
      </c>
      <c r="B178" s="12" t="s">
        <v>67</v>
      </c>
      <c r="C178" s="10" t="s">
        <v>62</v>
      </c>
      <c r="D178" s="10" t="s">
        <v>63</v>
      </c>
      <c r="E178" s="9">
        <v>59</v>
      </c>
      <c r="F178" s="9">
        <v>59</v>
      </c>
      <c r="G178" s="9">
        <v>3</v>
      </c>
      <c r="H178" s="10" t="s">
        <v>63</v>
      </c>
      <c r="I178" s="9">
        <v>1</v>
      </c>
      <c r="J178" s="9">
        <v>0.468787999998312</v>
      </c>
      <c r="K178" s="10" t="s">
        <v>51</v>
      </c>
      <c r="L178" s="9">
        <v>3</v>
      </c>
      <c r="M178" s="9">
        <v>59</v>
      </c>
      <c r="N178" s="9">
        <v>59</v>
      </c>
      <c r="O178" s="9">
        <v>39</v>
      </c>
      <c r="P178" s="9">
        <v>77.432492958003394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9">
        <v>77.423968667004402</v>
      </c>
      <c r="AD178" s="9">
        <v>77.432492958003394</v>
      </c>
      <c r="AE178" s="9">
        <v>77.9173227080028</v>
      </c>
      <c r="AF178" s="9">
        <v>77.9173227080028</v>
      </c>
      <c r="AG178" s="9">
        <v>77.9173227080028</v>
      </c>
      <c r="AH178" s="9">
        <v>78.391201333011907</v>
      </c>
      <c r="AI178" s="10" t="s">
        <v>63</v>
      </c>
      <c r="AJ178" s="9">
        <v>1</v>
      </c>
      <c r="AK178" s="9">
        <v>0.468787999998312</v>
      </c>
      <c r="AL178" s="10" t="s">
        <v>51</v>
      </c>
      <c r="AM178" s="8"/>
      <c r="AN178" s="8"/>
      <c r="AO178" s="8"/>
      <c r="AP178" s="8"/>
      <c r="AQ178" s="9">
        <v>2</v>
      </c>
      <c r="AR178" s="9">
        <v>1</v>
      </c>
      <c r="AS178" s="10" t="s">
        <v>52</v>
      </c>
      <c r="AT178" s="10" t="s">
        <v>53</v>
      </c>
      <c r="AU178" s="8"/>
      <c r="AV178" s="10" t="s">
        <v>54</v>
      </c>
      <c r="AW178" s="10" t="s">
        <v>51</v>
      </c>
      <c r="AX178" s="10" t="s">
        <v>55</v>
      </c>
      <c r="AY178" s="8"/>
    </row>
    <row r="179" spans="1:51" x14ac:dyDescent="0.15">
      <c r="A179" s="11" t="s">
        <v>81</v>
      </c>
      <c r="B179" s="12" t="s">
        <v>67</v>
      </c>
      <c r="C179" s="10" t="s">
        <v>62</v>
      </c>
      <c r="D179" s="10" t="s">
        <v>63</v>
      </c>
      <c r="E179" s="9">
        <v>61</v>
      </c>
      <c r="F179" s="9">
        <v>61</v>
      </c>
      <c r="G179" s="9">
        <v>0</v>
      </c>
      <c r="H179" s="10" t="s">
        <v>63</v>
      </c>
      <c r="I179" s="9">
        <v>1</v>
      </c>
      <c r="J179" s="9">
        <v>0.497812540997984</v>
      </c>
      <c r="K179" s="10" t="s">
        <v>51</v>
      </c>
      <c r="L179" s="9">
        <v>0</v>
      </c>
      <c r="M179" s="9">
        <v>61</v>
      </c>
      <c r="N179" s="9">
        <v>61</v>
      </c>
      <c r="O179" s="9">
        <v>45</v>
      </c>
      <c r="P179" s="9">
        <v>79.515526083007003</v>
      </c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9">
        <v>79.507076708003297</v>
      </c>
      <c r="AD179" s="9">
        <v>79.515526083007003</v>
      </c>
      <c r="AE179" s="9">
        <v>80.000487666999106</v>
      </c>
      <c r="AF179" s="9">
        <v>80.000487666999106</v>
      </c>
      <c r="AG179" s="9">
        <v>80.000487666999106</v>
      </c>
      <c r="AH179" s="9">
        <v>80.502574333004304</v>
      </c>
      <c r="AI179" s="10" t="s">
        <v>63</v>
      </c>
      <c r="AJ179" s="9">
        <v>1</v>
      </c>
      <c r="AK179" s="9">
        <v>0.497812540997984</v>
      </c>
      <c r="AL179" s="10" t="s">
        <v>51</v>
      </c>
      <c r="AM179" s="8"/>
      <c r="AN179" s="8"/>
      <c r="AO179" s="8"/>
      <c r="AP179" s="8"/>
      <c r="AQ179" s="9">
        <v>2</v>
      </c>
      <c r="AR179" s="9">
        <v>1</v>
      </c>
      <c r="AS179" s="10" t="s">
        <v>52</v>
      </c>
      <c r="AT179" s="10" t="s">
        <v>53</v>
      </c>
      <c r="AU179" s="8"/>
      <c r="AV179" s="10" t="s">
        <v>54</v>
      </c>
      <c r="AW179" s="10" t="s">
        <v>51</v>
      </c>
      <c r="AX179" s="10" t="s">
        <v>55</v>
      </c>
      <c r="AY179" s="8"/>
    </row>
    <row r="180" spans="1:51" x14ac:dyDescent="0.15">
      <c r="A180" s="11" t="s">
        <v>80</v>
      </c>
      <c r="B180" s="12" t="s">
        <v>67</v>
      </c>
      <c r="C180" s="10" t="s">
        <v>62</v>
      </c>
      <c r="D180" s="10" t="s">
        <v>63</v>
      </c>
      <c r="E180" s="9">
        <v>65</v>
      </c>
      <c r="F180" s="9">
        <v>65</v>
      </c>
      <c r="G180" s="9">
        <v>2</v>
      </c>
      <c r="H180" s="10" t="s">
        <v>63</v>
      </c>
      <c r="I180" s="9">
        <v>1</v>
      </c>
      <c r="J180" s="9">
        <v>0.49029566599347202</v>
      </c>
      <c r="K180" s="10" t="s">
        <v>51</v>
      </c>
      <c r="L180" s="9">
        <v>2</v>
      </c>
      <c r="M180" s="9">
        <v>65</v>
      </c>
      <c r="N180" s="9">
        <v>65</v>
      </c>
      <c r="O180" s="9">
        <v>33</v>
      </c>
      <c r="P180" s="9">
        <v>83.806723957997804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9">
        <v>83.795803542001494</v>
      </c>
      <c r="AD180" s="9">
        <v>83.806723957997804</v>
      </c>
      <c r="AE180" s="9">
        <v>84.292191542001106</v>
      </c>
      <c r="AF180" s="9">
        <v>84.292191542001106</v>
      </c>
      <c r="AG180" s="9">
        <v>84.292191542001106</v>
      </c>
      <c r="AH180" s="9">
        <v>84.786189874997902</v>
      </c>
      <c r="AI180" s="10" t="s">
        <v>63</v>
      </c>
      <c r="AJ180" s="9">
        <v>1</v>
      </c>
      <c r="AK180" s="9">
        <v>0.49029566599347202</v>
      </c>
      <c r="AL180" s="10" t="s">
        <v>51</v>
      </c>
      <c r="AM180" s="8"/>
      <c r="AN180" s="8"/>
      <c r="AO180" s="8"/>
      <c r="AP180" s="8"/>
      <c r="AQ180" s="9">
        <v>2</v>
      </c>
      <c r="AR180" s="9">
        <v>1</v>
      </c>
      <c r="AS180" s="10" t="s">
        <v>52</v>
      </c>
      <c r="AT180" s="10" t="s">
        <v>53</v>
      </c>
      <c r="AU180" s="8"/>
      <c r="AV180" s="10" t="s">
        <v>54</v>
      </c>
      <c r="AW180" s="10" t="s">
        <v>51</v>
      </c>
      <c r="AX180" s="10" t="s">
        <v>55</v>
      </c>
      <c r="AY180" s="8"/>
    </row>
    <row r="181" spans="1:51" x14ac:dyDescent="0.15">
      <c r="A181" s="11" t="s">
        <v>82</v>
      </c>
      <c r="B181" s="12" t="s">
        <v>67</v>
      </c>
      <c r="C181" s="10" t="s">
        <v>62</v>
      </c>
      <c r="D181" s="10" t="s">
        <v>63</v>
      </c>
      <c r="E181" s="9">
        <v>71</v>
      </c>
      <c r="F181" s="9">
        <v>71</v>
      </c>
      <c r="G181" s="9">
        <v>0</v>
      </c>
      <c r="H181" s="10" t="s">
        <v>63</v>
      </c>
      <c r="I181" s="9">
        <v>1</v>
      </c>
      <c r="J181" s="9">
        <v>0.33431412500794999</v>
      </c>
      <c r="K181" s="10" t="s">
        <v>51</v>
      </c>
      <c r="L181" s="9">
        <v>0</v>
      </c>
      <c r="M181" s="9">
        <v>71</v>
      </c>
      <c r="N181" s="9">
        <v>71</v>
      </c>
      <c r="O181" s="9">
        <v>37</v>
      </c>
      <c r="P181" s="9">
        <v>89.150221417003195</v>
      </c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9">
        <v>89.141986083006501</v>
      </c>
      <c r="AD181" s="9">
        <v>89.150221417003195</v>
      </c>
      <c r="AE181" s="9">
        <v>89.634022042009803</v>
      </c>
      <c r="AF181" s="9">
        <v>89.634022042009803</v>
      </c>
      <c r="AG181" s="9">
        <v>89.634022042009803</v>
      </c>
      <c r="AH181" s="9">
        <v>89.974853917010506</v>
      </c>
      <c r="AI181" s="10" t="s">
        <v>63</v>
      </c>
      <c r="AJ181" s="9">
        <v>1</v>
      </c>
      <c r="AK181" s="9">
        <v>0.33431412500794999</v>
      </c>
      <c r="AL181" s="10" t="s">
        <v>51</v>
      </c>
      <c r="AM181" s="8"/>
      <c r="AN181" s="8"/>
      <c r="AO181" s="8"/>
      <c r="AP181" s="8"/>
      <c r="AQ181" s="9">
        <v>2</v>
      </c>
      <c r="AR181" s="9">
        <v>1</v>
      </c>
      <c r="AS181" s="10" t="s">
        <v>52</v>
      </c>
      <c r="AT181" s="10" t="s">
        <v>53</v>
      </c>
      <c r="AU181" s="8"/>
      <c r="AV181" s="10" t="s">
        <v>54</v>
      </c>
      <c r="AW181" s="10" t="s">
        <v>51</v>
      </c>
      <c r="AX181" s="10" t="s">
        <v>55</v>
      </c>
      <c r="AY181" s="8"/>
    </row>
    <row r="182" spans="1:51" x14ac:dyDescent="0.15">
      <c r="A182" s="11" t="s">
        <v>80</v>
      </c>
      <c r="B182" s="12" t="s">
        <v>67</v>
      </c>
      <c r="C182" s="10" t="s">
        <v>58</v>
      </c>
      <c r="D182" s="10" t="s">
        <v>59</v>
      </c>
      <c r="E182" s="9">
        <v>74</v>
      </c>
      <c r="F182" s="9">
        <v>74</v>
      </c>
      <c r="G182" s="9">
        <v>0</v>
      </c>
      <c r="H182" s="10" t="s">
        <v>59</v>
      </c>
      <c r="I182" s="9">
        <v>1</v>
      </c>
      <c r="J182" s="9">
        <v>0.44303679199947499</v>
      </c>
      <c r="K182" s="10" t="s">
        <v>51</v>
      </c>
      <c r="L182" s="9">
        <v>0</v>
      </c>
      <c r="M182" s="9">
        <v>74</v>
      </c>
      <c r="N182" s="9">
        <v>74</v>
      </c>
      <c r="O182" s="9">
        <v>32</v>
      </c>
      <c r="P182" s="9">
        <v>91.868279041998903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9">
        <v>91.844956958011593</v>
      </c>
      <c r="AD182" s="9">
        <v>91.868279041998903</v>
      </c>
      <c r="AE182" s="9">
        <v>92.341337125006305</v>
      </c>
      <c r="AF182" s="9">
        <v>92.341337125006305</v>
      </c>
      <c r="AG182" s="9">
        <v>92.341337125006305</v>
      </c>
      <c r="AH182" s="9">
        <v>92.786658417011495</v>
      </c>
      <c r="AI182" s="10" t="s">
        <v>59</v>
      </c>
      <c r="AJ182" s="9">
        <v>1</v>
      </c>
      <c r="AK182" s="9">
        <v>0.44303679199947499</v>
      </c>
      <c r="AL182" s="10" t="s">
        <v>51</v>
      </c>
      <c r="AM182" s="8"/>
      <c r="AN182" s="8"/>
      <c r="AO182" s="8"/>
      <c r="AP182" s="8"/>
      <c r="AQ182" s="9">
        <v>2</v>
      </c>
      <c r="AR182" s="9">
        <v>1</v>
      </c>
      <c r="AS182" s="10" t="s">
        <v>52</v>
      </c>
      <c r="AT182" s="10" t="s">
        <v>53</v>
      </c>
      <c r="AU182" s="8"/>
      <c r="AV182" s="10" t="s">
        <v>54</v>
      </c>
      <c r="AW182" s="10" t="s">
        <v>51</v>
      </c>
      <c r="AX182" s="10" t="s">
        <v>55</v>
      </c>
      <c r="AY182" s="8"/>
    </row>
    <row r="183" spans="1:51" x14ac:dyDescent="0.15">
      <c r="A183" s="11" t="s">
        <v>81</v>
      </c>
      <c r="B183" s="12" t="s">
        <v>67</v>
      </c>
      <c r="C183" s="10" t="s">
        <v>58</v>
      </c>
      <c r="D183" s="10" t="s">
        <v>59</v>
      </c>
      <c r="E183" s="9">
        <v>75</v>
      </c>
      <c r="F183" s="9">
        <v>75</v>
      </c>
      <c r="G183" s="9">
        <v>2</v>
      </c>
      <c r="H183" s="10" t="s">
        <v>59</v>
      </c>
      <c r="I183" s="9">
        <v>1</v>
      </c>
      <c r="J183" s="9">
        <v>0.62503412501246203</v>
      </c>
      <c r="K183" s="10" t="s">
        <v>51</v>
      </c>
      <c r="L183" s="9">
        <v>2</v>
      </c>
      <c r="M183" s="9">
        <v>75</v>
      </c>
      <c r="N183" s="9">
        <v>75</v>
      </c>
      <c r="O183" s="9">
        <v>44</v>
      </c>
      <c r="P183" s="9">
        <v>92.799488625009005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9">
        <v>92.791119250003305</v>
      </c>
      <c r="AD183" s="9">
        <v>92.799488625009005</v>
      </c>
      <c r="AE183" s="9">
        <v>93.284301208011996</v>
      </c>
      <c r="AF183" s="9">
        <v>93.284301208011996</v>
      </c>
      <c r="AG183" s="9">
        <v>93.284301208011996</v>
      </c>
      <c r="AH183" s="9">
        <v>93.919640708001694</v>
      </c>
      <c r="AI183" s="10" t="s">
        <v>59</v>
      </c>
      <c r="AJ183" s="9">
        <v>1</v>
      </c>
      <c r="AK183" s="9">
        <v>0.62503412501246203</v>
      </c>
      <c r="AL183" s="10" t="s">
        <v>51</v>
      </c>
      <c r="AM183" s="8"/>
      <c r="AN183" s="8"/>
      <c r="AO183" s="8"/>
      <c r="AP183" s="8"/>
      <c r="AQ183" s="9">
        <v>2</v>
      </c>
      <c r="AR183" s="9">
        <v>1</v>
      </c>
      <c r="AS183" s="10" t="s">
        <v>52</v>
      </c>
      <c r="AT183" s="10" t="s">
        <v>53</v>
      </c>
      <c r="AU183" s="8"/>
      <c r="AV183" s="10" t="s">
        <v>54</v>
      </c>
      <c r="AW183" s="10" t="s">
        <v>51</v>
      </c>
      <c r="AX183" s="10" t="s">
        <v>55</v>
      </c>
      <c r="AY183" s="8"/>
    </row>
    <row r="184" spans="1:51" x14ac:dyDescent="0.15">
      <c r="A184" s="11" t="s">
        <v>81</v>
      </c>
      <c r="B184" s="12" t="s">
        <v>67</v>
      </c>
      <c r="C184" s="10" t="s">
        <v>58</v>
      </c>
      <c r="D184" s="10" t="s">
        <v>59</v>
      </c>
      <c r="E184" s="9">
        <v>80</v>
      </c>
      <c r="F184" s="9">
        <v>80</v>
      </c>
      <c r="G184" s="9">
        <v>3</v>
      </c>
      <c r="H184" s="10" t="s">
        <v>59</v>
      </c>
      <c r="I184" s="9">
        <v>1</v>
      </c>
      <c r="J184" s="9">
        <v>0.79793874999450098</v>
      </c>
      <c r="K184" s="10" t="s">
        <v>51</v>
      </c>
      <c r="L184" s="9">
        <v>3</v>
      </c>
      <c r="M184" s="9">
        <v>80</v>
      </c>
      <c r="N184" s="9">
        <v>80</v>
      </c>
      <c r="O184" s="9">
        <v>44</v>
      </c>
      <c r="P184" s="9">
        <v>97.350556083008996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9">
        <v>97.3424114579975</v>
      </c>
      <c r="AD184" s="9">
        <v>97.350556083008996</v>
      </c>
      <c r="AE184" s="9">
        <v>97.834703750006199</v>
      </c>
      <c r="AF184" s="9">
        <v>97.834703750006199</v>
      </c>
      <c r="AG184" s="9">
        <v>97.834703750006199</v>
      </c>
      <c r="AH184" s="9">
        <v>98.636341582998298</v>
      </c>
      <c r="AI184" s="10" t="s">
        <v>59</v>
      </c>
      <c r="AJ184" s="9">
        <v>1</v>
      </c>
      <c r="AK184" s="9">
        <v>0.79793874999450098</v>
      </c>
      <c r="AL184" s="10" t="s">
        <v>51</v>
      </c>
      <c r="AM184" s="8"/>
      <c r="AN184" s="8"/>
      <c r="AO184" s="8"/>
      <c r="AP184" s="8"/>
      <c r="AQ184" s="9">
        <v>2</v>
      </c>
      <c r="AR184" s="9">
        <v>1</v>
      </c>
      <c r="AS184" s="10" t="s">
        <v>52</v>
      </c>
      <c r="AT184" s="10" t="s">
        <v>53</v>
      </c>
      <c r="AU184" s="8"/>
      <c r="AV184" s="10" t="s">
        <v>54</v>
      </c>
      <c r="AW184" s="10" t="s">
        <v>51</v>
      </c>
      <c r="AX184" s="10" t="s">
        <v>55</v>
      </c>
      <c r="AY184" s="8"/>
    </row>
    <row r="185" spans="1:51" x14ac:dyDescent="0.15">
      <c r="A185" s="11" t="s">
        <v>69</v>
      </c>
      <c r="B185" s="12" t="s">
        <v>67</v>
      </c>
      <c r="C185" s="10" t="s">
        <v>58</v>
      </c>
      <c r="D185" s="10" t="s">
        <v>59</v>
      </c>
      <c r="E185" s="9">
        <v>83</v>
      </c>
      <c r="F185" s="9">
        <v>83</v>
      </c>
      <c r="G185" s="9">
        <v>3</v>
      </c>
      <c r="H185" s="10" t="s">
        <v>59</v>
      </c>
      <c r="I185" s="9">
        <v>1</v>
      </c>
      <c r="J185" s="9">
        <v>0.68540020799264301</v>
      </c>
      <c r="K185" s="10" t="s">
        <v>51</v>
      </c>
      <c r="L185" s="9">
        <v>3</v>
      </c>
      <c r="M185" s="9">
        <v>83</v>
      </c>
      <c r="N185" s="9">
        <v>83</v>
      </c>
      <c r="O185" s="9">
        <v>38</v>
      </c>
      <c r="P185" s="9">
        <v>100.533166207999</v>
      </c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9">
        <v>100.52499087501199</v>
      </c>
      <c r="AD185" s="9">
        <v>100.533166207999</v>
      </c>
      <c r="AE185" s="9">
        <v>101.018075208005</v>
      </c>
      <c r="AF185" s="9">
        <v>101.018075208005</v>
      </c>
      <c r="AG185" s="9">
        <v>101.018075208005</v>
      </c>
      <c r="AH185" s="9">
        <v>101.708020457998</v>
      </c>
      <c r="AI185" s="10" t="s">
        <v>59</v>
      </c>
      <c r="AJ185" s="9">
        <v>1</v>
      </c>
      <c r="AK185" s="9">
        <v>0.68540020799264301</v>
      </c>
      <c r="AL185" s="10" t="s">
        <v>51</v>
      </c>
      <c r="AM185" s="8"/>
      <c r="AN185" s="8"/>
      <c r="AO185" s="8"/>
      <c r="AP185" s="8"/>
      <c r="AQ185" s="9">
        <v>2</v>
      </c>
      <c r="AR185" s="9">
        <v>1</v>
      </c>
      <c r="AS185" s="10" t="s">
        <v>52</v>
      </c>
      <c r="AT185" s="10" t="s">
        <v>53</v>
      </c>
      <c r="AU185" s="8"/>
      <c r="AV185" s="10" t="s">
        <v>54</v>
      </c>
      <c r="AW185" s="10" t="s">
        <v>51</v>
      </c>
      <c r="AX185" s="10" t="s">
        <v>55</v>
      </c>
      <c r="AY185" s="8"/>
    </row>
    <row r="186" spans="1:51" x14ac:dyDescent="0.15">
      <c r="A186" s="11" t="s">
        <v>77</v>
      </c>
      <c r="B186" s="12" t="s">
        <v>67</v>
      </c>
      <c r="C186" s="10" t="s">
        <v>62</v>
      </c>
      <c r="D186" s="10" t="s">
        <v>63</v>
      </c>
      <c r="E186" s="9">
        <v>84</v>
      </c>
      <c r="F186" s="9">
        <v>84</v>
      </c>
      <c r="G186" s="9">
        <v>1</v>
      </c>
      <c r="H186" s="10" t="s">
        <v>63</v>
      </c>
      <c r="I186" s="9">
        <v>1</v>
      </c>
      <c r="J186" s="9">
        <v>0.42110345800756499</v>
      </c>
      <c r="K186" s="10" t="s">
        <v>51</v>
      </c>
      <c r="L186" s="9">
        <v>1</v>
      </c>
      <c r="M186" s="9">
        <v>84</v>
      </c>
      <c r="N186" s="9">
        <v>84</v>
      </c>
      <c r="O186" s="9">
        <v>41</v>
      </c>
      <c r="P186" s="9">
        <v>101.72332754200001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9">
        <v>101.71232991700499</v>
      </c>
      <c r="AD186" s="9">
        <v>101.72332754200001</v>
      </c>
      <c r="AE186" s="9">
        <v>102.21066095800801</v>
      </c>
      <c r="AF186" s="9">
        <v>102.21066095800801</v>
      </c>
      <c r="AG186" s="9">
        <v>102.21066095800801</v>
      </c>
      <c r="AH186" s="9">
        <v>102.636470583006</v>
      </c>
      <c r="AI186" s="10" t="s">
        <v>63</v>
      </c>
      <c r="AJ186" s="9">
        <v>1</v>
      </c>
      <c r="AK186" s="9">
        <v>0.42110345800756499</v>
      </c>
      <c r="AL186" s="10" t="s">
        <v>51</v>
      </c>
      <c r="AM186" s="8"/>
      <c r="AN186" s="8"/>
      <c r="AO186" s="8"/>
      <c r="AP186" s="8"/>
      <c r="AQ186" s="9">
        <v>2</v>
      </c>
      <c r="AR186" s="9">
        <v>1</v>
      </c>
      <c r="AS186" s="10" t="s">
        <v>52</v>
      </c>
      <c r="AT186" s="10" t="s">
        <v>53</v>
      </c>
      <c r="AU186" s="8"/>
      <c r="AV186" s="10" t="s">
        <v>54</v>
      </c>
      <c r="AW186" s="10" t="s">
        <v>51</v>
      </c>
      <c r="AX186" s="10" t="s">
        <v>55</v>
      </c>
      <c r="AY186" s="8"/>
    </row>
    <row r="187" spans="1:51" x14ac:dyDescent="0.15">
      <c r="A187" s="11" t="s">
        <v>76</v>
      </c>
      <c r="B187" s="12" t="s">
        <v>67</v>
      </c>
      <c r="C187" s="10" t="s">
        <v>62</v>
      </c>
      <c r="D187" s="10" t="s">
        <v>63</v>
      </c>
      <c r="E187" s="9">
        <v>86</v>
      </c>
      <c r="F187" s="9">
        <v>86</v>
      </c>
      <c r="G187" s="9">
        <v>0</v>
      </c>
      <c r="H187" s="10" t="s">
        <v>63</v>
      </c>
      <c r="I187" s="9">
        <v>1</v>
      </c>
      <c r="J187" s="9">
        <v>0.64838345799944397</v>
      </c>
      <c r="K187" s="10" t="s">
        <v>51</v>
      </c>
      <c r="L187" s="9">
        <v>0</v>
      </c>
      <c r="M187" s="9">
        <v>86</v>
      </c>
      <c r="N187" s="9">
        <v>86</v>
      </c>
      <c r="O187" s="9">
        <v>43</v>
      </c>
      <c r="P187" s="9">
        <v>103.735028583003</v>
      </c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9">
        <v>103.72600170801201</v>
      </c>
      <c r="AD187" s="9">
        <v>103.735028583003</v>
      </c>
      <c r="AE187" s="9">
        <v>104.218318375002</v>
      </c>
      <c r="AF187" s="9">
        <v>104.218318375002</v>
      </c>
      <c r="AG187" s="9">
        <v>104.218318375002</v>
      </c>
      <c r="AH187" s="9">
        <v>104.87000087500201</v>
      </c>
      <c r="AI187" s="10" t="s">
        <v>63</v>
      </c>
      <c r="AJ187" s="9">
        <v>1</v>
      </c>
      <c r="AK187" s="9">
        <v>0.64838345799944397</v>
      </c>
      <c r="AL187" s="10" t="s">
        <v>51</v>
      </c>
      <c r="AM187" s="8"/>
      <c r="AN187" s="8"/>
      <c r="AO187" s="8"/>
      <c r="AP187" s="8"/>
      <c r="AQ187" s="9">
        <v>2</v>
      </c>
      <c r="AR187" s="9">
        <v>1</v>
      </c>
      <c r="AS187" s="10" t="s">
        <v>52</v>
      </c>
      <c r="AT187" s="10" t="s">
        <v>53</v>
      </c>
      <c r="AU187" s="8"/>
      <c r="AV187" s="10" t="s">
        <v>54</v>
      </c>
      <c r="AW187" s="10" t="s">
        <v>51</v>
      </c>
      <c r="AX187" s="10" t="s">
        <v>55</v>
      </c>
      <c r="AY187" s="8"/>
    </row>
    <row r="188" spans="1:51" x14ac:dyDescent="0.15">
      <c r="A188" s="11" t="s">
        <v>82</v>
      </c>
      <c r="B188" s="12" t="s">
        <v>67</v>
      </c>
      <c r="C188" s="10" t="s">
        <v>62</v>
      </c>
      <c r="D188" s="10" t="s">
        <v>63</v>
      </c>
      <c r="E188" s="9">
        <v>88</v>
      </c>
      <c r="F188" s="9">
        <v>88</v>
      </c>
      <c r="G188" s="9">
        <v>1</v>
      </c>
      <c r="H188" s="10" t="s">
        <v>63</v>
      </c>
      <c r="I188" s="9">
        <v>1</v>
      </c>
      <c r="J188" s="9">
        <v>0.91763041599188</v>
      </c>
      <c r="K188" s="10" t="s">
        <v>51</v>
      </c>
      <c r="L188" s="9">
        <v>1</v>
      </c>
      <c r="M188" s="9">
        <v>88</v>
      </c>
      <c r="N188" s="9">
        <v>88</v>
      </c>
      <c r="O188" s="9">
        <v>37</v>
      </c>
      <c r="P188" s="9">
        <v>105.933235292003</v>
      </c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9">
        <v>105.924945958002</v>
      </c>
      <c r="AD188" s="9">
        <v>105.933235292003</v>
      </c>
      <c r="AE188" s="9">
        <v>106.41795566699901</v>
      </c>
      <c r="AF188" s="9">
        <v>106.41795566699901</v>
      </c>
      <c r="AG188" s="9">
        <v>106.41795566699901</v>
      </c>
      <c r="AH188" s="9">
        <v>107.34214670800399</v>
      </c>
      <c r="AI188" s="10" t="s">
        <v>63</v>
      </c>
      <c r="AJ188" s="9">
        <v>1</v>
      </c>
      <c r="AK188" s="9">
        <v>0.91763041599188</v>
      </c>
      <c r="AL188" s="10" t="s">
        <v>51</v>
      </c>
      <c r="AM188" s="8"/>
      <c r="AN188" s="8"/>
      <c r="AO188" s="8"/>
      <c r="AP188" s="8"/>
      <c r="AQ188" s="9">
        <v>2</v>
      </c>
      <c r="AR188" s="9">
        <v>1</v>
      </c>
      <c r="AS188" s="10" t="s">
        <v>52</v>
      </c>
      <c r="AT188" s="10" t="s">
        <v>53</v>
      </c>
      <c r="AU188" s="8"/>
      <c r="AV188" s="10" t="s">
        <v>54</v>
      </c>
      <c r="AW188" s="10" t="s">
        <v>51</v>
      </c>
      <c r="AX188" s="10" t="s">
        <v>55</v>
      </c>
      <c r="AY188" s="8"/>
    </row>
    <row r="189" spans="1:51" x14ac:dyDescent="0.15">
      <c r="A189" s="11" t="s">
        <v>86</v>
      </c>
      <c r="B189" s="12" t="s">
        <v>67</v>
      </c>
      <c r="C189" s="10" t="s">
        <v>58</v>
      </c>
      <c r="D189" s="10" t="s">
        <v>59</v>
      </c>
      <c r="E189" s="9">
        <v>97</v>
      </c>
      <c r="F189" s="9">
        <v>97</v>
      </c>
      <c r="G189" s="9">
        <v>2</v>
      </c>
      <c r="H189" s="10" t="s">
        <v>59</v>
      </c>
      <c r="I189" s="9">
        <v>1</v>
      </c>
      <c r="J189" s="9">
        <v>0.65996429100050602</v>
      </c>
      <c r="K189" s="10" t="s">
        <v>51</v>
      </c>
      <c r="L189" s="9">
        <v>2</v>
      </c>
      <c r="M189" s="9">
        <v>97</v>
      </c>
      <c r="N189" s="9">
        <v>97</v>
      </c>
      <c r="O189" s="9">
        <v>34</v>
      </c>
      <c r="P189" s="9">
        <v>118.533925791999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9">
        <v>118.525540957999</v>
      </c>
      <c r="AD189" s="9">
        <v>118.533925791999</v>
      </c>
      <c r="AE189" s="9">
        <v>119.018808542009</v>
      </c>
      <c r="AF189" s="9">
        <v>119.018808542009</v>
      </c>
      <c r="AG189" s="9">
        <v>119.018808542009</v>
      </c>
      <c r="AH189" s="9">
        <v>119.687133250001</v>
      </c>
      <c r="AI189" s="10" t="s">
        <v>59</v>
      </c>
      <c r="AJ189" s="9">
        <v>1</v>
      </c>
      <c r="AK189" s="9">
        <v>0.65996429100050602</v>
      </c>
      <c r="AL189" s="10" t="s">
        <v>51</v>
      </c>
      <c r="AM189" s="8"/>
      <c r="AN189" s="8"/>
      <c r="AO189" s="8"/>
      <c r="AP189" s="8"/>
      <c r="AQ189" s="9">
        <v>2</v>
      </c>
      <c r="AR189" s="9">
        <v>1</v>
      </c>
      <c r="AS189" s="10" t="s">
        <v>52</v>
      </c>
      <c r="AT189" s="10" t="s">
        <v>53</v>
      </c>
      <c r="AU189" s="8"/>
      <c r="AV189" s="10" t="s">
        <v>54</v>
      </c>
      <c r="AW189" s="10" t="s">
        <v>51</v>
      </c>
      <c r="AX189" s="10" t="s">
        <v>55</v>
      </c>
      <c r="AY189" s="8"/>
    </row>
    <row r="190" spans="1:51" x14ac:dyDescent="0.15">
      <c r="A190" s="11" t="s">
        <v>81</v>
      </c>
      <c r="B190" s="12" t="s">
        <v>67</v>
      </c>
      <c r="C190" s="10" t="s">
        <v>62</v>
      </c>
      <c r="D190" s="10" t="s">
        <v>63</v>
      </c>
      <c r="E190" s="9">
        <v>98</v>
      </c>
      <c r="F190" s="9">
        <v>98</v>
      </c>
      <c r="G190" s="9">
        <v>1</v>
      </c>
      <c r="H190" s="10" t="s">
        <v>63</v>
      </c>
      <c r="I190" s="9">
        <v>1</v>
      </c>
      <c r="J190" s="9">
        <v>1.19441304099746</v>
      </c>
      <c r="K190" s="10" t="s">
        <v>51</v>
      </c>
      <c r="L190" s="9">
        <v>1</v>
      </c>
      <c r="M190" s="9">
        <v>98</v>
      </c>
      <c r="N190" s="9">
        <v>98</v>
      </c>
      <c r="O190" s="9">
        <v>45</v>
      </c>
      <c r="P190" s="9">
        <v>119.700623875004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9">
        <v>119.692048124998</v>
      </c>
      <c r="AD190" s="9">
        <v>119.700623875004</v>
      </c>
      <c r="AE190" s="9">
        <v>120.185467832998</v>
      </c>
      <c r="AF190" s="9">
        <v>120.185467832998</v>
      </c>
      <c r="AG190" s="9">
        <v>120.185467832998</v>
      </c>
      <c r="AH190" s="9">
        <v>121.387038833011</v>
      </c>
      <c r="AI190" s="10" t="s">
        <v>63</v>
      </c>
      <c r="AJ190" s="9">
        <v>1</v>
      </c>
      <c r="AK190" s="9">
        <v>1.19441304099746</v>
      </c>
      <c r="AL190" s="10" t="s">
        <v>51</v>
      </c>
      <c r="AM190" s="8"/>
      <c r="AN190" s="8"/>
      <c r="AO190" s="8"/>
      <c r="AP190" s="8"/>
      <c r="AQ190" s="9">
        <v>2</v>
      </c>
      <c r="AR190" s="9">
        <v>1</v>
      </c>
      <c r="AS190" s="10" t="s">
        <v>52</v>
      </c>
      <c r="AT190" s="10" t="s">
        <v>53</v>
      </c>
      <c r="AU190" s="8"/>
      <c r="AV190" s="10" t="s">
        <v>54</v>
      </c>
      <c r="AW190" s="10" t="s">
        <v>51</v>
      </c>
      <c r="AX190" s="10" t="s">
        <v>55</v>
      </c>
      <c r="AY190" s="8"/>
    </row>
    <row r="191" spans="1:51" x14ac:dyDescent="0.15">
      <c r="A191" s="11" t="s">
        <v>81</v>
      </c>
      <c r="B191" s="12" t="s">
        <v>67</v>
      </c>
      <c r="C191" s="10" t="s">
        <v>62</v>
      </c>
      <c r="D191" s="10" t="s">
        <v>63</v>
      </c>
      <c r="E191" s="9">
        <v>100</v>
      </c>
      <c r="F191" s="9">
        <v>100</v>
      </c>
      <c r="G191" s="9">
        <v>2</v>
      </c>
      <c r="H191" s="10" t="s">
        <v>63</v>
      </c>
      <c r="I191" s="9">
        <v>1</v>
      </c>
      <c r="J191" s="9">
        <v>0.33769712499633903</v>
      </c>
      <c r="K191" s="10" t="s">
        <v>51</v>
      </c>
      <c r="L191" s="9">
        <v>2</v>
      </c>
      <c r="M191" s="9">
        <v>100</v>
      </c>
      <c r="N191" s="9">
        <v>100</v>
      </c>
      <c r="O191" s="9">
        <v>45</v>
      </c>
      <c r="P191" s="9">
        <v>122.36689491701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9">
        <v>122.35848216700801</v>
      </c>
      <c r="AD191" s="9">
        <v>122.36689491701</v>
      </c>
      <c r="AE191" s="9">
        <v>122.85210495800099</v>
      </c>
      <c r="AF191" s="9">
        <v>122.85210495800099</v>
      </c>
      <c r="AG191" s="9">
        <v>122.85210495800099</v>
      </c>
      <c r="AH191" s="9">
        <v>123.192695125006</v>
      </c>
      <c r="AI191" s="10" t="s">
        <v>63</v>
      </c>
      <c r="AJ191" s="9">
        <v>1</v>
      </c>
      <c r="AK191" s="9">
        <v>0.33769712499633903</v>
      </c>
      <c r="AL191" s="10" t="s">
        <v>51</v>
      </c>
      <c r="AM191" s="8"/>
      <c r="AN191" s="8"/>
      <c r="AO191" s="8"/>
      <c r="AP191" s="8"/>
      <c r="AQ191" s="9">
        <v>2</v>
      </c>
      <c r="AR191" s="9">
        <v>1</v>
      </c>
      <c r="AS191" s="10" t="s">
        <v>52</v>
      </c>
      <c r="AT191" s="10" t="s">
        <v>53</v>
      </c>
      <c r="AU191" s="8"/>
      <c r="AV191" s="10" t="s">
        <v>54</v>
      </c>
      <c r="AW191" s="10" t="s">
        <v>51</v>
      </c>
      <c r="AX191" s="10" t="s">
        <v>55</v>
      </c>
      <c r="AY191" s="8"/>
    </row>
    <row r="192" spans="1:51" x14ac:dyDescent="0.15">
      <c r="A192" s="11" t="s">
        <v>82</v>
      </c>
      <c r="B192" s="12" t="s">
        <v>67</v>
      </c>
      <c r="C192" s="10" t="s">
        <v>58</v>
      </c>
      <c r="D192" s="10" t="s">
        <v>59</v>
      </c>
      <c r="E192" s="9">
        <v>102</v>
      </c>
      <c r="F192" s="9">
        <v>102</v>
      </c>
      <c r="G192" s="9">
        <v>1</v>
      </c>
      <c r="H192" s="10" t="s">
        <v>59</v>
      </c>
      <c r="I192" s="9">
        <v>1</v>
      </c>
      <c r="J192" s="9">
        <v>0.401898625001195</v>
      </c>
      <c r="K192" s="10" t="s">
        <v>51</v>
      </c>
      <c r="L192" s="9">
        <v>1</v>
      </c>
      <c r="M192" s="9">
        <v>102</v>
      </c>
      <c r="N192" s="9">
        <v>102</v>
      </c>
      <c r="O192" s="9">
        <v>36</v>
      </c>
      <c r="P192" s="9">
        <v>124.167628292009</v>
      </c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9">
        <v>124.15907787501099</v>
      </c>
      <c r="AD192" s="9">
        <v>124.167628292009</v>
      </c>
      <c r="AE192" s="9">
        <v>124.65195941701</v>
      </c>
      <c r="AF192" s="9">
        <v>124.65195941701</v>
      </c>
      <c r="AG192" s="9">
        <v>124.65195941701</v>
      </c>
      <c r="AH192" s="9">
        <v>125.059287374999</v>
      </c>
      <c r="AI192" s="10" t="s">
        <v>59</v>
      </c>
      <c r="AJ192" s="9">
        <v>1</v>
      </c>
      <c r="AK192" s="9">
        <v>0.401898625001195</v>
      </c>
      <c r="AL192" s="10" t="s">
        <v>51</v>
      </c>
      <c r="AM192" s="8"/>
      <c r="AN192" s="8"/>
      <c r="AO192" s="8"/>
      <c r="AP192" s="8"/>
      <c r="AQ192" s="9">
        <v>2</v>
      </c>
      <c r="AR192" s="9">
        <v>1</v>
      </c>
      <c r="AS192" s="10" t="s">
        <v>52</v>
      </c>
      <c r="AT192" s="10" t="s">
        <v>53</v>
      </c>
      <c r="AU192" s="8"/>
      <c r="AV192" s="10" t="s">
        <v>54</v>
      </c>
      <c r="AW192" s="10" t="s">
        <v>51</v>
      </c>
      <c r="AX192" s="10" t="s">
        <v>55</v>
      </c>
      <c r="AY192" s="8"/>
    </row>
    <row r="193" spans="1:51" x14ac:dyDescent="0.15">
      <c r="A193" s="11" t="s">
        <v>80</v>
      </c>
      <c r="B193" s="12" t="s">
        <v>67</v>
      </c>
      <c r="C193" s="10" t="s">
        <v>58</v>
      </c>
      <c r="D193" s="10" t="s">
        <v>59</v>
      </c>
      <c r="E193" s="9">
        <v>104</v>
      </c>
      <c r="F193" s="9">
        <v>104</v>
      </c>
      <c r="G193" s="9">
        <v>1</v>
      </c>
      <c r="H193" s="10" t="s">
        <v>59</v>
      </c>
      <c r="I193" s="9">
        <v>1</v>
      </c>
      <c r="J193" s="9">
        <v>2.2981220420042501</v>
      </c>
      <c r="K193" s="10" t="s">
        <v>51</v>
      </c>
      <c r="L193" s="9">
        <v>1</v>
      </c>
      <c r="M193" s="9">
        <v>104</v>
      </c>
      <c r="N193" s="9">
        <v>104</v>
      </c>
      <c r="O193" s="9">
        <v>32</v>
      </c>
      <c r="P193" s="9">
        <v>126.040232917003</v>
      </c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9">
        <v>126.030398917006</v>
      </c>
      <c r="AD193" s="9">
        <v>126.040232917003</v>
      </c>
      <c r="AE193" s="9">
        <v>126.528688708</v>
      </c>
      <c r="AF193" s="9">
        <v>126.528688708</v>
      </c>
      <c r="AG193" s="9">
        <v>126.528688708</v>
      </c>
      <c r="AH193" s="9">
        <v>128.83745849999801</v>
      </c>
      <c r="AI193" s="10" t="s">
        <v>59</v>
      </c>
      <c r="AJ193" s="9">
        <v>1</v>
      </c>
      <c r="AK193" s="9">
        <v>2.2981220420042501</v>
      </c>
      <c r="AL193" s="10" t="s">
        <v>51</v>
      </c>
      <c r="AM193" s="8"/>
      <c r="AN193" s="8"/>
      <c r="AO193" s="8"/>
      <c r="AP193" s="8"/>
      <c r="AQ193" s="9">
        <v>2</v>
      </c>
      <c r="AR193" s="9">
        <v>1</v>
      </c>
      <c r="AS193" s="10" t="s">
        <v>52</v>
      </c>
      <c r="AT193" s="10" t="s">
        <v>53</v>
      </c>
      <c r="AU193" s="8"/>
      <c r="AV193" s="10" t="s">
        <v>54</v>
      </c>
      <c r="AW193" s="10" t="s">
        <v>51</v>
      </c>
      <c r="AX193" s="10" t="s">
        <v>55</v>
      </c>
      <c r="AY193" s="8"/>
    </row>
    <row r="194" spans="1:51" x14ac:dyDescent="0.15">
      <c r="A194" s="11" t="s">
        <v>66</v>
      </c>
      <c r="B194" s="12" t="s">
        <v>67</v>
      </c>
      <c r="C194" s="10" t="s">
        <v>62</v>
      </c>
      <c r="D194" s="10" t="s">
        <v>63</v>
      </c>
      <c r="E194" s="9">
        <v>105</v>
      </c>
      <c r="F194" s="9">
        <v>105</v>
      </c>
      <c r="G194" s="9">
        <v>0</v>
      </c>
      <c r="H194" s="10" t="s">
        <v>63</v>
      </c>
      <c r="I194" s="9">
        <v>1</v>
      </c>
      <c r="J194" s="9">
        <v>0.77119220799068</v>
      </c>
      <c r="K194" s="10" t="s">
        <v>51</v>
      </c>
      <c r="L194" s="9">
        <v>0</v>
      </c>
      <c r="M194" s="9">
        <v>105</v>
      </c>
      <c r="N194" s="9">
        <v>105</v>
      </c>
      <c r="O194" s="9">
        <v>47</v>
      </c>
      <c r="P194" s="9">
        <v>128.850631499998</v>
      </c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9">
        <v>128.84230595800901</v>
      </c>
      <c r="AD194" s="9">
        <v>128.850631499998</v>
      </c>
      <c r="AE194" s="9">
        <v>129.33573979200401</v>
      </c>
      <c r="AF194" s="9">
        <v>129.33573979200401</v>
      </c>
      <c r="AG194" s="9">
        <v>129.33573979200401</v>
      </c>
      <c r="AH194" s="9">
        <v>130.109430500001</v>
      </c>
      <c r="AI194" s="10" t="s">
        <v>63</v>
      </c>
      <c r="AJ194" s="9">
        <v>1</v>
      </c>
      <c r="AK194" s="9">
        <v>0.77119220799068</v>
      </c>
      <c r="AL194" s="10" t="s">
        <v>51</v>
      </c>
      <c r="AM194" s="8"/>
      <c r="AN194" s="8"/>
      <c r="AO194" s="8"/>
      <c r="AP194" s="8"/>
      <c r="AQ194" s="9">
        <v>2</v>
      </c>
      <c r="AR194" s="9">
        <v>1</v>
      </c>
      <c r="AS194" s="10" t="s">
        <v>52</v>
      </c>
      <c r="AT194" s="10" t="s">
        <v>53</v>
      </c>
      <c r="AU194" s="8"/>
      <c r="AV194" s="10" t="s">
        <v>54</v>
      </c>
      <c r="AW194" s="10" t="s">
        <v>51</v>
      </c>
      <c r="AX194" s="10" t="s">
        <v>55</v>
      </c>
      <c r="AY194" s="8"/>
    </row>
    <row r="195" spans="1:51" x14ac:dyDescent="0.15">
      <c r="A195" s="11" t="s">
        <v>82</v>
      </c>
      <c r="B195" s="12" t="s">
        <v>67</v>
      </c>
      <c r="C195" s="10" t="s">
        <v>58</v>
      </c>
      <c r="D195" s="10" t="s">
        <v>59</v>
      </c>
      <c r="E195" s="9">
        <v>108</v>
      </c>
      <c r="F195" s="9">
        <v>108</v>
      </c>
      <c r="G195" s="9">
        <v>2</v>
      </c>
      <c r="H195" s="10" t="s">
        <v>59</v>
      </c>
      <c r="I195" s="9">
        <v>1</v>
      </c>
      <c r="J195" s="9">
        <v>0.43065420800121501</v>
      </c>
      <c r="K195" s="10" t="s">
        <v>51</v>
      </c>
      <c r="L195" s="9">
        <v>2</v>
      </c>
      <c r="M195" s="9">
        <v>108</v>
      </c>
      <c r="N195" s="9">
        <v>108</v>
      </c>
      <c r="O195" s="9">
        <v>36</v>
      </c>
      <c r="P195" s="9">
        <v>133.667153333008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9">
        <v>133.658957708001</v>
      </c>
      <c r="AD195" s="9">
        <v>133.667153333008</v>
      </c>
      <c r="AE195" s="9">
        <v>134.15259033300401</v>
      </c>
      <c r="AF195" s="9">
        <v>134.15259033300401</v>
      </c>
      <c r="AG195" s="9">
        <v>134.15259033300401</v>
      </c>
      <c r="AH195" s="9">
        <v>134.58752866700499</v>
      </c>
      <c r="AI195" s="10" t="s">
        <v>59</v>
      </c>
      <c r="AJ195" s="9">
        <v>1</v>
      </c>
      <c r="AK195" s="9">
        <v>0.43065420800121501</v>
      </c>
      <c r="AL195" s="10" t="s">
        <v>51</v>
      </c>
      <c r="AM195" s="8"/>
      <c r="AN195" s="8"/>
      <c r="AO195" s="8"/>
      <c r="AP195" s="8"/>
      <c r="AQ195" s="9">
        <v>2</v>
      </c>
      <c r="AR195" s="9">
        <v>1</v>
      </c>
      <c r="AS195" s="10" t="s">
        <v>52</v>
      </c>
      <c r="AT195" s="10" t="s">
        <v>53</v>
      </c>
      <c r="AU195" s="8"/>
      <c r="AV195" s="10" t="s">
        <v>54</v>
      </c>
      <c r="AW195" s="10" t="s">
        <v>51</v>
      </c>
      <c r="AX195" s="10" t="s">
        <v>55</v>
      </c>
      <c r="AY195" s="8"/>
    </row>
    <row r="196" spans="1:51" x14ac:dyDescent="0.15">
      <c r="A196" s="11" t="s">
        <v>86</v>
      </c>
      <c r="B196" s="12" t="s">
        <v>67</v>
      </c>
      <c r="C196" s="10" t="s">
        <v>62</v>
      </c>
      <c r="D196" s="10" t="s">
        <v>63</v>
      </c>
      <c r="E196" s="9">
        <v>109</v>
      </c>
      <c r="F196" s="9">
        <v>109</v>
      </c>
      <c r="G196" s="9">
        <v>0</v>
      </c>
      <c r="H196" s="10" t="s">
        <v>63</v>
      </c>
      <c r="I196" s="9">
        <v>1</v>
      </c>
      <c r="J196" s="9">
        <v>0.61004729100386601</v>
      </c>
      <c r="K196" s="10" t="s">
        <v>51</v>
      </c>
      <c r="L196" s="9">
        <v>0</v>
      </c>
      <c r="M196" s="9">
        <v>109</v>
      </c>
      <c r="N196" s="9">
        <v>109</v>
      </c>
      <c r="O196" s="9">
        <v>35</v>
      </c>
      <c r="P196" s="9">
        <v>134.60025491700799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9">
        <v>134.591954832998</v>
      </c>
      <c r="AD196" s="9">
        <v>134.60025491700799</v>
      </c>
      <c r="AE196" s="9">
        <v>135.085929417008</v>
      </c>
      <c r="AF196" s="9">
        <v>135.085929417008</v>
      </c>
      <c r="AG196" s="9">
        <v>135.085929417008</v>
      </c>
      <c r="AH196" s="9">
        <v>135.704335041999</v>
      </c>
      <c r="AI196" s="10" t="s">
        <v>63</v>
      </c>
      <c r="AJ196" s="9">
        <v>1</v>
      </c>
      <c r="AK196" s="9">
        <v>0.61004729100386601</v>
      </c>
      <c r="AL196" s="10" t="s">
        <v>51</v>
      </c>
      <c r="AM196" s="8"/>
      <c r="AN196" s="8"/>
      <c r="AO196" s="8"/>
      <c r="AP196" s="8"/>
      <c r="AQ196" s="9">
        <v>2</v>
      </c>
      <c r="AR196" s="9">
        <v>1</v>
      </c>
      <c r="AS196" s="10" t="s">
        <v>52</v>
      </c>
      <c r="AT196" s="10" t="s">
        <v>53</v>
      </c>
      <c r="AU196" s="8"/>
      <c r="AV196" s="10" t="s">
        <v>54</v>
      </c>
      <c r="AW196" s="10" t="s">
        <v>51</v>
      </c>
      <c r="AX196" s="10" t="s">
        <v>55</v>
      </c>
      <c r="AY196" s="8"/>
    </row>
    <row r="197" spans="1:51" x14ac:dyDescent="0.15">
      <c r="A197" s="11" t="s">
        <v>86</v>
      </c>
      <c r="B197" s="12" t="s">
        <v>67</v>
      </c>
      <c r="C197" s="10" t="s">
        <v>58</v>
      </c>
      <c r="D197" s="10" t="s">
        <v>59</v>
      </c>
      <c r="E197" s="9">
        <v>111</v>
      </c>
      <c r="F197" s="9">
        <v>111</v>
      </c>
      <c r="G197" s="9">
        <v>3</v>
      </c>
      <c r="H197" s="10" t="s">
        <v>59</v>
      </c>
      <c r="I197" s="9">
        <v>1</v>
      </c>
      <c r="J197" s="9">
        <v>0.41603562499221902</v>
      </c>
      <c r="K197" s="10" t="s">
        <v>51</v>
      </c>
      <c r="L197" s="9">
        <v>3</v>
      </c>
      <c r="M197" s="9">
        <v>111</v>
      </c>
      <c r="N197" s="9">
        <v>111</v>
      </c>
      <c r="O197" s="9">
        <v>34</v>
      </c>
      <c r="P197" s="9">
        <v>136.60078091701101</v>
      </c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9">
        <v>136.59292458300499</v>
      </c>
      <c r="AD197" s="9">
        <v>136.60078091701101</v>
      </c>
      <c r="AE197" s="9">
        <v>137.086040833005</v>
      </c>
      <c r="AF197" s="9">
        <v>137.086040833005</v>
      </c>
      <c r="AG197" s="9">
        <v>137.086040833005</v>
      </c>
      <c r="AH197" s="9">
        <v>137.504461542005</v>
      </c>
      <c r="AI197" s="10" t="s">
        <v>59</v>
      </c>
      <c r="AJ197" s="9">
        <v>1</v>
      </c>
      <c r="AK197" s="9">
        <v>0.41603562499221902</v>
      </c>
      <c r="AL197" s="10" t="s">
        <v>51</v>
      </c>
      <c r="AM197" s="8"/>
      <c r="AN197" s="8"/>
      <c r="AO197" s="8"/>
      <c r="AP197" s="8"/>
      <c r="AQ197" s="9">
        <v>2</v>
      </c>
      <c r="AR197" s="9">
        <v>1</v>
      </c>
      <c r="AS197" s="10" t="s">
        <v>52</v>
      </c>
      <c r="AT197" s="10" t="s">
        <v>53</v>
      </c>
      <c r="AU197" s="8"/>
      <c r="AV197" s="10" t="s">
        <v>54</v>
      </c>
      <c r="AW197" s="10" t="s">
        <v>51</v>
      </c>
      <c r="AX197" s="10" t="s">
        <v>55</v>
      </c>
      <c r="AY197" s="8"/>
    </row>
    <row r="198" spans="1:51" x14ac:dyDescent="0.15">
      <c r="A198" s="11" t="s">
        <v>76</v>
      </c>
      <c r="B198" s="12" t="s">
        <v>67</v>
      </c>
      <c r="C198" s="10" t="s">
        <v>62</v>
      </c>
      <c r="D198" s="10" t="s">
        <v>63</v>
      </c>
      <c r="E198" s="9">
        <v>115</v>
      </c>
      <c r="F198" s="9">
        <v>115</v>
      </c>
      <c r="G198" s="9">
        <v>1</v>
      </c>
      <c r="H198" s="10" t="s">
        <v>63</v>
      </c>
      <c r="I198" s="9">
        <v>1</v>
      </c>
      <c r="J198" s="9">
        <v>0.43293712500599202</v>
      </c>
      <c r="K198" s="10" t="s">
        <v>51</v>
      </c>
      <c r="L198" s="9">
        <v>1</v>
      </c>
      <c r="M198" s="9">
        <v>115</v>
      </c>
      <c r="N198" s="9">
        <v>115</v>
      </c>
      <c r="O198" s="9">
        <v>43</v>
      </c>
      <c r="P198" s="9">
        <v>140.33425979199799</v>
      </c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9">
        <v>140.32592429200301</v>
      </c>
      <c r="AD198" s="9">
        <v>140.33425979199799</v>
      </c>
      <c r="AE198" s="9">
        <v>140.819206291999</v>
      </c>
      <c r="AF198" s="9">
        <v>140.819206291999</v>
      </c>
      <c r="AG198" s="9">
        <v>140.819206291999</v>
      </c>
      <c r="AH198" s="9">
        <v>141.25458725000499</v>
      </c>
      <c r="AI198" s="10" t="s">
        <v>63</v>
      </c>
      <c r="AJ198" s="9">
        <v>1</v>
      </c>
      <c r="AK198" s="9">
        <v>0.43293712500599202</v>
      </c>
      <c r="AL198" s="10" t="s">
        <v>51</v>
      </c>
      <c r="AM198" s="8"/>
      <c r="AN198" s="8"/>
      <c r="AO198" s="8"/>
      <c r="AP198" s="8"/>
      <c r="AQ198" s="9">
        <v>2</v>
      </c>
      <c r="AR198" s="9">
        <v>1</v>
      </c>
      <c r="AS198" s="10" t="s">
        <v>52</v>
      </c>
      <c r="AT198" s="10" t="s">
        <v>53</v>
      </c>
      <c r="AU198" s="8"/>
      <c r="AV198" s="10" t="s">
        <v>54</v>
      </c>
      <c r="AW198" s="10" t="s">
        <v>51</v>
      </c>
      <c r="AX198" s="10" t="s">
        <v>55</v>
      </c>
      <c r="AY198" s="8"/>
    </row>
    <row r="199" spans="1:51" x14ac:dyDescent="0.15">
      <c r="A199" s="11" t="s">
        <v>80</v>
      </c>
      <c r="B199" s="12" t="s">
        <v>67</v>
      </c>
      <c r="C199" s="10" t="s">
        <v>62</v>
      </c>
      <c r="D199" s="10" t="s">
        <v>63</v>
      </c>
      <c r="E199" s="9">
        <v>118</v>
      </c>
      <c r="F199" s="9">
        <v>118</v>
      </c>
      <c r="G199" s="9">
        <v>3</v>
      </c>
      <c r="H199" s="10" t="s">
        <v>63</v>
      </c>
      <c r="I199" s="9">
        <v>1</v>
      </c>
      <c r="J199" s="9">
        <v>0.44781858300848398</v>
      </c>
      <c r="K199" s="10" t="s">
        <v>51</v>
      </c>
      <c r="L199" s="9">
        <v>3</v>
      </c>
      <c r="M199" s="9">
        <v>118</v>
      </c>
      <c r="N199" s="9">
        <v>118</v>
      </c>
      <c r="O199" s="9">
        <v>33</v>
      </c>
      <c r="P199" s="9">
        <v>143.02506366700999</v>
      </c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9">
        <v>143.01383104200099</v>
      </c>
      <c r="AD199" s="9">
        <v>143.02506366700999</v>
      </c>
      <c r="AE199" s="9">
        <v>143.51133745801101</v>
      </c>
      <c r="AF199" s="9">
        <v>143.51133745801101</v>
      </c>
      <c r="AG199" s="9">
        <v>143.51133745801101</v>
      </c>
      <c r="AH199" s="9">
        <v>143.97134816700401</v>
      </c>
      <c r="AI199" s="10" t="s">
        <v>63</v>
      </c>
      <c r="AJ199" s="9">
        <v>1</v>
      </c>
      <c r="AK199" s="9">
        <v>0.44781858300848398</v>
      </c>
      <c r="AL199" s="10" t="s">
        <v>51</v>
      </c>
      <c r="AM199" s="8"/>
      <c r="AN199" s="8"/>
      <c r="AO199" s="8"/>
      <c r="AP199" s="8"/>
      <c r="AQ199" s="9">
        <v>2</v>
      </c>
      <c r="AR199" s="9">
        <v>1</v>
      </c>
      <c r="AS199" s="10" t="s">
        <v>52</v>
      </c>
      <c r="AT199" s="10" t="s">
        <v>53</v>
      </c>
      <c r="AU199" s="8"/>
      <c r="AV199" s="10" t="s">
        <v>54</v>
      </c>
      <c r="AW199" s="10" t="s">
        <v>51</v>
      </c>
      <c r="AX199" s="10" t="s">
        <v>55</v>
      </c>
      <c r="AY199" s="8"/>
    </row>
    <row r="200" spans="1:51" x14ac:dyDescent="0.15">
      <c r="A200" s="11" t="s">
        <v>82</v>
      </c>
      <c r="B200" s="12" t="s">
        <v>67</v>
      </c>
      <c r="C200" s="10" t="s">
        <v>62</v>
      </c>
      <c r="D200" s="10" t="s">
        <v>63</v>
      </c>
      <c r="E200" s="9">
        <v>121</v>
      </c>
      <c r="F200" s="9">
        <v>121</v>
      </c>
      <c r="G200" s="9">
        <v>2</v>
      </c>
      <c r="H200" s="10" t="s">
        <v>63</v>
      </c>
      <c r="I200" s="9">
        <v>1</v>
      </c>
      <c r="J200" s="9">
        <v>0.52008249900245596</v>
      </c>
      <c r="K200" s="10" t="s">
        <v>51</v>
      </c>
      <c r="L200" s="9">
        <v>2</v>
      </c>
      <c r="M200" s="9">
        <v>121</v>
      </c>
      <c r="N200" s="9">
        <v>121</v>
      </c>
      <c r="O200" s="9">
        <v>37</v>
      </c>
      <c r="P200" s="9">
        <v>146.051154875007</v>
      </c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9">
        <v>146.04269675001001</v>
      </c>
      <c r="AD200" s="9">
        <v>146.051154875007</v>
      </c>
      <c r="AE200" s="9">
        <v>146.53600608299899</v>
      </c>
      <c r="AF200" s="9">
        <v>146.53600608299899</v>
      </c>
      <c r="AG200" s="9">
        <v>146.53600608299899</v>
      </c>
      <c r="AH200" s="9">
        <v>147.060309875</v>
      </c>
      <c r="AI200" s="10" t="s">
        <v>63</v>
      </c>
      <c r="AJ200" s="9">
        <v>1</v>
      </c>
      <c r="AK200" s="9">
        <v>0.52008249900245596</v>
      </c>
      <c r="AL200" s="10" t="s">
        <v>51</v>
      </c>
      <c r="AM200" s="8"/>
      <c r="AN200" s="8"/>
      <c r="AO200" s="8"/>
      <c r="AP200" s="8"/>
      <c r="AQ200" s="9">
        <v>2</v>
      </c>
      <c r="AR200" s="9">
        <v>1</v>
      </c>
      <c r="AS200" s="10" t="s">
        <v>52</v>
      </c>
      <c r="AT200" s="10" t="s">
        <v>53</v>
      </c>
      <c r="AU200" s="8"/>
      <c r="AV200" s="10" t="s">
        <v>54</v>
      </c>
      <c r="AW200" s="10" t="s">
        <v>51</v>
      </c>
      <c r="AX200" s="10" t="s">
        <v>55</v>
      </c>
      <c r="AY200" s="8"/>
    </row>
    <row r="201" spans="1:51" x14ac:dyDescent="0.15">
      <c r="A201" s="11" t="s">
        <v>69</v>
      </c>
      <c r="B201" s="12" t="s">
        <v>67</v>
      </c>
      <c r="C201" s="10" t="s">
        <v>62</v>
      </c>
      <c r="D201" s="10" t="s">
        <v>63</v>
      </c>
      <c r="E201" s="9">
        <v>124</v>
      </c>
      <c r="F201" s="9">
        <v>124</v>
      </c>
      <c r="G201" s="9">
        <v>4</v>
      </c>
      <c r="H201" s="10" t="s">
        <v>63</v>
      </c>
      <c r="I201" s="9">
        <v>1</v>
      </c>
      <c r="J201" s="9">
        <v>0.45482687500771102</v>
      </c>
      <c r="K201" s="10" t="s">
        <v>51</v>
      </c>
      <c r="L201" s="9">
        <v>4</v>
      </c>
      <c r="M201" s="9">
        <v>124</v>
      </c>
      <c r="N201" s="9">
        <v>124</v>
      </c>
      <c r="O201" s="9">
        <v>39</v>
      </c>
      <c r="P201" s="9">
        <v>148.851562875003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9">
        <v>148.84323070800701</v>
      </c>
      <c r="AD201" s="9">
        <v>148.851562875003</v>
      </c>
      <c r="AE201" s="9">
        <v>149.33641162500101</v>
      </c>
      <c r="AF201" s="9">
        <v>149.33641162500101</v>
      </c>
      <c r="AG201" s="9">
        <v>149.33641162500101</v>
      </c>
      <c r="AH201" s="9">
        <v>149.79317220800999</v>
      </c>
      <c r="AI201" s="10" t="s">
        <v>63</v>
      </c>
      <c r="AJ201" s="9">
        <v>1</v>
      </c>
      <c r="AK201" s="9">
        <v>0.45482687500771102</v>
      </c>
      <c r="AL201" s="10" t="s">
        <v>51</v>
      </c>
      <c r="AM201" s="8"/>
      <c r="AN201" s="8"/>
      <c r="AO201" s="8"/>
      <c r="AP201" s="8"/>
      <c r="AQ201" s="9">
        <v>2</v>
      </c>
      <c r="AR201" s="9">
        <v>1</v>
      </c>
      <c r="AS201" s="10" t="s">
        <v>52</v>
      </c>
      <c r="AT201" s="10" t="s">
        <v>53</v>
      </c>
      <c r="AU201" s="8"/>
      <c r="AV201" s="10" t="s">
        <v>54</v>
      </c>
      <c r="AW201" s="10" t="s">
        <v>51</v>
      </c>
      <c r="AX201" s="10" t="s">
        <v>55</v>
      </c>
      <c r="AY201" s="8"/>
    </row>
    <row r="202" spans="1:51" x14ac:dyDescent="0.15">
      <c r="A202" s="11" t="s">
        <v>80</v>
      </c>
      <c r="B202" s="12" t="s">
        <v>67</v>
      </c>
      <c r="C202" s="10" t="s">
        <v>58</v>
      </c>
      <c r="D202" s="10" t="s">
        <v>59</v>
      </c>
      <c r="E202" s="9">
        <v>125</v>
      </c>
      <c r="F202" s="9">
        <v>125</v>
      </c>
      <c r="G202" s="9">
        <v>2</v>
      </c>
      <c r="H202" s="10" t="s">
        <v>59</v>
      </c>
      <c r="I202" s="9">
        <v>1</v>
      </c>
      <c r="J202" s="9">
        <v>0.55415770800027497</v>
      </c>
      <c r="K202" s="10" t="s">
        <v>51</v>
      </c>
      <c r="L202" s="9">
        <v>2</v>
      </c>
      <c r="M202" s="9">
        <v>125</v>
      </c>
      <c r="N202" s="9">
        <v>125</v>
      </c>
      <c r="O202" s="9">
        <v>32</v>
      </c>
      <c r="P202" s="9">
        <v>149.808656958005</v>
      </c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9">
        <v>149.79706300000501</v>
      </c>
      <c r="AD202" s="9">
        <v>149.808656958005</v>
      </c>
      <c r="AE202" s="9">
        <v>150.29433041700401</v>
      </c>
      <c r="AF202" s="9">
        <v>150.29433041700401</v>
      </c>
      <c r="AG202" s="9">
        <v>150.29433041700401</v>
      </c>
      <c r="AH202" s="9">
        <v>150.854725208003</v>
      </c>
      <c r="AI202" s="10" t="s">
        <v>59</v>
      </c>
      <c r="AJ202" s="9">
        <v>1</v>
      </c>
      <c r="AK202" s="9">
        <v>0.55415770800027497</v>
      </c>
      <c r="AL202" s="10" t="s">
        <v>51</v>
      </c>
      <c r="AM202" s="8"/>
      <c r="AN202" s="8"/>
      <c r="AO202" s="8"/>
      <c r="AP202" s="8"/>
      <c r="AQ202" s="9">
        <v>2</v>
      </c>
      <c r="AR202" s="9">
        <v>1</v>
      </c>
      <c r="AS202" s="10" t="s">
        <v>52</v>
      </c>
      <c r="AT202" s="10" t="s">
        <v>53</v>
      </c>
      <c r="AU202" s="8"/>
      <c r="AV202" s="10" t="s">
        <v>54</v>
      </c>
      <c r="AW202" s="10" t="s">
        <v>51</v>
      </c>
      <c r="AX202" s="10" t="s">
        <v>55</v>
      </c>
      <c r="AY202" s="8"/>
    </row>
    <row r="203" spans="1:51" x14ac:dyDescent="0.15">
      <c r="A203" s="11" t="s">
        <v>66</v>
      </c>
      <c r="B203" s="12" t="s">
        <v>67</v>
      </c>
      <c r="C203" s="10" t="s">
        <v>58</v>
      </c>
      <c r="D203" s="10" t="s">
        <v>59</v>
      </c>
      <c r="E203" s="9">
        <v>130</v>
      </c>
      <c r="F203" s="9">
        <v>130</v>
      </c>
      <c r="G203" s="9">
        <v>1</v>
      </c>
      <c r="H203" s="10" t="s">
        <v>59</v>
      </c>
      <c r="I203" s="9">
        <v>1</v>
      </c>
      <c r="J203" s="9">
        <v>0.78019350000249699</v>
      </c>
      <c r="K203" s="10" t="s">
        <v>51</v>
      </c>
      <c r="L203" s="9">
        <v>1</v>
      </c>
      <c r="M203" s="9">
        <v>130</v>
      </c>
      <c r="N203" s="9">
        <v>130</v>
      </c>
      <c r="O203" s="9">
        <v>46</v>
      </c>
      <c r="P203" s="9">
        <v>155.568157417001</v>
      </c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9">
        <v>155.55964112500101</v>
      </c>
      <c r="AD203" s="9">
        <v>155.568157417001</v>
      </c>
      <c r="AE203" s="9">
        <v>156.05337170801101</v>
      </c>
      <c r="AF203" s="9">
        <v>156.05337170801101</v>
      </c>
      <c r="AG203" s="9">
        <v>156.05337170801101</v>
      </c>
      <c r="AH203" s="9">
        <v>156.838240375</v>
      </c>
      <c r="AI203" s="10" t="s">
        <v>59</v>
      </c>
      <c r="AJ203" s="9">
        <v>1</v>
      </c>
      <c r="AK203" s="9">
        <v>0.78019350000249699</v>
      </c>
      <c r="AL203" s="10" t="s">
        <v>51</v>
      </c>
      <c r="AM203" s="8"/>
      <c r="AN203" s="8"/>
      <c r="AO203" s="8"/>
      <c r="AP203" s="8"/>
      <c r="AQ203" s="9">
        <v>2</v>
      </c>
      <c r="AR203" s="9">
        <v>1</v>
      </c>
      <c r="AS203" s="10" t="s">
        <v>52</v>
      </c>
      <c r="AT203" s="10" t="s">
        <v>53</v>
      </c>
      <c r="AU203" s="8"/>
      <c r="AV203" s="10" t="s">
        <v>54</v>
      </c>
      <c r="AW203" s="10" t="s">
        <v>51</v>
      </c>
      <c r="AX203" s="10" t="s">
        <v>55</v>
      </c>
      <c r="AY203" s="8"/>
    </row>
    <row r="204" spans="1:51" x14ac:dyDescent="0.15">
      <c r="A204" s="11" t="s">
        <v>86</v>
      </c>
      <c r="B204" s="12" t="s">
        <v>67</v>
      </c>
      <c r="C204" s="10" t="s">
        <v>62</v>
      </c>
      <c r="D204" s="10" t="s">
        <v>63</v>
      </c>
      <c r="E204" s="9">
        <v>137</v>
      </c>
      <c r="F204" s="9">
        <v>137</v>
      </c>
      <c r="G204" s="9">
        <v>1</v>
      </c>
      <c r="H204" s="10" t="s">
        <v>63</v>
      </c>
      <c r="I204" s="9">
        <v>1</v>
      </c>
      <c r="J204" s="9">
        <v>0.54774779199215096</v>
      </c>
      <c r="K204" s="10" t="s">
        <v>51</v>
      </c>
      <c r="L204" s="9">
        <v>1</v>
      </c>
      <c r="M204" s="9">
        <v>137</v>
      </c>
      <c r="N204" s="9">
        <v>137</v>
      </c>
      <c r="O204" s="9">
        <v>35</v>
      </c>
      <c r="P204" s="9">
        <v>163.20909862501099</v>
      </c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9">
        <v>163.19910295800901</v>
      </c>
      <c r="AD204" s="9">
        <v>163.20909862501099</v>
      </c>
      <c r="AE204" s="9">
        <v>163.69470208299799</v>
      </c>
      <c r="AF204" s="9">
        <v>163.69470208299799</v>
      </c>
      <c r="AG204" s="9">
        <v>163.69470208299799</v>
      </c>
      <c r="AH204" s="9">
        <v>164.243883500007</v>
      </c>
      <c r="AI204" s="10" t="s">
        <v>63</v>
      </c>
      <c r="AJ204" s="9">
        <v>1</v>
      </c>
      <c r="AK204" s="9">
        <v>0.54774779199215096</v>
      </c>
      <c r="AL204" s="10" t="s">
        <v>51</v>
      </c>
      <c r="AM204" s="8"/>
      <c r="AN204" s="8"/>
      <c r="AO204" s="8"/>
      <c r="AP204" s="8"/>
      <c r="AQ204" s="9">
        <v>2</v>
      </c>
      <c r="AR204" s="9">
        <v>1</v>
      </c>
      <c r="AS204" s="10" t="s">
        <v>52</v>
      </c>
      <c r="AT204" s="10" t="s">
        <v>53</v>
      </c>
      <c r="AU204" s="8"/>
      <c r="AV204" s="10" t="s">
        <v>54</v>
      </c>
      <c r="AW204" s="10" t="s">
        <v>51</v>
      </c>
      <c r="AX204" s="10" t="s">
        <v>55</v>
      </c>
      <c r="AY204" s="8"/>
    </row>
    <row r="205" spans="1:51" x14ac:dyDescent="0.15">
      <c r="A205" s="11" t="s">
        <v>66</v>
      </c>
      <c r="B205" s="12" t="s">
        <v>67</v>
      </c>
      <c r="C205" s="10" t="s">
        <v>58</v>
      </c>
      <c r="D205" s="10" t="s">
        <v>59</v>
      </c>
      <c r="E205" s="9">
        <v>139</v>
      </c>
      <c r="F205" s="9">
        <v>139</v>
      </c>
      <c r="G205" s="9">
        <v>2</v>
      </c>
      <c r="H205" s="10" t="s">
        <v>59</v>
      </c>
      <c r="I205" s="9">
        <v>1</v>
      </c>
      <c r="J205" s="9">
        <v>0.663654083007714</v>
      </c>
      <c r="K205" s="10" t="s">
        <v>51</v>
      </c>
      <c r="L205" s="9">
        <v>2</v>
      </c>
      <c r="M205" s="9">
        <v>139</v>
      </c>
      <c r="N205" s="9">
        <v>139</v>
      </c>
      <c r="O205" s="9">
        <v>46</v>
      </c>
      <c r="P205" s="9">
        <v>165.55885175</v>
      </c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9">
        <v>165.54888887501099</v>
      </c>
      <c r="AD205" s="9">
        <v>165.55885175</v>
      </c>
      <c r="AE205" s="9">
        <v>166.036891958007</v>
      </c>
      <c r="AF205" s="9">
        <v>166.036891958007</v>
      </c>
      <c r="AG205" s="9">
        <v>166.036891958007</v>
      </c>
      <c r="AH205" s="9">
        <v>166.705551250008</v>
      </c>
      <c r="AI205" s="10" t="s">
        <v>59</v>
      </c>
      <c r="AJ205" s="9">
        <v>1</v>
      </c>
      <c r="AK205" s="9">
        <v>0.663654083007714</v>
      </c>
      <c r="AL205" s="10" t="s">
        <v>51</v>
      </c>
      <c r="AM205" s="8"/>
      <c r="AN205" s="8"/>
      <c r="AO205" s="8"/>
      <c r="AP205" s="8"/>
      <c r="AQ205" s="9">
        <v>2</v>
      </c>
      <c r="AR205" s="9">
        <v>1</v>
      </c>
      <c r="AS205" s="10" t="s">
        <v>52</v>
      </c>
      <c r="AT205" s="10" t="s">
        <v>53</v>
      </c>
      <c r="AU205" s="8"/>
      <c r="AV205" s="10" t="s">
        <v>54</v>
      </c>
      <c r="AW205" s="10" t="s">
        <v>51</v>
      </c>
      <c r="AX205" s="10" t="s">
        <v>55</v>
      </c>
      <c r="AY205" s="8"/>
    </row>
    <row r="206" spans="1:51" x14ac:dyDescent="0.15">
      <c r="A206" s="11" t="s">
        <v>76</v>
      </c>
      <c r="B206" s="12" t="s">
        <v>67</v>
      </c>
      <c r="C206" s="10" t="s">
        <v>62</v>
      </c>
      <c r="D206" s="10" t="s">
        <v>63</v>
      </c>
      <c r="E206" s="9">
        <v>141</v>
      </c>
      <c r="F206" s="9">
        <v>141</v>
      </c>
      <c r="G206" s="9">
        <v>2</v>
      </c>
      <c r="H206" s="10" t="s">
        <v>63</v>
      </c>
      <c r="I206" s="9">
        <v>1</v>
      </c>
      <c r="J206" s="9">
        <v>0.47021174900874002</v>
      </c>
      <c r="K206" s="10" t="s">
        <v>51</v>
      </c>
      <c r="L206" s="9">
        <v>2</v>
      </c>
      <c r="M206" s="9">
        <v>141</v>
      </c>
      <c r="N206" s="9">
        <v>141</v>
      </c>
      <c r="O206" s="9">
        <v>43</v>
      </c>
      <c r="P206" s="9">
        <v>167.58507370800399</v>
      </c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9">
        <v>167.57653670800201</v>
      </c>
      <c r="AD206" s="9">
        <v>167.58507370800399</v>
      </c>
      <c r="AE206" s="9">
        <v>168.070284250003</v>
      </c>
      <c r="AF206" s="9">
        <v>168.070284250003</v>
      </c>
      <c r="AG206" s="9">
        <v>168.070284250003</v>
      </c>
      <c r="AH206" s="9">
        <v>168.54396958299901</v>
      </c>
      <c r="AI206" s="10" t="s">
        <v>63</v>
      </c>
      <c r="AJ206" s="9">
        <v>1</v>
      </c>
      <c r="AK206" s="9">
        <v>0.47021174900874002</v>
      </c>
      <c r="AL206" s="10" t="s">
        <v>51</v>
      </c>
      <c r="AM206" s="8"/>
      <c r="AN206" s="8"/>
      <c r="AO206" s="8"/>
      <c r="AP206" s="8"/>
      <c r="AQ206" s="9">
        <v>2</v>
      </c>
      <c r="AR206" s="9">
        <v>1</v>
      </c>
      <c r="AS206" s="10" t="s">
        <v>52</v>
      </c>
      <c r="AT206" s="10" t="s">
        <v>53</v>
      </c>
      <c r="AU206" s="8"/>
      <c r="AV206" s="10" t="s">
        <v>54</v>
      </c>
      <c r="AW206" s="10" t="s">
        <v>51</v>
      </c>
      <c r="AX206" s="10" t="s">
        <v>55</v>
      </c>
      <c r="AY206" s="8"/>
    </row>
    <row r="207" spans="1:51" x14ac:dyDescent="0.15">
      <c r="A207" s="11" t="s">
        <v>66</v>
      </c>
      <c r="B207" s="12" t="s">
        <v>67</v>
      </c>
      <c r="C207" s="10" t="s">
        <v>62</v>
      </c>
      <c r="D207" s="10" t="s">
        <v>63</v>
      </c>
      <c r="E207" s="9">
        <v>143</v>
      </c>
      <c r="F207" s="9">
        <v>143</v>
      </c>
      <c r="G207" s="9">
        <v>1</v>
      </c>
      <c r="H207" s="10" t="s">
        <v>63</v>
      </c>
      <c r="I207" s="9">
        <v>1</v>
      </c>
      <c r="J207" s="9">
        <v>0.42787345800024901</v>
      </c>
      <c r="K207" s="10" t="s">
        <v>51</v>
      </c>
      <c r="L207" s="9">
        <v>1</v>
      </c>
      <c r="M207" s="9">
        <v>143</v>
      </c>
      <c r="N207" s="9">
        <v>143</v>
      </c>
      <c r="O207" s="9">
        <v>47</v>
      </c>
      <c r="P207" s="9">
        <v>170.26889845800201</v>
      </c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9">
        <v>170.26018570800099</v>
      </c>
      <c r="AD207" s="9">
        <v>170.26889845800201</v>
      </c>
      <c r="AE207" s="9">
        <v>170.753583416998</v>
      </c>
      <c r="AF207" s="9">
        <v>170.753583416998</v>
      </c>
      <c r="AG207" s="9">
        <v>170.753583416998</v>
      </c>
      <c r="AH207" s="9">
        <v>171.18898737500399</v>
      </c>
      <c r="AI207" s="10" t="s">
        <v>63</v>
      </c>
      <c r="AJ207" s="9">
        <v>1</v>
      </c>
      <c r="AK207" s="9">
        <v>0.42787345800024901</v>
      </c>
      <c r="AL207" s="10" t="s">
        <v>51</v>
      </c>
      <c r="AM207" s="8"/>
      <c r="AN207" s="8"/>
      <c r="AO207" s="8"/>
      <c r="AP207" s="8"/>
      <c r="AQ207" s="9">
        <v>2</v>
      </c>
      <c r="AR207" s="9">
        <v>1</v>
      </c>
      <c r="AS207" s="10" t="s">
        <v>52</v>
      </c>
      <c r="AT207" s="10" t="s">
        <v>53</v>
      </c>
      <c r="AU207" s="8"/>
      <c r="AV207" s="10" t="s">
        <v>54</v>
      </c>
      <c r="AW207" s="10" t="s">
        <v>51</v>
      </c>
      <c r="AX207" s="10" t="s">
        <v>55</v>
      </c>
      <c r="AY207" s="8"/>
    </row>
    <row r="208" spans="1:51" x14ac:dyDescent="0.15">
      <c r="A208" s="11" t="s">
        <v>82</v>
      </c>
      <c r="B208" s="12" t="s">
        <v>67</v>
      </c>
      <c r="C208" s="10" t="s">
        <v>62</v>
      </c>
      <c r="D208" s="10" t="s">
        <v>63</v>
      </c>
      <c r="E208" s="9">
        <v>146</v>
      </c>
      <c r="F208" s="9">
        <v>146</v>
      </c>
      <c r="G208" s="9">
        <v>3</v>
      </c>
      <c r="H208" s="10" t="s">
        <v>63</v>
      </c>
      <c r="I208" s="9">
        <v>1</v>
      </c>
      <c r="J208" s="9">
        <v>0.99084412500087604</v>
      </c>
      <c r="K208" s="10" t="s">
        <v>51</v>
      </c>
      <c r="L208" s="9">
        <v>3</v>
      </c>
      <c r="M208" s="9">
        <v>146</v>
      </c>
      <c r="N208" s="9">
        <v>146</v>
      </c>
      <c r="O208" s="9">
        <v>37</v>
      </c>
      <c r="P208" s="9">
        <v>173.185170625002</v>
      </c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9">
        <v>173.17684204199799</v>
      </c>
      <c r="AD208" s="9">
        <v>173.185170625002</v>
      </c>
      <c r="AE208" s="9">
        <v>173.670644833008</v>
      </c>
      <c r="AF208" s="9">
        <v>173.670644833008</v>
      </c>
      <c r="AG208" s="9">
        <v>173.670644833008</v>
      </c>
      <c r="AH208" s="9">
        <v>174.672441292001</v>
      </c>
      <c r="AI208" s="10" t="s">
        <v>63</v>
      </c>
      <c r="AJ208" s="9">
        <v>1</v>
      </c>
      <c r="AK208" s="9">
        <v>0.99084412500087604</v>
      </c>
      <c r="AL208" s="10" t="s">
        <v>51</v>
      </c>
      <c r="AM208" s="8"/>
      <c r="AN208" s="8"/>
      <c r="AO208" s="8"/>
      <c r="AP208" s="8"/>
      <c r="AQ208" s="9">
        <v>2</v>
      </c>
      <c r="AR208" s="9">
        <v>1</v>
      </c>
      <c r="AS208" s="10" t="s">
        <v>52</v>
      </c>
      <c r="AT208" s="10" t="s">
        <v>53</v>
      </c>
      <c r="AU208" s="8"/>
      <c r="AV208" s="10" t="s">
        <v>54</v>
      </c>
      <c r="AW208" s="10" t="s">
        <v>51</v>
      </c>
      <c r="AX208" s="10" t="s">
        <v>55</v>
      </c>
      <c r="AY208" s="8"/>
    </row>
    <row r="209" spans="1:51" x14ac:dyDescent="0.15">
      <c r="A209" s="11" t="s">
        <v>77</v>
      </c>
      <c r="B209" s="12" t="s">
        <v>67</v>
      </c>
      <c r="C209" s="10" t="s">
        <v>62</v>
      </c>
      <c r="D209" s="10" t="s">
        <v>63</v>
      </c>
      <c r="E209" s="9">
        <v>147</v>
      </c>
      <c r="F209" s="9">
        <v>147</v>
      </c>
      <c r="G209" s="9">
        <v>2</v>
      </c>
      <c r="H209" s="10" t="s">
        <v>63</v>
      </c>
      <c r="I209" s="9">
        <v>1</v>
      </c>
      <c r="J209" s="9">
        <v>0.36037075000058399</v>
      </c>
      <c r="K209" s="10" t="s">
        <v>51</v>
      </c>
      <c r="L209" s="9">
        <v>2</v>
      </c>
      <c r="M209" s="9">
        <v>147</v>
      </c>
      <c r="N209" s="9">
        <v>147</v>
      </c>
      <c r="O209" s="9">
        <v>41</v>
      </c>
      <c r="P209" s="9">
        <v>174.685429333011</v>
      </c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9">
        <v>174.67720166699999</v>
      </c>
      <c r="AD209" s="9">
        <v>174.685429333011</v>
      </c>
      <c r="AE209" s="9">
        <v>175.17032104200899</v>
      </c>
      <c r="AF209" s="9">
        <v>175.17032104200899</v>
      </c>
      <c r="AG209" s="9">
        <v>175.17032104200899</v>
      </c>
      <c r="AH209" s="9">
        <v>175.538748542007</v>
      </c>
      <c r="AI209" s="10" t="s">
        <v>63</v>
      </c>
      <c r="AJ209" s="9">
        <v>1</v>
      </c>
      <c r="AK209" s="9">
        <v>0.36037075000058399</v>
      </c>
      <c r="AL209" s="10" t="s">
        <v>51</v>
      </c>
      <c r="AM209" s="8"/>
      <c r="AN209" s="8"/>
      <c r="AO209" s="8"/>
      <c r="AP209" s="8"/>
      <c r="AQ209" s="9">
        <v>2</v>
      </c>
      <c r="AR209" s="9">
        <v>1</v>
      </c>
      <c r="AS209" s="10" t="s">
        <v>52</v>
      </c>
      <c r="AT209" s="10" t="s">
        <v>53</v>
      </c>
      <c r="AU209" s="8"/>
      <c r="AV209" s="10" t="s">
        <v>54</v>
      </c>
      <c r="AW209" s="10" t="s">
        <v>51</v>
      </c>
      <c r="AX209" s="10" t="s">
        <v>55</v>
      </c>
      <c r="AY209" s="8"/>
    </row>
    <row r="210" spans="1:51" x14ac:dyDescent="0.15">
      <c r="A210" s="11" t="s">
        <v>76</v>
      </c>
      <c r="B210" s="12" t="s">
        <v>67</v>
      </c>
      <c r="C210" s="10" t="s">
        <v>58</v>
      </c>
      <c r="D210" s="10" t="s">
        <v>59</v>
      </c>
      <c r="E210" s="9">
        <v>151</v>
      </c>
      <c r="F210" s="9">
        <v>151</v>
      </c>
      <c r="G210" s="9">
        <v>1</v>
      </c>
      <c r="H210" s="10" t="s">
        <v>59</v>
      </c>
      <c r="I210" s="9">
        <v>1</v>
      </c>
      <c r="J210" s="9">
        <v>0.69779999999445896</v>
      </c>
      <c r="K210" s="10" t="s">
        <v>51</v>
      </c>
      <c r="L210" s="9">
        <v>1</v>
      </c>
      <c r="M210" s="9">
        <v>151</v>
      </c>
      <c r="N210" s="9">
        <v>151</v>
      </c>
      <c r="O210" s="9">
        <v>42</v>
      </c>
      <c r="P210" s="9">
        <v>179.13606283300001</v>
      </c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9">
        <v>179.127203875003</v>
      </c>
      <c r="AD210" s="9">
        <v>179.13606283300001</v>
      </c>
      <c r="AE210" s="9">
        <v>179.62115575000601</v>
      </c>
      <c r="AF210" s="9">
        <v>179.62115575000601</v>
      </c>
      <c r="AG210" s="9">
        <v>179.62115575000601</v>
      </c>
      <c r="AH210" s="9">
        <v>180.322549625009</v>
      </c>
      <c r="AI210" s="10" t="s">
        <v>59</v>
      </c>
      <c r="AJ210" s="9">
        <v>1</v>
      </c>
      <c r="AK210" s="9">
        <v>0.69779999999445896</v>
      </c>
      <c r="AL210" s="10" t="s">
        <v>51</v>
      </c>
      <c r="AM210" s="8"/>
      <c r="AN210" s="8"/>
      <c r="AO210" s="8"/>
      <c r="AP210" s="8"/>
      <c r="AQ210" s="9">
        <v>2</v>
      </c>
      <c r="AR210" s="9">
        <v>1</v>
      </c>
      <c r="AS210" s="10" t="s">
        <v>52</v>
      </c>
      <c r="AT210" s="10" t="s">
        <v>53</v>
      </c>
      <c r="AU210" s="8"/>
      <c r="AV210" s="10" t="s">
        <v>54</v>
      </c>
      <c r="AW210" s="10" t="s">
        <v>51</v>
      </c>
      <c r="AX210" s="10" t="s">
        <v>55</v>
      </c>
      <c r="AY210" s="8"/>
    </row>
    <row r="211" spans="1:51" x14ac:dyDescent="0.15">
      <c r="A211" s="11" t="s">
        <v>82</v>
      </c>
      <c r="B211" s="12" t="s">
        <v>67</v>
      </c>
      <c r="C211" s="10" t="s">
        <v>58</v>
      </c>
      <c r="D211" s="10" t="s">
        <v>59</v>
      </c>
      <c r="E211" s="9">
        <v>154</v>
      </c>
      <c r="F211" s="9">
        <v>154</v>
      </c>
      <c r="G211" s="9">
        <v>3</v>
      </c>
      <c r="H211" s="10" t="s">
        <v>59</v>
      </c>
      <c r="I211" s="9">
        <v>1</v>
      </c>
      <c r="J211" s="9">
        <v>0.60071004100609604</v>
      </c>
      <c r="K211" s="10" t="s">
        <v>51</v>
      </c>
      <c r="L211" s="9">
        <v>3</v>
      </c>
      <c r="M211" s="9">
        <v>154</v>
      </c>
      <c r="N211" s="9">
        <v>154</v>
      </c>
      <c r="O211" s="9">
        <v>36</v>
      </c>
      <c r="P211" s="9">
        <v>183.436436458011</v>
      </c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9">
        <v>183.42762383300601</v>
      </c>
      <c r="AD211" s="9">
        <v>183.436436458011</v>
      </c>
      <c r="AE211" s="9">
        <v>183.920928958003</v>
      </c>
      <c r="AF211" s="9">
        <v>183.920928958003</v>
      </c>
      <c r="AG211" s="9">
        <v>183.920928958003</v>
      </c>
      <c r="AH211" s="9">
        <v>184.52796345800701</v>
      </c>
      <c r="AI211" s="10" t="s">
        <v>59</v>
      </c>
      <c r="AJ211" s="9">
        <v>1</v>
      </c>
      <c r="AK211" s="9">
        <v>0.60071004100609604</v>
      </c>
      <c r="AL211" s="10" t="s">
        <v>51</v>
      </c>
      <c r="AM211" s="8"/>
      <c r="AN211" s="8"/>
      <c r="AO211" s="8"/>
      <c r="AP211" s="8"/>
      <c r="AQ211" s="9">
        <v>2</v>
      </c>
      <c r="AR211" s="9">
        <v>1</v>
      </c>
      <c r="AS211" s="10" t="s">
        <v>52</v>
      </c>
      <c r="AT211" s="10" t="s">
        <v>53</v>
      </c>
      <c r="AU211" s="8"/>
      <c r="AV211" s="10" t="s">
        <v>54</v>
      </c>
      <c r="AW211" s="10" t="s">
        <v>51</v>
      </c>
      <c r="AX211" s="10" t="s">
        <v>55</v>
      </c>
      <c r="AY211" s="8"/>
    </row>
    <row r="212" spans="1:51" x14ac:dyDescent="0.15">
      <c r="A212" s="11" t="s">
        <v>81</v>
      </c>
      <c r="B212" s="12" t="s">
        <v>67</v>
      </c>
      <c r="C212" s="10" t="s">
        <v>62</v>
      </c>
      <c r="D212" s="10" t="s">
        <v>63</v>
      </c>
      <c r="E212" s="9">
        <v>155</v>
      </c>
      <c r="F212" s="9">
        <v>155</v>
      </c>
      <c r="G212" s="9">
        <v>3</v>
      </c>
      <c r="H212" s="10" t="s">
        <v>63</v>
      </c>
      <c r="I212" s="9">
        <v>1</v>
      </c>
      <c r="J212" s="9">
        <v>0.99039437499595795</v>
      </c>
      <c r="K212" s="10" t="s">
        <v>51</v>
      </c>
      <c r="L212" s="9">
        <v>3</v>
      </c>
      <c r="M212" s="9">
        <v>155</v>
      </c>
      <c r="N212" s="9">
        <v>155</v>
      </c>
      <c r="O212" s="9">
        <v>45</v>
      </c>
      <c r="P212" s="9">
        <v>184.542409625006</v>
      </c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9">
        <v>184.53252066701</v>
      </c>
      <c r="AD212" s="9">
        <v>184.542409625006</v>
      </c>
      <c r="AE212" s="9">
        <v>185.02845104200199</v>
      </c>
      <c r="AF212" s="9">
        <v>185.02845104200199</v>
      </c>
      <c r="AG212" s="9">
        <v>185.02845104200199</v>
      </c>
      <c r="AH212" s="9">
        <v>186.02263437501099</v>
      </c>
      <c r="AI212" s="10" t="s">
        <v>63</v>
      </c>
      <c r="AJ212" s="9">
        <v>1</v>
      </c>
      <c r="AK212" s="9">
        <v>0.99039437499595795</v>
      </c>
      <c r="AL212" s="10" t="s">
        <v>51</v>
      </c>
      <c r="AM212" s="8"/>
      <c r="AN212" s="8"/>
      <c r="AO212" s="8"/>
      <c r="AP212" s="8"/>
      <c r="AQ212" s="9">
        <v>2</v>
      </c>
      <c r="AR212" s="9">
        <v>1</v>
      </c>
      <c r="AS212" s="10" t="s">
        <v>52</v>
      </c>
      <c r="AT212" s="10" t="s">
        <v>53</v>
      </c>
      <c r="AU212" s="8"/>
      <c r="AV212" s="10" t="s">
        <v>54</v>
      </c>
      <c r="AW212" s="10" t="s">
        <v>51</v>
      </c>
      <c r="AX212" s="10" t="s">
        <v>55</v>
      </c>
      <c r="AY212" s="8"/>
    </row>
    <row r="213" spans="1:51" x14ac:dyDescent="0.15">
      <c r="A213" s="11" t="s">
        <v>86</v>
      </c>
      <c r="B213" s="12" t="s">
        <v>67</v>
      </c>
      <c r="C213" s="10" t="s">
        <v>58</v>
      </c>
      <c r="D213" s="10" t="s">
        <v>59</v>
      </c>
      <c r="E213" s="9">
        <v>157</v>
      </c>
      <c r="F213" s="9">
        <v>157</v>
      </c>
      <c r="G213" s="9">
        <v>4</v>
      </c>
      <c r="H213" s="10" t="s">
        <v>59</v>
      </c>
      <c r="I213" s="9">
        <v>1</v>
      </c>
      <c r="J213" s="9">
        <v>0.37850083300145299</v>
      </c>
      <c r="K213" s="10" t="s">
        <v>51</v>
      </c>
      <c r="L213" s="9">
        <v>4</v>
      </c>
      <c r="M213" s="9">
        <v>157</v>
      </c>
      <c r="N213" s="9">
        <v>157</v>
      </c>
      <c r="O213" s="9">
        <v>34</v>
      </c>
      <c r="P213" s="9">
        <v>187.36840608299801</v>
      </c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9">
        <v>187.36022483299899</v>
      </c>
      <c r="AD213" s="9">
        <v>187.36840608299801</v>
      </c>
      <c r="AE213" s="9">
        <v>187.85440591700899</v>
      </c>
      <c r="AF213" s="9">
        <v>187.85440591700899</v>
      </c>
      <c r="AG213" s="9">
        <v>187.85440591700899</v>
      </c>
      <c r="AH213" s="9">
        <v>188.23909808300999</v>
      </c>
      <c r="AI213" s="10" t="s">
        <v>59</v>
      </c>
      <c r="AJ213" s="9">
        <v>1</v>
      </c>
      <c r="AK213" s="9">
        <v>0.37850083300145299</v>
      </c>
      <c r="AL213" s="10" t="s">
        <v>51</v>
      </c>
      <c r="AM213" s="8"/>
      <c r="AN213" s="8"/>
      <c r="AO213" s="8"/>
      <c r="AP213" s="8"/>
      <c r="AQ213" s="9">
        <v>2</v>
      </c>
      <c r="AR213" s="9">
        <v>1</v>
      </c>
      <c r="AS213" s="10" t="s">
        <v>52</v>
      </c>
      <c r="AT213" s="10" t="s">
        <v>53</v>
      </c>
      <c r="AU213" s="8"/>
      <c r="AV213" s="10" t="s">
        <v>54</v>
      </c>
      <c r="AW213" s="10" t="s">
        <v>51</v>
      </c>
      <c r="AX213" s="10" t="s">
        <v>55</v>
      </c>
      <c r="AY213" s="8"/>
    </row>
    <row r="214" spans="1:51" x14ac:dyDescent="0.15">
      <c r="A214" s="11" t="s">
        <v>77</v>
      </c>
      <c r="B214" s="12" t="s">
        <v>67</v>
      </c>
      <c r="C214" s="10" t="s">
        <v>58</v>
      </c>
      <c r="D214" s="10" t="s">
        <v>59</v>
      </c>
      <c r="E214" s="9">
        <v>159</v>
      </c>
      <c r="F214" s="9">
        <v>159</v>
      </c>
      <c r="G214" s="9">
        <v>0</v>
      </c>
      <c r="H214" s="10" t="s">
        <v>59</v>
      </c>
      <c r="I214" s="9">
        <v>1</v>
      </c>
      <c r="J214" s="9">
        <v>0.48947304100147498</v>
      </c>
      <c r="K214" s="10" t="s">
        <v>51</v>
      </c>
      <c r="L214" s="9">
        <v>0</v>
      </c>
      <c r="M214" s="9">
        <v>159</v>
      </c>
      <c r="N214" s="9">
        <v>159</v>
      </c>
      <c r="O214" s="9">
        <v>40</v>
      </c>
      <c r="P214" s="9">
        <v>189.11917958300899</v>
      </c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9">
        <v>189.11107295801</v>
      </c>
      <c r="AD214" s="9">
        <v>189.11917958300899</v>
      </c>
      <c r="AE214" s="9">
        <v>189.60443270800201</v>
      </c>
      <c r="AF214" s="9">
        <v>189.60443270800201</v>
      </c>
      <c r="AG214" s="9">
        <v>189.60443270800201</v>
      </c>
      <c r="AH214" s="9">
        <v>190.106083792009</v>
      </c>
      <c r="AI214" s="10" t="s">
        <v>59</v>
      </c>
      <c r="AJ214" s="9">
        <v>1</v>
      </c>
      <c r="AK214" s="9">
        <v>0.48947304100147498</v>
      </c>
      <c r="AL214" s="10" t="s">
        <v>51</v>
      </c>
      <c r="AM214" s="8"/>
      <c r="AN214" s="8"/>
      <c r="AO214" s="8"/>
      <c r="AP214" s="8"/>
      <c r="AQ214" s="9">
        <v>2</v>
      </c>
      <c r="AR214" s="9">
        <v>1</v>
      </c>
      <c r="AS214" s="10" t="s">
        <v>52</v>
      </c>
      <c r="AT214" s="10" t="s">
        <v>53</v>
      </c>
      <c r="AU214" s="8"/>
      <c r="AV214" s="10" t="s">
        <v>54</v>
      </c>
      <c r="AW214" s="10" t="s">
        <v>51</v>
      </c>
      <c r="AX214" s="10" t="s">
        <v>55</v>
      </c>
      <c r="AY214" s="8"/>
    </row>
    <row r="215" spans="1:51" x14ac:dyDescent="0.15">
      <c r="A215" s="11" t="s">
        <v>86</v>
      </c>
      <c r="B215" s="12" t="s">
        <v>67</v>
      </c>
      <c r="C215" s="10" t="s">
        <v>62</v>
      </c>
      <c r="D215" s="10" t="s">
        <v>63</v>
      </c>
      <c r="E215" s="9">
        <v>160</v>
      </c>
      <c r="F215" s="9">
        <v>160</v>
      </c>
      <c r="G215" s="9">
        <v>2</v>
      </c>
      <c r="H215" s="10" t="s">
        <v>63</v>
      </c>
      <c r="I215" s="9">
        <v>1</v>
      </c>
      <c r="J215" s="9">
        <v>0.63080425000225704</v>
      </c>
      <c r="K215" s="10" t="s">
        <v>51</v>
      </c>
      <c r="L215" s="9">
        <v>2</v>
      </c>
      <c r="M215" s="9">
        <v>160</v>
      </c>
      <c r="N215" s="9">
        <v>160</v>
      </c>
      <c r="O215" s="9">
        <v>35</v>
      </c>
      <c r="P215" s="9">
        <v>190.118762667</v>
      </c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9">
        <v>190.11069241700201</v>
      </c>
      <c r="AD215" s="9">
        <v>190.118762667</v>
      </c>
      <c r="AE215" s="9">
        <v>190.604276208003</v>
      </c>
      <c r="AF215" s="9">
        <v>190.604276208003</v>
      </c>
      <c r="AG215" s="9">
        <v>190.604276208003</v>
      </c>
      <c r="AH215" s="9">
        <v>191.23917329200799</v>
      </c>
      <c r="AI215" s="10" t="s">
        <v>63</v>
      </c>
      <c r="AJ215" s="9">
        <v>1</v>
      </c>
      <c r="AK215" s="9">
        <v>0.63080425000225704</v>
      </c>
      <c r="AL215" s="10" t="s">
        <v>51</v>
      </c>
      <c r="AM215" s="8"/>
      <c r="AN215" s="8"/>
      <c r="AO215" s="8"/>
      <c r="AP215" s="8"/>
      <c r="AQ215" s="9">
        <v>2</v>
      </c>
      <c r="AR215" s="9">
        <v>1</v>
      </c>
      <c r="AS215" s="10" t="s">
        <v>52</v>
      </c>
      <c r="AT215" s="10" t="s">
        <v>53</v>
      </c>
      <c r="AU215" s="8"/>
      <c r="AV215" s="10" t="s">
        <v>54</v>
      </c>
      <c r="AW215" s="10" t="s">
        <v>51</v>
      </c>
      <c r="AX215" s="10" t="s">
        <v>55</v>
      </c>
      <c r="AY215" s="8"/>
    </row>
    <row r="216" spans="1:51" x14ac:dyDescent="0.15">
      <c r="A216" s="11" t="s">
        <v>66</v>
      </c>
      <c r="B216" s="12" t="s">
        <v>67</v>
      </c>
      <c r="C216" s="10" t="s">
        <v>62</v>
      </c>
      <c r="D216" s="10" t="s">
        <v>63</v>
      </c>
      <c r="E216" s="9">
        <v>162</v>
      </c>
      <c r="F216" s="9">
        <v>162</v>
      </c>
      <c r="G216" s="9">
        <v>2</v>
      </c>
      <c r="H216" s="10" t="s">
        <v>63</v>
      </c>
      <c r="I216" s="9">
        <v>1</v>
      </c>
      <c r="J216" s="9">
        <v>0.585649917004048</v>
      </c>
      <c r="K216" s="10" t="s">
        <v>51</v>
      </c>
      <c r="L216" s="9">
        <v>2</v>
      </c>
      <c r="M216" s="9">
        <v>162</v>
      </c>
      <c r="N216" s="9">
        <v>162</v>
      </c>
      <c r="O216" s="9">
        <v>47</v>
      </c>
      <c r="P216" s="9">
        <v>192.835989125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9">
        <v>192.82764775000399</v>
      </c>
      <c r="AD216" s="9">
        <v>192.835989125</v>
      </c>
      <c r="AE216" s="9">
        <v>193.32116375000601</v>
      </c>
      <c r="AF216" s="9">
        <v>193.32116375000601</v>
      </c>
      <c r="AG216" s="9">
        <v>193.32116375000601</v>
      </c>
      <c r="AH216" s="9">
        <v>193.91133170800501</v>
      </c>
      <c r="AI216" s="10" t="s">
        <v>63</v>
      </c>
      <c r="AJ216" s="9">
        <v>1</v>
      </c>
      <c r="AK216" s="9">
        <v>0.585649917004048</v>
      </c>
      <c r="AL216" s="10" t="s">
        <v>51</v>
      </c>
      <c r="AM216" s="8"/>
      <c r="AN216" s="8"/>
      <c r="AO216" s="8"/>
      <c r="AP216" s="8"/>
      <c r="AQ216" s="9">
        <v>2</v>
      </c>
      <c r="AR216" s="9">
        <v>1</v>
      </c>
      <c r="AS216" s="10" t="s">
        <v>52</v>
      </c>
      <c r="AT216" s="10" t="s">
        <v>53</v>
      </c>
      <c r="AU216" s="8"/>
      <c r="AV216" s="10" t="s">
        <v>54</v>
      </c>
      <c r="AW216" s="10" t="s">
        <v>51</v>
      </c>
      <c r="AX216" s="10" t="s">
        <v>55</v>
      </c>
      <c r="AY216" s="8"/>
    </row>
    <row r="217" spans="1:51" x14ac:dyDescent="0.15">
      <c r="A217" s="11" t="s">
        <v>66</v>
      </c>
      <c r="B217" s="12" t="s">
        <v>67</v>
      </c>
      <c r="C217" s="10" t="s">
        <v>58</v>
      </c>
      <c r="D217" s="10" t="s">
        <v>59</v>
      </c>
      <c r="E217" s="9">
        <v>165</v>
      </c>
      <c r="F217" s="9">
        <v>165</v>
      </c>
      <c r="G217" s="9">
        <v>3</v>
      </c>
      <c r="H217" s="10" t="s">
        <v>59</v>
      </c>
      <c r="I217" s="9">
        <v>1</v>
      </c>
      <c r="J217" s="9">
        <v>0.60325654099869996</v>
      </c>
      <c r="K217" s="10" t="s">
        <v>51</v>
      </c>
      <c r="L217" s="9">
        <v>3</v>
      </c>
      <c r="M217" s="9">
        <v>165</v>
      </c>
      <c r="N217" s="9">
        <v>165</v>
      </c>
      <c r="O217" s="9">
        <v>46</v>
      </c>
      <c r="P217" s="9">
        <v>195.80324624999801</v>
      </c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9">
        <v>195.79504054199799</v>
      </c>
      <c r="AD217" s="9">
        <v>195.80324624999801</v>
      </c>
      <c r="AE217" s="9">
        <v>196.287525417007</v>
      </c>
      <c r="AF217" s="9">
        <v>196.287525417007</v>
      </c>
      <c r="AG217" s="9">
        <v>196.287525417007</v>
      </c>
      <c r="AH217" s="9">
        <v>196.895205167006</v>
      </c>
      <c r="AI217" s="10" t="s">
        <v>59</v>
      </c>
      <c r="AJ217" s="9">
        <v>1</v>
      </c>
      <c r="AK217" s="9">
        <v>0.60325654099869996</v>
      </c>
      <c r="AL217" s="10" t="s">
        <v>51</v>
      </c>
      <c r="AM217" s="8"/>
      <c r="AN217" s="8"/>
      <c r="AO217" s="8"/>
      <c r="AP217" s="8"/>
      <c r="AQ217" s="9">
        <v>2</v>
      </c>
      <c r="AR217" s="9">
        <v>1</v>
      </c>
      <c r="AS217" s="10" t="s">
        <v>52</v>
      </c>
      <c r="AT217" s="10" t="s">
        <v>53</v>
      </c>
      <c r="AU217" s="8"/>
      <c r="AV217" s="10" t="s">
        <v>54</v>
      </c>
      <c r="AW217" s="10" t="s">
        <v>51</v>
      </c>
      <c r="AX217" s="10" t="s">
        <v>55</v>
      </c>
      <c r="AY217" s="8"/>
    </row>
    <row r="218" spans="1:51" x14ac:dyDescent="0.15">
      <c r="A218" s="11" t="s">
        <v>80</v>
      </c>
      <c r="B218" s="12" t="s">
        <v>67</v>
      </c>
      <c r="C218" s="10" t="s">
        <v>62</v>
      </c>
      <c r="D218" s="10" t="s">
        <v>63</v>
      </c>
      <c r="E218" s="9">
        <v>168</v>
      </c>
      <c r="F218" s="9">
        <v>168</v>
      </c>
      <c r="G218" s="9">
        <v>4</v>
      </c>
      <c r="H218" s="10" t="s">
        <v>63</v>
      </c>
      <c r="I218" s="9">
        <v>1</v>
      </c>
      <c r="J218" s="9">
        <v>0.67441508300544195</v>
      </c>
      <c r="K218" s="10" t="s">
        <v>51</v>
      </c>
      <c r="L218" s="9">
        <v>4</v>
      </c>
      <c r="M218" s="9">
        <v>168</v>
      </c>
      <c r="N218" s="9">
        <v>168</v>
      </c>
      <c r="O218" s="9">
        <v>33</v>
      </c>
      <c r="P218" s="9">
        <v>199.06994408300699</v>
      </c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9">
        <v>199.06153079200899</v>
      </c>
      <c r="AD218" s="9">
        <v>199.06994408300699</v>
      </c>
      <c r="AE218" s="9">
        <v>199.55445020800099</v>
      </c>
      <c r="AF218" s="9">
        <v>199.55445020800099</v>
      </c>
      <c r="AG218" s="9">
        <v>199.55445020800099</v>
      </c>
      <c r="AH218" s="9">
        <v>200.23996783301101</v>
      </c>
      <c r="AI218" s="10" t="s">
        <v>63</v>
      </c>
      <c r="AJ218" s="9">
        <v>1</v>
      </c>
      <c r="AK218" s="9">
        <v>0.67441508300544195</v>
      </c>
      <c r="AL218" s="10" t="s">
        <v>51</v>
      </c>
      <c r="AM218" s="8"/>
      <c r="AN218" s="8"/>
      <c r="AO218" s="8"/>
      <c r="AP218" s="8"/>
      <c r="AQ218" s="9">
        <v>2</v>
      </c>
      <c r="AR218" s="9">
        <v>1</v>
      </c>
      <c r="AS218" s="10" t="s">
        <v>52</v>
      </c>
      <c r="AT218" s="10" t="s">
        <v>53</v>
      </c>
      <c r="AU218" s="8"/>
      <c r="AV218" s="10" t="s">
        <v>54</v>
      </c>
      <c r="AW218" s="10" t="s">
        <v>51</v>
      </c>
      <c r="AX218" s="10" t="s">
        <v>55</v>
      </c>
      <c r="AY218" s="8"/>
    </row>
    <row r="219" spans="1:51" x14ac:dyDescent="0.15">
      <c r="A219" s="11" t="s">
        <v>82</v>
      </c>
      <c r="B219" s="12" t="s">
        <v>67</v>
      </c>
      <c r="C219" s="10" t="s">
        <v>58</v>
      </c>
      <c r="D219" s="10" t="s">
        <v>59</v>
      </c>
      <c r="E219" s="9">
        <v>169</v>
      </c>
      <c r="F219" s="9">
        <v>169</v>
      </c>
      <c r="G219" s="9">
        <v>4</v>
      </c>
      <c r="H219" s="10" t="s">
        <v>59</v>
      </c>
      <c r="I219" s="9">
        <v>1</v>
      </c>
      <c r="J219" s="9">
        <v>0.45511300000362098</v>
      </c>
      <c r="K219" s="10" t="s">
        <v>51</v>
      </c>
      <c r="L219" s="9">
        <v>4</v>
      </c>
      <c r="M219" s="9">
        <v>169</v>
      </c>
      <c r="N219" s="9">
        <v>169</v>
      </c>
      <c r="O219" s="9">
        <v>36</v>
      </c>
      <c r="P219" s="9">
        <v>200.253201125001</v>
      </c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9">
        <v>200.24513975001199</v>
      </c>
      <c r="AD219" s="9">
        <v>200.253201125001</v>
      </c>
      <c r="AE219" s="9">
        <v>200.737819083006</v>
      </c>
      <c r="AF219" s="9">
        <v>200.737819083006</v>
      </c>
      <c r="AG219" s="9">
        <v>200.737819083006</v>
      </c>
      <c r="AH219" s="9">
        <v>201.195329958005</v>
      </c>
      <c r="AI219" s="10" t="s">
        <v>59</v>
      </c>
      <c r="AJ219" s="9">
        <v>1</v>
      </c>
      <c r="AK219" s="9">
        <v>0.45511300000362098</v>
      </c>
      <c r="AL219" s="10" t="s">
        <v>51</v>
      </c>
      <c r="AM219" s="8"/>
      <c r="AN219" s="8"/>
      <c r="AO219" s="8"/>
      <c r="AP219" s="8"/>
      <c r="AQ219" s="9">
        <v>2</v>
      </c>
      <c r="AR219" s="9">
        <v>1</v>
      </c>
      <c r="AS219" s="10" t="s">
        <v>52</v>
      </c>
      <c r="AT219" s="10" t="s">
        <v>53</v>
      </c>
      <c r="AU219" s="8"/>
      <c r="AV219" s="10" t="s">
        <v>54</v>
      </c>
      <c r="AW219" s="10" t="s">
        <v>51</v>
      </c>
      <c r="AX219" s="10" t="s">
        <v>55</v>
      </c>
      <c r="AY219" s="8"/>
    </row>
    <row r="220" spans="1:51" x14ac:dyDescent="0.15">
      <c r="A220" s="11" t="s">
        <v>77</v>
      </c>
      <c r="B220" s="12" t="s">
        <v>67</v>
      </c>
      <c r="C220" s="10" t="s">
        <v>62</v>
      </c>
      <c r="D220" s="10" t="s">
        <v>63</v>
      </c>
      <c r="E220" s="9">
        <v>170</v>
      </c>
      <c r="F220" s="9">
        <v>170</v>
      </c>
      <c r="G220" s="9">
        <v>3</v>
      </c>
      <c r="H220" s="10" t="s">
        <v>63</v>
      </c>
      <c r="I220" s="9">
        <v>1</v>
      </c>
      <c r="J220" s="9">
        <v>0.56911504099844001</v>
      </c>
      <c r="K220" s="10" t="s">
        <v>51</v>
      </c>
      <c r="L220" s="9">
        <v>3</v>
      </c>
      <c r="M220" s="9">
        <v>170</v>
      </c>
      <c r="N220" s="9">
        <v>170</v>
      </c>
      <c r="O220" s="9">
        <v>41</v>
      </c>
      <c r="P220" s="9">
        <v>201.20943087500899</v>
      </c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9">
        <v>201.19940537501</v>
      </c>
      <c r="AD220" s="9">
        <v>201.20943087500899</v>
      </c>
      <c r="AE220" s="9">
        <v>201.69581208301</v>
      </c>
      <c r="AF220" s="9">
        <v>201.69581208301</v>
      </c>
      <c r="AG220" s="9">
        <v>201.69581208301</v>
      </c>
      <c r="AH220" s="9">
        <v>202.27303166700599</v>
      </c>
      <c r="AI220" s="10" t="s">
        <v>63</v>
      </c>
      <c r="AJ220" s="9">
        <v>1</v>
      </c>
      <c r="AK220" s="9">
        <v>0.56911504099844001</v>
      </c>
      <c r="AL220" s="10" t="s">
        <v>51</v>
      </c>
      <c r="AM220" s="8"/>
      <c r="AN220" s="8"/>
      <c r="AO220" s="8"/>
      <c r="AP220" s="8"/>
      <c r="AQ220" s="9">
        <v>2</v>
      </c>
      <c r="AR220" s="9">
        <v>1</v>
      </c>
      <c r="AS220" s="10" t="s">
        <v>52</v>
      </c>
      <c r="AT220" s="10" t="s">
        <v>53</v>
      </c>
      <c r="AU220" s="8"/>
      <c r="AV220" s="10" t="s">
        <v>54</v>
      </c>
      <c r="AW220" s="10" t="s">
        <v>51</v>
      </c>
      <c r="AX220" s="10" t="s">
        <v>55</v>
      </c>
      <c r="AY220" s="8"/>
    </row>
    <row r="221" spans="1:51" x14ac:dyDescent="0.15">
      <c r="A221" s="11" t="s">
        <v>66</v>
      </c>
      <c r="B221" s="12" t="s">
        <v>67</v>
      </c>
      <c r="C221" s="10" t="s">
        <v>62</v>
      </c>
      <c r="D221" s="10" t="s">
        <v>63</v>
      </c>
      <c r="E221" s="9">
        <v>172</v>
      </c>
      <c r="F221" s="9">
        <v>172</v>
      </c>
      <c r="G221" s="9">
        <v>3</v>
      </c>
      <c r="H221" s="10" t="s">
        <v>63</v>
      </c>
      <c r="I221" s="9">
        <v>1</v>
      </c>
      <c r="J221" s="9">
        <v>0.47527808300219498</v>
      </c>
      <c r="K221" s="10" t="s">
        <v>51</v>
      </c>
      <c r="L221" s="9">
        <v>3</v>
      </c>
      <c r="M221" s="9">
        <v>172</v>
      </c>
      <c r="N221" s="9">
        <v>172</v>
      </c>
      <c r="O221" s="9">
        <v>47</v>
      </c>
      <c r="P221" s="9">
        <v>203.16887254201001</v>
      </c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9">
        <v>203.16066845800401</v>
      </c>
      <c r="AD221" s="9">
        <v>203.16887254201001</v>
      </c>
      <c r="AE221" s="9">
        <v>203.65473433300201</v>
      </c>
      <c r="AF221" s="9">
        <v>203.65473433300201</v>
      </c>
      <c r="AG221" s="9">
        <v>203.65473433300201</v>
      </c>
      <c r="AH221" s="9">
        <v>204.14002954200299</v>
      </c>
      <c r="AI221" s="10" t="s">
        <v>63</v>
      </c>
      <c r="AJ221" s="9">
        <v>1</v>
      </c>
      <c r="AK221" s="9">
        <v>0.47527808300219498</v>
      </c>
      <c r="AL221" s="10" t="s">
        <v>51</v>
      </c>
      <c r="AM221" s="8"/>
      <c r="AN221" s="8"/>
      <c r="AO221" s="8"/>
      <c r="AP221" s="8"/>
      <c r="AQ221" s="9">
        <v>2</v>
      </c>
      <c r="AR221" s="9">
        <v>1</v>
      </c>
      <c r="AS221" s="10" t="s">
        <v>52</v>
      </c>
      <c r="AT221" s="10" t="s">
        <v>53</v>
      </c>
      <c r="AU221" s="8"/>
      <c r="AV221" s="10" t="s">
        <v>54</v>
      </c>
      <c r="AW221" s="10" t="s">
        <v>51</v>
      </c>
      <c r="AX221" s="10" t="s">
        <v>55</v>
      </c>
      <c r="AY221" s="8"/>
    </row>
    <row r="222" spans="1:51" x14ac:dyDescent="0.15">
      <c r="A222" s="11" t="s">
        <v>76</v>
      </c>
      <c r="B222" s="12" t="s">
        <v>67</v>
      </c>
      <c r="C222" s="10" t="s">
        <v>62</v>
      </c>
      <c r="D222" s="10" t="s">
        <v>63</v>
      </c>
      <c r="E222" s="9">
        <v>173</v>
      </c>
      <c r="F222" s="9">
        <v>173</v>
      </c>
      <c r="G222" s="9">
        <v>3</v>
      </c>
      <c r="H222" s="10" t="s">
        <v>63</v>
      </c>
      <c r="I222" s="9">
        <v>1</v>
      </c>
      <c r="J222" s="9">
        <v>0.50612574999104298</v>
      </c>
      <c r="K222" s="10" t="s">
        <v>51</v>
      </c>
      <c r="L222" s="9">
        <v>3</v>
      </c>
      <c r="M222" s="9">
        <v>173</v>
      </c>
      <c r="N222" s="9">
        <v>173</v>
      </c>
      <c r="O222" s="9">
        <v>43</v>
      </c>
      <c r="P222" s="9">
        <v>204.153216250008</v>
      </c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9">
        <v>204.14495300000999</v>
      </c>
      <c r="AD222" s="9">
        <v>204.153216250008</v>
      </c>
      <c r="AE222" s="9">
        <v>204.63790462500799</v>
      </c>
      <c r="AF222" s="9">
        <v>204.63790462500799</v>
      </c>
      <c r="AG222" s="9">
        <v>204.63790462500799</v>
      </c>
      <c r="AH222" s="9">
        <v>205.145661417002</v>
      </c>
      <c r="AI222" s="10" t="s">
        <v>63</v>
      </c>
      <c r="AJ222" s="9">
        <v>1</v>
      </c>
      <c r="AK222" s="9">
        <v>0.50612574999104298</v>
      </c>
      <c r="AL222" s="10" t="s">
        <v>51</v>
      </c>
      <c r="AM222" s="8"/>
      <c r="AN222" s="8"/>
      <c r="AO222" s="8"/>
      <c r="AP222" s="8"/>
      <c r="AQ222" s="9">
        <v>2</v>
      </c>
      <c r="AR222" s="9">
        <v>1</v>
      </c>
      <c r="AS222" s="10" t="s">
        <v>52</v>
      </c>
      <c r="AT222" s="10" t="s">
        <v>53</v>
      </c>
      <c r="AU222" s="8"/>
      <c r="AV222" s="10" t="s">
        <v>54</v>
      </c>
      <c r="AW222" s="10" t="s">
        <v>51</v>
      </c>
      <c r="AX222" s="10" t="s">
        <v>55</v>
      </c>
      <c r="AY222" s="8"/>
    </row>
    <row r="223" spans="1:51" x14ac:dyDescent="0.15">
      <c r="A223" s="11" t="s">
        <v>80</v>
      </c>
      <c r="B223" s="12" t="s">
        <v>67</v>
      </c>
      <c r="C223" s="10" t="s">
        <v>58</v>
      </c>
      <c r="D223" s="10" t="s">
        <v>59</v>
      </c>
      <c r="E223" s="9">
        <v>175</v>
      </c>
      <c r="F223" s="9">
        <v>175</v>
      </c>
      <c r="G223" s="9">
        <v>3</v>
      </c>
      <c r="H223" s="10" t="s">
        <v>63</v>
      </c>
      <c r="I223" s="9">
        <v>0</v>
      </c>
      <c r="J223" s="9">
        <v>0.38261416699970102</v>
      </c>
      <c r="K223" s="10" t="s">
        <v>51</v>
      </c>
      <c r="L223" s="9">
        <v>3</v>
      </c>
      <c r="M223" s="9">
        <v>175</v>
      </c>
      <c r="N223" s="9">
        <v>175</v>
      </c>
      <c r="O223" s="9">
        <v>32</v>
      </c>
      <c r="P223" s="9">
        <v>206.13713866700701</v>
      </c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9">
        <v>206.128798582999</v>
      </c>
      <c r="AD223" s="9">
        <v>206.13713866700701</v>
      </c>
      <c r="AE223" s="9">
        <v>206.62153325</v>
      </c>
      <c r="AF223" s="9">
        <v>206.62153325</v>
      </c>
      <c r="AG223" s="9">
        <v>206.62153325</v>
      </c>
      <c r="AH223" s="9">
        <v>207.00678545801199</v>
      </c>
      <c r="AI223" s="10" t="s">
        <v>63</v>
      </c>
      <c r="AJ223" s="9">
        <v>0</v>
      </c>
      <c r="AK223" s="9">
        <v>0.38261416699970102</v>
      </c>
      <c r="AL223" s="10" t="s">
        <v>51</v>
      </c>
      <c r="AM223" s="8"/>
      <c r="AN223" s="8"/>
      <c r="AO223" s="8"/>
      <c r="AP223" s="8"/>
      <c r="AQ223" s="9">
        <v>2</v>
      </c>
      <c r="AR223" s="9">
        <v>1</v>
      </c>
      <c r="AS223" s="10" t="s">
        <v>52</v>
      </c>
      <c r="AT223" s="10" t="s">
        <v>53</v>
      </c>
      <c r="AU223" s="8"/>
      <c r="AV223" s="10" t="s">
        <v>54</v>
      </c>
      <c r="AW223" s="10" t="s">
        <v>51</v>
      </c>
      <c r="AX223" s="10" t="s">
        <v>55</v>
      </c>
      <c r="AY223" s="8"/>
    </row>
    <row r="224" spans="1:51" x14ac:dyDescent="0.15">
      <c r="A224" s="11" t="s">
        <v>66</v>
      </c>
      <c r="B224" s="12" t="s">
        <v>67</v>
      </c>
      <c r="C224" s="10" t="s">
        <v>58</v>
      </c>
      <c r="D224" s="10" t="s">
        <v>59</v>
      </c>
      <c r="E224" s="9">
        <v>181</v>
      </c>
      <c r="F224" s="9">
        <v>181</v>
      </c>
      <c r="G224" s="9">
        <v>4</v>
      </c>
      <c r="H224" s="10" t="s">
        <v>59</v>
      </c>
      <c r="I224" s="9">
        <v>1</v>
      </c>
      <c r="J224" s="9">
        <v>0.375458291993709</v>
      </c>
      <c r="K224" s="10" t="s">
        <v>51</v>
      </c>
      <c r="L224" s="9">
        <v>4</v>
      </c>
      <c r="M224" s="9">
        <v>181</v>
      </c>
      <c r="N224" s="9">
        <v>181</v>
      </c>
      <c r="O224" s="9">
        <v>46</v>
      </c>
      <c r="P224" s="9">
        <v>211.98855875000299</v>
      </c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9">
        <v>211.96512675000099</v>
      </c>
      <c r="AD224" s="9">
        <v>211.98855875000299</v>
      </c>
      <c r="AE224" s="9">
        <v>212.454615125011</v>
      </c>
      <c r="AF224" s="9">
        <v>212.454615125011</v>
      </c>
      <c r="AG224" s="9">
        <v>212.454615125011</v>
      </c>
      <c r="AH224" s="9">
        <v>212.84007358300701</v>
      </c>
      <c r="AI224" s="10" t="s">
        <v>59</v>
      </c>
      <c r="AJ224" s="9">
        <v>1</v>
      </c>
      <c r="AK224" s="9">
        <v>0.375458291993709</v>
      </c>
      <c r="AL224" s="10" t="s">
        <v>51</v>
      </c>
      <c r="AM224" s="8"/>
      <c r="AN224" s="8"/>
      <c r="AO224" s="8"/>
      <c r="AP224" s="8"/>
      <c r="AQ224" s="9">
        <v>2</v>
      </c>
      <c r="AR224" s="9">
        <v>1</v>
      </c>
      <c r="AS224" s="10" t="s">
        <v>52</v>
      </c>
      <c r="AT224" s="10" t="s">
        <v>53</v>
      </c>
      <c r="AU224" s="8"/>
      <c r="AV224" s="10" t="s">
        <v>54</v>
      </c>
      <c r="AW224" s="10" t="s">
        <v>51</v>
      </c>
      <c r="AX224" s="10" t="s">
        <v>55</v>
      </c>
      <c r="AY224" s="8"/>
    </row>
    <row r="225" spans="1:51" x14ac:dyDescent="0.15">
      <c r="A225" s="11" t="s">
        <v>76</v>
      </c>
      <c r="B225" s="12" t="s">
        <v>67</v>
      </c>
      <c r="C225" s="10" t="s">
        <v>58</v>
      </c>
      <c r="D225" s="10" t="s">
        <v>59</v>
      </c>
      <c r="E225" s="9">
        <v>186</v>
      </c>
      <c r="F225" s="9">
        <v>186</v>
      </c>
      <c r="G225" s="9">
        <v>2</v>
      </c>
      <c r="H225" s="10" t="s">
        <v>59</v>
      </c>
      <c r="I225" s="9">
        <v>1</v>
      </c>
      <c r="J225" s="9">
        <v>0.427289250001195</v>
      </c>
      <c r="K225" s="10" t="s">
        <v>51</v>
      </c>
      <c r="L225" s="9">
        <v>2</v>
      </c>
      <c r="M225" s="9">
        <v>186</v>
      </c>
      <c r="N225" s="9">
        <v>186</v>
      </c>
      <c r="O225" s="9">
        <v>42</v>
      </c>
      <c r="P225" s="9">
        <v>216.58654754200001</v>
      </c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9">
        <v>216.57831837500299</v>
      </c>
      <c r="AD225" s="9">
        <v>216.58654754200001</v>
      </c>
      <c r="AE225" s="9">
        <v>217.07190283300599</v>
      </c>
      <c r="AF225" s="9">
        <v>217.07190283300599</v>
      </c>
      <c r="AG225" s="9">
        <v>217.07190283300599</v>
      </c>
      <c r="AH225" s="9">
        <v>217.50683970800301</v>
      </c>
      <c r="AI225" s="10" t="s">
        <v>59</v>
      </c>
      <c r="AJ225" s="9">
        <v>1</v>
      </c>
      <c r="AK225" s="9">
        <v>0.427289250001195</v>
      </c>
      <c r="AL225" s="10" t="s">
        <v>51</v>
      </c>
      <c r="AM225" s="8"/>
      <c r="AN225" s="8"/>
      <c r="AO225" s="8"/>
      <c r="AP225" s="8"/>
      <c r="AQ225" s="9">
        <v>2</v>
      </c>
      <c r="AR225" s="9">
        <v>1</v>
      </c>
      <c r="AS225" s="10" t="s">
        <v>52</v>
      </c>
      <c r="AT225" s="10" t="s">
        <v>53</v>
      </c>
      <c r="AU225" s="8"/>
      <c r="AV225" s="10" t="s">
        <v>54</v>
      </c>
      <c r="AW225" s="10" t="s">
        <v>51</v>
      </c>
      <c r="AX225" s="10" t="s">
        <v>55</v>
      </c>
      <c r="AY225" s="8"/>
    </row>
    <row r="226" spans="1:51" x14ac:dyDescent="0.15">
      <c r="A226" s="11" t="s">
        <v>77</v>
      </c>
      <c r="B226" s="12" t="s">
        <v>67</v>
      </c>
      <c r="C226" s="10" t="s">
        <v>58</v>
      </c>
      <c r="D226" s="10" t="s">
        <v>59</v>
      </c>
      <c r="E226" s="9">
        <v>187</v>
      </c>
      <c r="F226" s="9">
        <v>187</v>
      </c>
      <c r="G226" s="9">
        <v>1</v>
      </c>
      <c r="H226" s="10" t="s">
        <v>59</v>
      </c>
      <c r="I226" s="9">
        <v>1</v>
      </c>
      <c r="J226" s="9">
        <v>0.46310054100467801</v>
      </c>
      <c r="K226" s="10" t="s">
        <v>51</v>
      </c>
      <c r="L226" s="9">
        <v>1</v>
      </c>
      <c r="M226" s="9">
        <v>187</v>
      </c>
      <c r="N226" s="9">
        <v>187</v>
      </c>
      <c r="O226" s="9">
        <v>40</v>
      </c>
      <c r="P226" s="9">
        <v>217.51976662500201</v>
      </c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9">
        <v>217.51144000000201</v>
      </c>
      <c r="AD226" s="9">
        <v>217.51976662500201</v>
      </c>
      <c r="AE226" s="9">
        <v>218.00536445800401</v>
      </c>
      <c r="AF226" s="9">
        <v>218.00536445800401</v>
      </c>
      <c r="AG226" s="9">
        <v>218.00536445800401</v>
      </c>
      <c r="AH226" s="9">
        <v>218.47361166701</v>
      </c>
      <c r="AI226" s="10" t="s">
        <v>59</v>
      </c>
      <c r="AJ226" s="9">
        <v>1</v>
      </c>
      <c r="AK226" s="9">
        <v>0.46310054100467801</v>
      </c>
      <c r="AL226" s="10" t="s">
        <v>51</v>
      </c>
      <c r="AM226" s="8"/>
      <c r="AN226" s="8"/>
      <c r="AO226" s="8"/>
      <c r="AP226" s="8"/>
      <c r="AQ226" s="9">
        <v>2</v>
      </c>
      <c r="AR226" s="9">
        <v>1</v>
      </c>
      <c r="AS226" s="10" t="s">
        <v>52</v>
      </c>
      <c r="AT226" s="10" t="s">
        <v>53</v>
      </c>
      <c r="AU226" s="8"/>
      <c r="AV226" s="10" t="s">
        <v>54</v>
      </c>
      <c r="AW226" s="10" t="s">
        <v>51</v>
      </c>
      <c r="AX226" s="10" t="s">
        <v>55</v>
      </c>
      <c r="AY226" s="8"/>
    </row>
    <row r="227" spans="1:51" x14ac:dyDescent="0.15">
      <c r="A227" s="11" t="s">
        <v>81</v>
      </c>
      <c r="B227" s="12" t="s">
        <v>67</v>
      </c>
      <c r="C227" s="10" t="s">
        <v>58</v>
      </c>
      <c r="D227" s="10" t="s">
        <v>59</v>
      </c>
      <c r="E227" s="9">
        <v>194</v>
      </c>
      <c r="F227" s="9">
        <v>194</v>
      </c>
      <c r="G227" s="9">
        <v>4</v>
      </c>
      <c r="H227" s="10" t="s">
        <v>59</v>
      </c>
      <c r="I227" s="9">
        <v>1</v>
      </c>
      <c r="J227" s="9">
        <v>0.43647758300358003</v>
      </c>
      <c r="K227" s="10" t="s">
        <v>51</v>
      </c>
      <c r="L227" s="9">
        <v>4</v>
      </c>
      <c r="M227" s="9">
        <v>194</v>
      </c>
      <c r="N227" s="9">
        <v>194</v>
      </c>
      <c r="O227" s="9">
        <v>44</v>
      </c>
      <c r="P227" s="9">
        <v>223.94380129199999</v>
      </c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9">
        <v>223.93389466700299</v>
      </c>
      <c r="AD227" s="9">
        <v>223.94380129199999</v>
      </c>
      <c r="AE227" s="9">
        <v>224.42987550000501</v>
      </c>
      <c r="AF227" s="9">
        <v>224.42987550000501</v>
      </c>
      <c r="AG227" s="9">
        <v>224.42987550000501</v>
      </c>
      <c r="AH227" s="9">
        <v>224.873876416998</v>
      </c>
      <c r="AI227" s="10" t="s">
        <v>59</v>
      </c>
      <c r="AJ227" s="9">
        <v>1</v>
      </c>
      <c r="AK227" s="9">
        <v>0.43647758300358003</v>
      </c>
      <c r="AL227" s="10" t="s">
        <v>51</v>
      </c>
      <c r="AM227" s="8"/>
      <c r="AN227" s="8"/>
      <c r="AO227" s="8"/>
      <c r="AP227" s="8"/>
      <c r="AQ227" s="9">
        <v>2</v>
      </c>
      <c r="AR227" s="9">
        <v>1</v>
      </c>
      <c r="AS227" s="10" t="s">
        <v>52</v>
      </c>
      <c r="AT227" s="10" t="s">
        <v>53</v>
      </c>
      <c r="AU227" s="8"/>
      <c r="AV227" s="10" t="s">
        <v>54</v>
      </c>
      <c r="AW227" s="10" t="s">
        <v>51</v>
      </c>
      <c r="AX227" s="10" t="s">
        <v>55</v>
      </c>
      <c r="AY227" s="8"/>
    </row>
    <row r="228" spans="1:51" x14ac:dyDescent="0.15">
      <c r="A228" s="11" t="s">
        <v>77</v>
      </c>
      <c r="B228" s="12" t="s">
        <v>67</v>
      </c>
      <c r="C228" s="10" t="s">
        <v>62</v>
      </c>
      <c r="D228" s="10" t="s">
        <v>63</v>
      </c>
      <c r="E228" s="9">
        <v>195</v>
      </c>
      <c r="F228" s="9">
        <v>195</v>
      </c>
      <c r="G228" s="9">
        <v>4</v>
      </c>
      <c r="H228" s="10" t="s">
        <v>59</v>
      </c>
      <c r="I228" s="9">
        <v>0</v>
      </c>
      <c r="J228" s="9">
        <v>0.30013870800030401</v>
      </c>
      <c r="K228" s="10" t="s">
        <v>51</v>
      </c>
      <c r="L228" s="9">
        <v>4</v>
      </c>
      <c r="M228" s="9">
        <v>195</v>
      </c>
      <c r="N228" s="9">
        <v>195</v>
      </c>
      <c r="O228" s="9">
        <v>41</v>
      </c>
      <c r="P228" s="9">
        <v>224.88781012500101</v>
      </c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9">
        <v>224.87970091700799</v>
      </c>
      <c r="AD228" s="9">
        <v>224.88781012500101</v>
      </c>
      <c r="AE228" s="9">
        <v>225.372219124998</v>
      </c>
      <c r="AF228" s="9">
        <v>225.372219124998</v>
      </c>
      <c r="AG228" s="9">
        <v>225.372219124998</v>
      </c>
      <c r="AH228" s="9">
        <v>225.67385791700499</v>
      </c>
      <c r="AI228" s="10" t="s">
        <v>59</v>
      </c>
      <c r="AJ228" s="9">
        <v>0</v>
      </c>
      <c r="AK228" s="9">
        <v>0.30013870800030401</v>
      </c>
      <c r="AL228" s="10" t="s">
        <v>51</v>
      </c>
      <c r="AM228" s="8"/>
      <c r="AN228" s="8"/>
      <c r="AO228" s="8"/>
      <c r="AP228" s="8"/>
      <c r="AQ228" s="9">
        <v>2</v>
      </c>
      <c r="AR228" s="9">
        <v>1</v>
      </c>
      <c r="AS228" s="10" t="s">
        <v>52</v>
      </c>
      <c r="AT228" s="10" t="s">
        <v>53</v>
      </c>
      <c r="AU228" s="8"/>
      <c r="AV228" s="10" t="s">
        <v>54</v>
      </c>
      <c r="AW228" s="10" t="s">
        <v>51</v>
      </c>
      <c r="AX228" s="10" t="s">
        <v>55</v>
      </c>
      <c r="AY228" s="8"/>
    </row>
    <row r="229" spans="1:51" x14ac:dyDescent="0.15">
      <c r="A229" s="11" t="s">
        <v>77</v>
      </c>
      <c r="B229" s="12" t="s">
        <v>67</v>
      </c>
      <c r="C229" s="10" t="s">
        <v>58</v>
      </c>
      <c r="D229" s="10" t="s">
        <v>59</v>
      </c>
      <c r="E229" s="9">
        <v>198</v>
      </c>
      <c r="F229" s="9">
        <v>198</v>
      </c>
      <c r="G229" s="9">
        <v>2</v>
      </c>
      <c r="H229" s="10" t="s">
        <v>59</v>
      </c>
      <c r="I229" s="9">
        <v>1</v>
      </c>
      <c r="J229" s="9">
        <v>0.940052040998125</v>
      </c>
      <c r="K229" s="10" t="s">
        <v>51</v>
      </c>
      <c r="L229" s="9">
        <v>2</v>
      </c>
      <c r="M229" s="9">
        <v>198</v>
      </c>
      <c r="N229" s="9">
        <v>198</v>
      </c>
      <c r="O229" s="9">
        <v>40</v>
      </c>
      <c r="P229" s="9">
        <v>228.84375487500799</v>
      </c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9">
        <v>228.83410150000401</v>
      </c>
      <c r="AD229" s="9">
        <v>228.84375487500799</v>
      </c>
      <c r="AE229" s="9">
        <v>229.33051395800399</v>
      </c>
      <c r="AF229" s="9">
        <v>229.33051395800399</v>
      </c>
      <c r="AG229" s="9">
        <v>229.33051395800399</v>
      </c>
      <c r="AH229" s="9">
        <v>230.27412229200101</v>
      </c>
      <c r="AI229" s="10" t="s">
        <v>59</v>
      </c>
      <c r="AJ229" s="9">
        <v>1</v>
      </c>
      <c r="AK229" s="9">
        <v>0.940052040998125</v>
      </c>
      <c r="AL229" s="10" t="s">
        <v>51</v>
      </c>
      <c r="AM229" s="8"/>
      <c r="AN229" s="8"/>
      <c r="AO229" s="8"/>
      <c r="AP229" s="8"/>
      <c r="AQ229" s="9">
        <v>2</v>
      </c>
      <c r="AR229" s="9">
        <v>1</v>
      </c>
      <c r="AS229" s="10" t="s">
        <v>52</v>
      </c>
      <c r="AT229" s="10" t="s">
        <v>53</v>
      </c>
      <c r="AU229" s="8"/>
      <c r="AV229" s="10" t="s">
        <v>54</v>
      </c>
      <c r="AW229" s="10" t="s">
        <v>51</v>
      </c>
      <c r="AX229" s="10" t="s">
        <v>55</v>
      </c>
      <c r="AY229" s="8"/>
    </row>
    <row r="230" spans="1:51" x14ac:dyDescent="0.15">
      <c r="A230" s="11" t="s">
        <v>82</v>
      </c>
      <c r="B230" s="12" t="s">
        <v>67</v>
      </c>
      <c r="C230" s="10" t="s">
        <v>62</v>
      </c>
      <c r="D230" s="10" t="s">
        <v>63</v>
      </c>
      <c r="E230" s="9">
        <v>203</v>
      </c>
      <c r="F230" s="9">
        <v>203</v>
      </c>
      <c r="G230" s="9">
        <v>4</v>
      </c>
      <c r="H230" s="10" t="s">
        <v>63</v>
      </c>
      <c r="I230" s="9">
        <v>1</v>
      </c>
      <c r="J230" s="9">
        <v>0.422249624985852</v>
      </c>
      <c r="K230" s="10" t="s">
        <v>51</v>
      </c>
      <c r="L230" s="9">
        <v>4</v>
      </c>
      <c r="M230" s="9">
        <v>203</v>
      </c>
      <c r="N230" s="9">
        <v>203</v>
      </c>
      <c r="O230" s="9">
        <v>37</v>
      </c>
      <c r="P230" s="9">
        <v>233.93705562500699</v>
      </c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9">
        <v>233.92877329200601</v>
      </c>
      <c r="AD230" s="9">
        <v>233.93705562500699</v>
      </c>
      <c r="AE230" s="9">
        <v>234.42223766700801</v>
      </c>
      <c r="AF230" s="9">
        <v>234.42223766700801</v>
      </c>
      <c r="AG230" s="9">
        <v>234.42223766700801</v>
      </c>
      <c r="AH230" s="9">
        <v>234.84607191701099</v>
      </c>
      <c r="AI230" s="10" t="s">
        <v>63</v>
      </c>
      <c r="AJ230" s="9">
        <v>1</v>
      </c>
      <c r="AK230" s="9">
        <v>0.422249624985852</v>
      </c>
      <c r="AL230" s="10" t="s">
        <v>51</v>
      </c>
      <c r="AM230" s="8"/>
      <c r="AN230" s="8"/>
      <c r="AO230" s="8"/>
      <c r="AP230" s="8"/>
      <c r="AQ230" s="9">
        <v>2</v>
      </c>
      <c r="AR230" s="9">
        <v>1</v>
      </c>
      <c r="AS230" s="10" t="s">
        <v>52</v>
      </c>
      <c r="AT230" s="10" t="s">
        <v>53</v>
      </c>
      <c r="AU230" s="8"/>
      <c r="AV230" s="10" t="s">
        <v>54</v>
      </c>
      <c r="AW230" s="10" t="s">
        <v>51</v>
      </c>
      <c r="AX230" s="10" t="s">
        <v>55</v>
      </c>
      <c r="AY230" s="8"/>
    </row>
    <row r="231" spans="1:51" x14ac:dyDescent="0.15">
      <c r="A231" s="11" t="s">
        <v>66</v>
      </c>
      <c r="B231" s="12" t="s">
        <v>67</v>
      </c>
      <c r="C231" s="10" t="s">
        <v>62</v>
      </c>
      <c r="D231" s="10" t="s">
        <v>63</v>
      </c>
      <c r="E231" s="9">
        <v>204</v>
      </c>
      <c r="F231" s="9">
        <v>204</v>
      </c>
      <c r="G231" s="9">
        <v>4</v>
      </c>
      <c r="H231" s="10" t="s">
        <v>63</v>
      </c>
      <c r="I231" s="9">
        <v>1</v>
      </c>
      <c r="J231" s="9">
        <v>0.49913783300144099</v>
      </c>
      <c r="K231" s="10" t="s">
        <v>51</v>
      </c>
      <c r="L231" s="9">
        <v>4</v>
      </c>
      <c r="M231" s="9">
        <v>204</v>
      </c>
      <c r="N231" s="9">
        <v>204</v>
      </c>
      <c r="O231" s="9">
        <v>47</v>
      </c>
      <c r="P231" s="9">
        <v>234.86034012499999</v>
      </c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9">
        <v>234.85047929199899</v>
      </c>
      <c r="AD231" s="9">
        <v>234.86034012499999</v>
      </c>
      <c r="AE231" s="9">
        <v>235.34626616700601</v>
      </c>
      <c r="AF231" s="9">
        <v>235.34626616700601</v>
      </c>
      <c r="AG231" s="9">
        <v>235.34626616700601</v>
      </c>
      <c r="AH231" s="9">
        <v>235.85777358300399</v>
      </c>
      <c r="AI231" s="10" t="s">
        <v>63</v>
      </c>
      <c r="AJ231" s="9">
        <v>1</v>
      </c>
      <c r="AK231" s="9">
        <v>0.49913783300144099</v>
      </c>
      <c r="AL231" s="10" t="s">
        <v>51</v>
      </c>
      <c r="AM231" s="8"/>
      <c r="AN231" s="8"/>
      <c r="AO231" s="8"/>
      <c r="AP231" s="8"/>
      <c r="AQ231" s="9">
        <v>2</v>
      </c>
      <c r="AR231" s="9">
        <v>1</v>
      </c>
      <c r="AS231" s="10" t="s">
        <v>52</v>
      </c>
      <c r="AT231" s="10" t="s">
        <v>53</v>
      </c>
      <c r="AU231" s="8"/>
      <c r="AV231" s="10" t="s">
        <v>54</v>
      </c>
      <c r="AW231" s="10" t="s">
        <v>51</v>
      </c>
      <c r="AX231" s="10" t="s">
        <v>55</v>
      </c>
      <c r="AY231" s="8"/>
    </row>
    <row r="232" spans="1:51" x14ac:dyDescent="0.15">
      <c r="A232" s="11" t="s">
        <v>81</v>
      </c>
      <c r="B232" s="12" t="s">
        <v>67</v>
      </c>
      <c r="C232" s="10" t="s">
        <v>62</v>
      </c>
      <c r="D232" s="10" t="s">
        <v>63</v>
      </c>
      <c r="E232" s="9">
        <v>214</v>
      </c>
      <c r="F232" s="9">
        <v>214</v>
      </c>
      <c r="G232" s="9">
        <v>4</v>
      </c>
      <c r="H232" s="10" t="s">
        <v>63</v>
      </c>
      <c r="I232" s="9">
        <v>1</v>
      </c>
      <c r="J232" s="9">
        <v>0.486471249998431</v>
      </c>
      <c r="K232" s="10" t="s">
        <v>51</v>
      </c>
      <c r="L232" s="9">
        <v>4</v>
      </c>
      <c r="M232" s="9">
        <v>214</v>
      </c>
      <c r="N232" s="9">
        <v>214</v>
      </c>
      <c r="O232" s="9">
        <v>45</v>
      </c>
      <c r="P232" s="9">
        <v>246.70261737500601</v>
      </c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9">
        <v>246.694170750008</v>
      </c>
      <c r="AD232" s="9">
        <v>246.70261737500601</v>
      </c>
      <c r="AE232" s="9">
        <v>247.18902341699899</v>
      </c>
      <c r="AF232" s="9">
        <v>247.18902341699899</v>
      </c>
      <c r="AG232" s="9">
        <v>247.18902341699899</v>
      </c>
      <c r="AH232" s="9">
        <v>247.680149207998</v>
      </c>
      <c r="AI232" s="10" t="s">
        <v>63</v>
      </c>
      <c r="AJ232" s="9">
        <v>1</v>
      </c>
      <c r="AK232" s="9">
        <v>0.486471249998431</v>
      </c>
      <c r="AL232" s="10" t="s">
        <v>51</v>
      </c>
      <c r="AM232" s="8"/>
      <c r="AN232" s="8"/>
      <c r="AO232" s="8"/>
      <c r="AP232" s="8"/>
      <c r="AQ232" s="9">
        <v>2</v>
      </c>
      <c r="AR232" s="9">
        <v>1</v>
      </c>
      <c r="AS232" s="10" t="s">
        <v>52</v>
      </c>
      <c r="AT232" s="10" t="s">
        <v>53</v>
      </c>
      <c r="AU232" s="8"/>
      <c r="AV232" s="10" t="s">
        <v>54</v>
      </c>
      <c r="AW232" s="10" t="s">
        <v>51</v>
      </c>
      <c r="AX232" s="10" t="s">
        <v>55</v>
      </c>
      <c r="AY232" s="8"/>
    </row>
    <row r="233" spans="1:51" x14ac:dyDescent="0.15">
      <c r="A233" s="11" t="s">
        <v>76</v>
      </c>
      <c r="B233" s="12" t="s">
        <v>67</v>
      </c>
      <c r="C233" s="10" t="s">
        <v>62</v>
      </c>
      <c r="D233" s="10" t="s">
        <v>63</v>
      </c>
      <c r="E233" s="9">
        <v>215</v>
      </c>
      <c r="F233" s="9">
        <v>215</v>
      </c>
      <c r="G233" s="9">
        <v>4</v>
      </c>
      <c r="H233" s="10" t="s">
        <v>63</v>
      </c>
      <c r="I233" s="9">
        <v>1</v>
      </c>
      <c r="J233" s="9">
        <v>0.37514337500033401</v>
      </c>
      <c r="K233" s="10" t="s">
        <v>51</v>
      </c>
      <c r="L233" s="9">
        <v>4</v>
      </c>
      <c r="M233" s="9">
        <v>215</v>
      </c>
      <c r="N233" s="9">
        <v>215</v>
      </c>
      <c r="O233" s="9">
        <v>43</v>
      </c>
      <c r="P233" s="9">
        <v>247.69453329199999</v>
      </c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9">
        <v>247.68461341700501</v>
      </c>
      <c r="AD233" s="9">
        <v>247.69453329199999</v>
      </c>
      <c r="AE233" s="9">
        <v>248.18144600000201</v>
      </c>
      <c r="AF233" s="9">
        <v>248.18144600000201</v>
      </c>
      <c r="AG233" s="9">
        <v>248.18144600000201</v>
      </c>
      <c r="AH233" s="9">
        <v>248.56351366700301</v>
      </c>
      <c r="AI233" s="10" t="s">
        <v>63</v>
      </c>
      <c r="AJ233" s="9">
        <v>1</v>
      </c>
      <c r="AK233" s="9">
        <v>0.37514337500033401</v>
      </c>
      <c r="AL233" s="10" t="s">
        <v>51</v>
      </c>
      <c r="AM233" s="8"/>
      <c r="AN233" s="8"/>
      <c r="AO233" s="8"/>
      <c r="AP233" s="8"/>
      <c r="AQ233" s="9">
        <v>2</v>
      </c>
      <c r="AR233" s="9">
        <v>1</v>
      </c>
      <c r="AS233" s="10" t="s">
        <v>52</v>
      </c>
      <c r="AT233" s="10" t="s">
        <v>53</v>
      </c>
      <c r="AU233" s="8"/>
      <c r="AV233" s="10" t="s">
        <v>54</v>
      </c>
      <c r="AW233" s="10" t="s">
        <v>51</v>
      </c>
      <c r="AX233" s="10" t="s">
        <v>55</v>
      </c>
      <c r="AY233" s="8"/>
    </row>
    <row r="234" spans="1:51" x14ac:dyDescent="0.15">
      <c r="A234" s="11" t="s">
        <v>76</v>
      </c>
      <c r="B234" s="12" t="s">
        <v>67</v>
      </c>
      <c r="C234" s="10" t="s">
        <v>58</v>
      </c>
      <c r="D234" s="10" t="s">
        <v>59</v>
      </c>
      <c r="E234" s="9">
        <v>221</v>
      </c>
      <c r="F234" s="9">
        <v>221</v>
      </c>
      <c r="G234" s="9">
        <v>3</v>
      </c>
      <c r="H234" s="10" t="s">
        <v>59</v>
      </c>
      <c r="I234" s="9">
        <v>1</v>
      </c>
      <c r="J234" s="9">
        <v>0.76506258299923502</v>
      </c>
      <c r="K234" s="10" t="s">
        <v>51</v>
      </c>
      <c r="L234" s="9">
        <v>3</v>
      </c>
      <c r="M234" s="9">
        <v>221</v>
      </c>
      <c r="N234" s="9">
        <v>221</v>
      </c>
      <c r="O234" s="9">
        <v>42</v>
      </c>
      <c r="P234" s="9">
        <v>254.804857916999</v>
      </c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9">
        <v>254.79643783300699</v>
      </c>
      <c r="AD234" s="9">
        <v>254.804857916999</v>
      </c>
      <c r="AE234" s="9">
        <v>255.28978879201199</v>
      </c>
      <c r="AF234" s="9">
        <v>255.28978879201199</v>
      </c>
      <c r="AG234" s="9">
        <v>255.28978879201199</v>
      </c>
      <c r="AH234" s="9">
        <v>256.058549292007</v>
      </c>
      <c r="AI234" s="10" t="s">
        <v>59</v>
      </c>
      <c r="AJ234" s="9">
        <v>1</v>
      </c>
      <c r="AK234" s="9">
        <v>0.76506258299923502</v>
      </c>
      <c r="AL234" s="10" t="s">
        <v>51</v>
      </c>
      <c r="AM234" s="8"/>
      <c r="AN234" s="8"/>
      <c r="AO234" s="8"/>
      <c r="AP234" s="8"/>
      <c r="AQ234" s="9">
        <v>2</v>
      </c>
      <c r="AR234" s="9">
        <v>1</v>
      </c>
      <c r="AS234" s="10" t="s">
        <v>52</v>
      </c>
      <c r="AT234" s="10" t="s">
        <v>53</v>
      </c>
      <c r="AU234" s="8"/>
      <c r="AV234" s="10" t="s">
        <v>54</v>
      </c>
      <c r="AW234" s="10" t="s">
        <v>51</v>
      </c>
      <c r="AX234" s="10" t="s">
        <v>55</v>
      </c>
      <c r="AY234" s="8"/>
    </row>
    <row r="235" spans="1:51" x14ac:dyDescent="0.15">
      <c r="A235" s="11" t="s">
        <v>80</v>
      </c>
      <c r="B235" s="12" t="s">
        <v>67</v>
      </c>
      <c r="C235" s="10" t="s">
        <v>58</v>
      </c>
      <c r="D235" s="10" t="s">
        <v>59</v>
      </c>
      <c r="E235" s="9">
        <v>222</v>
      </c>
      <c r="F235" s="9">
        <v>222</v>
      </c>
      <c r="G235" s="9">
        <v>4</v>
      </c>
      <c r="H235" s="10" t="s">
        <v>59</v>
      </c>
      <c r="I235" s="9">
        <v>1</v>
      </c>
      <c r="J235" s="9">
        <v>0.29124862499884302</v>
      </c>
      <c r="K235" s="10" t="s">
        <v>51</v>
      </c>
      <c r="L235" s="9">
        <v>4</v>
      </c>
      <c r="M235" s="9">
        <v>222</v>
      </c>
      <c r="N235" s="9">
        <v>222</v>
      </c>
      <c r="O235" s="9">
        <v>32</v>
      </c>
      <c r="P235" s="9">
        <v>256.07144941701</v>
      </c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9">
        <v>256.06329337500199</v>
      </c>
      <c r="AD235" s="9">
        <v>256.07144941701</v>
      </c>
      <c r="AE235" s="9">
        <v>256.55636737499998</v>
      </c>
      <c r="AF235" s="9">
        <v>256.55636737499998</v>
      </c>
      <c r="AG235" s="9">
        <v>256.55636737499998</v>
      </c>
      <c r="AH235" s="9">
        <v>256.85852120800701</v>
      </c>
      <c r="AI235" s="10" t="s">
        <v>59</v>
      </c>
      <c r="AJ235" s="9">
        <v>1</v>
      </c>
      <c r="AK235" s="9">
        <v>0.29124862499884302</v>
      </c>
      <c r="AL235" s="10" t="s">
        <v>51</v>
      </c>
      <c r="AM235" s="8"/>
      <c r="AN235" s="8"/>
      <c r="AO235" s="8"/>
      <c r="AP235" s="8"/>
      <c r="AQ235" s="9">
        <v>2</v>
      </c>
      <c r="AR235" s="9">
        <v>1</v>
      </c>
      <c r="AS235" s="10" t="s">
        <v>52</v>
      </c>
      <c r="AT235" s="10" t="s">
        <v>53</v>
      </c>
      <c r="AU235" s="8"/>
      <c r="AV235" s="10" t="s">
        <v>54</v>
      </c>
      <c r="AW235" s="10" t="s">
        <v>51</v>
      </c>
      <c r="AX235" s="10" t="s">
        <v>55</v>
      </c>
      <c r="AY235" s="8"/>
    </row>
    <row r="236" spans="1:51" x14ac:dyDescent="0.15">
      <c r="A236" s="11" t="s">
        <v>86</v>
      </c>
      <c r="B236" s="12" t="s">
        <v>67</v>
      </c>
      <c r="C236" s="10" t="s">
        <v>62</v>
      </c>
      <c r="D236" s="10" t="s">
        <v>63</v>
      </c>
      <c r="E236" s="9">
        <v>224</v>
      </c>
      <c r="F236" s="9">
        <v>224</v>
      </c>
      <c r="G236" s="9">
        <v>3</v>
      </c>
      <c r="H236" s="10" t="s">
        <v>63</v>
      </c>
      <c r="I236" s="9">
        <v>1</v>
      </c>
      <c r="J236" s="9">
        <v>0.48536199999216501</v>
      </c>
      <c r="K236" s="10" t="s">
        <v>51</v>
      </c>
      <c r="L236" s="9">
        <v>3</v>
      </c>
      <c r="M236" s="9">
        <v>224</v>
      </c>
      <c r="N236" s="9">
        <v>224</v>
      </c>
      <c r="O236" s="9">
        <v>35</v>
      </c>
      <c r="P236" s="9">
        <v>257.82269595800602</v>
      </c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9">
        <v>257.81418425000498</v>
      </c>
      <c r="AD236" s="9">
        <v>257.82269595800602</v>
      </c>
      <c r="AE236" s="9">
        <v>258.306377917004</v>
      </c>
      <c r="AF236" s="9">
        <v>258.306377917004</v>
      </c>
      <c r="AG236" s="9">
        <v>258.306377917004</v>
      </c>
      <c r="AH236" s="9">
        <v>258.79720175</v>
      </c>
      <c r="AI236" s="10" t="s">
        <v>63</v>
      </c>
      <c r="AJ236" s="9">
        <v>1</v>
      </c>
      <c r="AK236" s="9">
        <v>0.48536199999216501</v>
      </c>
      <c r="AL236" s="10" t="s">
        <v>51</v>
      </c>
      <c r="AM236" s="8"/>
      <c r="AN236" s="8"/>
      <c r="AO236" s="8"/>
      <c r="AP236" s="8"/>
      <c r="AQ236" s="9">
        <v>2</v>
      </c>
      <c r="AR236" s="9">
        <v>1</v>
      </c>
      <c r="AS236" s="10" t="s">
        <v>52</v>
      </c>
      <c r="AT236" s="10" t="s">
        <v>53</v>
      </c>
      <c r="AU236" s="8"/>
      <c r="AV236" s="10" t="s">
        <v>54</v>
      </c>
      <c r="AW236" s="10" t="s">
        <v>51</v>
      </c>
      <c r="AX236" s="10" t="s">
        <v>55</v>
      </c>
      <c r="AY236" s="8"/>
    </row>
    <row r="237" spans="1:51" x14ac:dyDescent="0.15">
      <c r="A237" s="11" t="s">
        <v>77</v>
      </c>
      <c r="B237" s="12" t="s">
        <v>67</v>
      </c>
      <c r="C237" s="10" t="s">
        <v>58</v>
      </c>
      <c r="D237" s="10" t="s">
        <v>59</v>
      </c>
      <c r="E237" s="9">
        <v>227</v>
      </c>
      <c r="F237" s="9">
        <v>227</v>
      </c>
      <c r="G237" s="9">
        <v>3</v>
      </c>
      <c r="H237" s="10" t="s">
        <v>59</v>
      </c>
      <c r="I237" s="9">
        <v>1</v>
      </c>
      <c r="J237" s="9">
        <v>0.43805133299610999</v>
      </c>
      <c r="K237" s="10" t="s">
        <v>51</v>
      </c>
      <c r="L237" s="9">
        <v>3</v>
      </c>
      <c r="M237" s="9">
        <v>227</v>
      </c>
      <c r="N237" s="9">
        <v>227</v>
      </c>
      <c r="O237" s="9">
        <v>40</v>
      </c>
      <c r="P237" s="9">
        <v>260.90414516700599</v>
      </c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9">
        <v>260.895955042011</v>
      </c>
      <c r="AD237" s="9">
        <v>260.90414516700599</v>
      </c>
      <c r="AE237" s="9">
        <v>261.389709250012</v>
      </c>
      <c r="AF237" s="9">
        <v>261.389709250012</v>
      </c>
      <c r="AG237" s="9">
        <v>261.389709250012</v>
      </c>
      <c r="AH237" s="9">
        <v>261.83072199999901</v>
      </c>
      <c r="AI237" s="10" t="s">
        <v>59</v>
      </c>
      <c r="AJ237" s="9">
        <v>1</v>
      </c>
      <c r="AK237" s="9">
        <v>0.43805133299610999</v>
      </c>
      <c r="AL237" s="10" t="s">
        <v>51</v>
      </c>
      <c r="AM237" s="8"/>
      <c r="AN237" s="8"/>
      <c r="AO237" s="8"/>
      <c r="AP237" s="8"/>
      <c r="AQ237" s="9">
        <v>2</v>
      </c>
      <c r="AR237" s="9">
        <v>1</v>
      </c>
      <c r="AS237" s="10" t="s">
        <v>52</v>
      </c>
      <c r="AT237" s="10" t="s">
        <v>53</v>
      </c>
      <c r="AU237" s="8"/>
      <c r="AV237" s="10" t="s">
        <v>54</v>
      </c>
      <c r="AW237" s="10" t="s">
        <v>51</v>
      </c>
      <c r="AX237" s="10" t="s">
        <v>55</v>
      </c>
      <c r="AY237" s="8"/>
    </row>
    <row r="238" spans="1:51" x14ac:dyDescent="0.15">
      <c r="A238" s="11" t="s">
        <v>76</v>
      </c>
      <c r="B238" s="12" t="s">
        <v>67</v>
      </c>
      <c r="C238" s="10" t="s">
        <v>58</v>
      </c>
      <c r="D238" s="10" t="s">
        <v>59</v>
      </c>
      <c r="E238" s="9">
        <v>228</v>
      </c>
      <c r="F238" s="9">
        <v>228</v>
      </c>
      <c r="G238" s="9">
        <v>4</v>
      </c>
      <c r="H238" s="10" t="s">
        <v>59</v>
      </c>
      <c r="I238" s="9">
        <v>1</v>
      </c>
      <c r="J238" s="9">
        <v>0.402610249002464</v>
      </c>
      <c r="K238" s="10" t="s">
        <v>51</v>
      </c>
      <c r="L238" s="9">
        <v>4</v>
      </c>
      <c r="M238" s="9">
        <v>228</v>
      </c>
      <c r="N238" s="9">
        <v>228</v>
      </c>
      <c r="O238" s="9">
        <v>42</v>
      </c>
      <c r="P238" s="9">
        <v>261.84573195800499</v>
      </c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9">
        <v>261.83506829199899</v>
      </c>
      <c r="AD238" s="9">
        <v>261.84573195800499</v>
      </c>
      <c r="AE238" s="9">
        <v>262.33120712501102</v>
      </c>
      <c r="AF238" s="9">
        <v>262.33120712501102</v>
      </c>
      <c r="AG238" s="9">
        <v>262.33120712501102</v>
      </c>
      <c r="AH238" s="9">
        <v>262.74185245799902</v>
      </c>
      <c r="AI238" s="10" t="s">
        <v>59</v>
      </c>
      <c r="AJ238" s="9">
        <v>1</v>
      </c>
      <c r="AK238" s="9">
        <v>0.402610249002464</v>
      </c>
      <c r="AL238" s="10" t="s">
        <v>51</v>
      </c>
      <c r="AM238" s="8"/>
      <c r="AN238" s="8"/>
      <c r="AO238" s="8"/>
      <c r="AP238" s="8"/>
      <c r="AQ238" s="9">
        <v>2</v>
      </c>
      <c r="AR238" s="9">
        <v>1</v>
      </c>
      <c r="AS238" s="10" t="s">
        <v>52</v>
      </c>
      <c r="AT238" s="10" t="s">
        <v>53</v>
      </c>
      <c r="AU238" s="8"/>
      <c r="AV238" s="10" t="s">
        <v>54</v>
      </c>
      <c r="AW238" s="10" t="s">
        <v>51</v>
      </c>
      <c r="AX238" s="10" t="s">
        <v>55</v>
      </c>
      <c r="AY238" s="8"/>
    </row>
    <row r="239" spans="1:51" x14ac:dyDescent="0.15">
      <c r="A239" s="11" t="s">
        <v>86</v>
      </c>
      <c r="B239" s="12" t="s">
        <v>67</v>
      </c>
      <c r="C239" s="10" t="s">
        <v>62</v>
      </c>
      <c r="D239" s="10" t="s">
        <v>63</v>
      </c>
      <c r="E239" s="9">
        <v>231</v>
      </c>
      <c r="F239" s="9">
        <v>231</v>
      </c>
      <c r="G239" s="9">
        <v>4</v>
      </c>
      <c r="H239" s="10" t="s">
        <v>63</v>
      </c>
      <c r="I239" s="9">
        <v>1</v>
      </c>
      <c r="J239" s="9">
        <v>0.35357395801111102</v>
      </c>
      <c r="K239" s="10" t="s">
        <v>51</v>
      </c>
      <c r="L239" s="9">
        <v>4</v>
      </c>
      <c r="M239" s="9">
        <v>231</v>
      </c>
      <c r="N239" s="9">
        <v>231</v>
      </c>
      <c r="O239" s="9">
        <v>35</v>
      </c>
      <c r="P239" s="9">
        <v>264.738464042006</v>
      </c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9">
        <v>264.72995370801101</v>
      </c>
      <c r="AD239" s="9">
        <v>264.738464042006</v>
      </c>
      <c r="AE239" s="9">
        <v>265.223220333006</v>
      </c>
      <c r="AF239" s="9">
        <v>265.223220333006</v>
      </c>
      <c r="AG239" s="9">
        <v>265.223220333006</v>
      </c>
      <c r="AH239" s="9">
        <v>265.58014987500798</v>
      </c>
      <c r="AI239" s="10" t="s">
        <v>63</v>
      </c>
      <c r="AJ239" s="9">
        <v>1</v>
      </c>
      <c r="AK239" s="9">
        <v>0.35357395801111102</v>
      </c>
      <c r="AL239" s="10" t="s">
        <v>51</v>
      </c>
      <c r="AM239" s="8"/>
      <c r="AN239" s="8"/>
      <c r="AO239" s="8"/>
      <c r="AP239" s="8"/>
      <c r="AQ239" s="9">
        <v>2</v>
      </c>
      <c r="AR239" s="9">
        <v>1</v>
      </c>
      <c r="AS239" s="10" t="s">
        <v>52</v>
      </c>
      <c r="AT239" s="10" t="s">
        <v>53</v>
      </c>
      <c r="AU239" s="8"/>
      <c r="AV239" s="10" t="s">
        <v>54</v>
      </c>
      <c r="AW239" s="10" t="s">
        <v>51</v>
      </c>
      <c r="AX239" s="10" t="s">
        <v>55</v>
      </c>
      <c r="AY239" s="8"/>
    </row>
    <row r="240" spans="1:51" x14ac:dyDescent="0.15">
      <c r="A240" s="11" t="s">
        <v>77</v>
      </c>
      <c r="B240" s="12" t="s">
        <v>67</v>
      </c>
      <c r="C240" s="10" t="s">
        <v>58</v>
      </c>
      <c r="D240" s="10" t="s">
        <v>59</v>
      </c>
      <c r="E240" s="9">
        <v>232</v>
      </c>
      <c r="F240" s="9">
        <v>232</v>
      </c>
      <c r="G240" s="9">
        <v>4</v>
      </c>
      <c r="H240" s="10" t="s">
        <v>59</v>
      </c>
      <c r="I240" s="9">
        <v>1</v>
      </c>
      <c r="J240" s="9">
        <v>0.55552779100253302</v>
      </c>
      <c r="K240" s="10" t="s">
        <v>51</v>
      </c>
      <c r="L240" s="9">
        <v>4</v>
      </c>
      <c r="M240" s="9">
        <v>232</v>
      </c>
      <c r="N240" s="9">
        <v>232</v>
      </c>
      <c r="O240" s="9">
        <v>40</v>
      </c>
      <c r="P240" s="9">
        <v>265.595530457998</v>
      </c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9">
        <v>265.58427758301002</v>
      </c>
      <c r="AD240" s="9">
        <v>265.595530457998</v>
      </c>
      <c r="AE240" s="9">
        <v>266.08159587500302</v>
      </c>
      <c r="AF240" s="9">
        <v>266.08159587500302</v>
      </c>
      <c r="AG240" s="9">
        <v>266.08159587500302</v>
      </c>
      <c r="AH240" s="9">
        <v>266.64189399999998</v>
      </c>
      <c r="AI240" s="10" t="s">
        <v>59</v>
      </c>
      <c r="AJ240" s="9">
        <v>1</v>
      </c>
      <c r="AK240" s="9">
        <v>0.55552779100253302</v>
      </c>
      <c r="AL240" s="10" t="s">
        <v>51</v>
      </c>
      <c r="AM240" s="8"/>
      <c r="AN240" s="8"/>
      <c r="AO240" s="8"/>
      <c r="AP240" s="8"/>
      <c r="AQ240" s="9">
        <v>2</v>
      </c>
      <c r="AR240" s="9">
        <v>1</v>
      </c>
      <c r="AS240" s="10" t="s">
        <v>52</v>
      </c>
      <c r="AT240" s="10" t="s">
        <v>53</v>
      </c>
      <c r="AU240" s="8"/>
      <c r="AV240" s="10" t="s">
        <v>54</v>
      </c>
      <c r="AW240" s="10" t="s">
        <v>51</v>
      </c>
      <c r="AX240" s="10" t="s">
        <v>55</v>
      </c>
      <c r="AY240" s="8"/>
    </row>
    <row r="241" spans="1:51" x14ac:dyDescent="0.15">
      <c r="A241" s="11" t="s">
        <v>69</v>
      </c>
      <c r="B241" s="12" t="s">
        <v>67</v>
      </c>
      <c r="C241" s="10" t="s">
        <v>58</v>
      </c>
      <c r="D241" s="10" t="s">
        <v>59</v>
      </c>
      <c r="E241" s="9">
        <v>235</v>
      </c>
      <c r="F241" s="9">
        <v>235</v>
      </c>
      <c r="G241" s="9">
        <v>4</v>
      </c>
      <c r="H241" s="10" t="s">
        <v>59</v>
      </c>
      <c r="I241" s="9">
        <v>1</v>
      </c>
      <c r="J241" s="9">
        <v>0.53340279099938903</v>
      </c>
      <c r="K241" s="10" t="s">
        <v>51</v>
      </c>
      <c r="L241" s="9">
        <v>4</v>
      </c>
      <c r="M241" s="9">
        <v>235</v>
      </c>
      <c r="N241" s="9">
        <v>235</v>
      </c>
      <c r="O241" s="9">
        <v>38</v>
      </c>
      <c r="P241" s="9">
        <v>268.61165958301001</v>
      </c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9">
        <v>268.60132566699798</v>
      </c>
      <c r="AD241" s="9">
        <v>268.61165958301001</v>
      </c>
      <c r="AE241" s="9">
        <v>269.09741991700099</v>
      </c>
      <c r="AF241" s="9">
        <v>269.09741991700099</v>
      </c>
      <c r="AG241" s="9">
        <v>269.09741991700099</v>
      </c>
      <c r="AH241" s="9">
        <v>269.64185325001</v>
      </c>
      <c r="AI241" s="10" t="s">
        <v>59</v>
      </c>
      <c r="AJ241" s="9">
        <v>1</v>
      </c>
      <c r="AK241" s="9">
        <v>0.53340279099938903</v>
      </c>
      <c r="AL241" s="10" t="s">
        <v>51</v>
      </c>
      <c r="AM241" s="8"/>
      <c r="AN241" s="8"/>
      <c r="AO241" s="8"/>
      <c r="AP241" s="8"/>
      <c r="AQ241" s="9">
        <v>2</v>
      </c>
      <c r="AR241" s="9">
        <v>1</v>
      </c>
      <c r="AS241" s="10" t="s">
        <v>52</v>
      </c>
      <c r="AT241" s="10" t="s">
        <v>53</v>
      </c>
      <c r="AU241" s="8"/>
      <c r="AV241" s="10" t="s">
        <v>54</v>
      </c>
      <c r="AW241" s="10" t="s">
        <v>51</v>
      </c>
      <c r="AX241" s="10" t="s">
        <v>55</v>
      </c>
      <c r="AY241" s="8"/>
    </row>
    <row r="242" spans="1:51" x14ac:dyDescent="0.15">
      <c r="A242" s="6"/>
      <c r="B242" s="7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9">
        <v>1.01356670056703E-2</v>
      </c>
      <c r="S242" s="9">
        <v>3.12309170112712E-2</v>
      </c>
      <c r="T242" s="9">
        <v>3.12309170112712E-2</v>
      </c>
      <c r="U242" s="9">
        <v>15.257232125004499</v>
      </c>
      <c r="V242" s="10" t="s">
        <v>50</v>
      </c>
      <c r="W242" s="9">
        <v>14.9805276250117</v>
      </c>
      <c r="X242" s="10" t="s">
        <v>51</v>
      </c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9">
        <v>2</v>
      </c>
      <c r="AR242" s="9">
        <v>1</v>
      </c>
      <c r="AS242" s="10" t="s">
        <v>52</v>
      </c>
      <c r="AT242" s="10" t="s">
        <v>53</v>
      </c>
      <c r="AU242" s="8"/>
      <c r="AV242" s="10" t="s">
        <v>54</v>
      </c>
      <c r="AW242" s="10" t="s">
        <v>51</v>
      </c>
      <c r="AX242" s="10" t="s">
        <v>55</v>
      </c>
      <c r="AY242" s="8"/>
    </row>
    <row r="243" spans="1:51" x14ac:dyDescent="0.15">
      <c r="A243" s="6"/>
      <c r="B243" s="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9">
        <v>15.257290417008299</v>
      </c>
      <c r="Z243" s="9">
        <v>15.271690667010301</v>
      </c>
      <c r="AA243" s="9">
        <v>16.303154624998601</v>
      </c>
      <c r="AB243" s="9">
        <v>16.2549876249977</v>
      </c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9">
        <v>2</v>
      </c>
      <c r="AR243" s="9">
        <v>1</v>
      </c>
      <c r="AS243" s="10" t="s">
        <v>52</v>
      </c>
      <c r="AT243" s="10" t="s">
        <v>53</v>
      </c>
      <c r="AU243" s="8"/>
      <c r="AV243" s="10" t="s">
        <v>54</v>
      </c>
      <c r="AW243" s="10" t="s">
        <v>51</v>
      </c>
      <c r="AX243" s="10" t="s">
        <v>55</v>
      </c>
      <c r="AY243" s="8"/>
    </row>
    <row r="244" spans="1:51" x14ac:dyDescent="0.15">
      <c r="A244" s="6"/>
      <c r="B244" s="7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9">
        <v>272.99239279200299</v>
      </c>
      <c r="AN244" s="9">
        <v>273.00321291699998</v>
      </c>
      <c r="AO244" s="9">
        <v>274.995455666998</v>
      </c>
      <c r="AP244" s="9">
        <v>274.990744292008</v>
      </c>
      <c r="AQ244" s="9">
        <v>2</v>
      </c>
      <c r="AR244" s="9">
        <v>1</v>
      </c>
      <c r="AS244" s="10" t="s">
        <v>52</v>
      </c>
      <c r="AT244" s="10" t="s">
        <v>53</v>
      </c>
      <c r="AU244" s="8"/>
      <c r="AV244" s="10" t="s">
        <v>54</v>
      </c>
      <c r="AW244" s="10" t="s">
        <v>51</v>
      </c>
      <c r="AX244" s="10" t="s">
        <v>55</v>
      </c>
      <c r="AY244" s="8"/>
    </row>
    <row r="248" spans="1:51" ht="14" x14ac:dyDescent="0.15">
      <c r="E248" s="16" t="s">
        <v>87</v>
      </c>
      <c r="H248" s="16" t="s">
        <v>91</v>
      </c>
    </row>
    <row r="249" spans="1:51" ht="14" x14ac:dyDescent="0.15">
      <c r="E249" s="15" t="s">
        <v>88</v>
      </c>
      <c r="F249" s="18">
        <f>AVERAGE(J2:J81)</f>
        <v>0.56670811787553255</v>
      </c>
      <c r="H249" s="15" t="s">
        <v>92</v>
      </c>
      <c r="I249" s="18">
        <f>F249-F250</f>
        <v>1.1479581335160916E-4</v>
      </c>
    </row>
    <row r="250" spans="1:51" ht="14" x14ac:dyDescent="0.15">
      <c r="E250" s="15" t="s">
        <v>89</v>
      </c>
      <c r="F250" s="18">
        <f>AVERAGE(J82:J161)</f>
        <v>0.56659332206218094</v>
      </c>
      <c r="H250" s="15" t="s">
        <v>93</v>
      </c>
      <c r="I250" s="18">
        <f>F249-F251</f>
        <v>5.4274071877445929E-3</v>
      </c>
    </row>
    <row r="251" spans="1:51" ht="14" x14ac:dyDescent="0.15">
      <c r="E251" s="15" t="s">
        <v>90</v>
      </c>
      <c r="F251" s="18">
        <f>AVERAGE(J162:J241)</f>
        <v>0.56128071068778795</v>
      </c>
    </row>
    <row r="255" spans="1:51" ht="14" x14ac:dyDescent="0.15">
      <c r="E255" s="16" t="s">
        <v>118</v>
      </c>
    </row>
    <row r="256" spans="1:51" ht="14" x14ac:dyDescent="0.15">
      <c r="E256" s="19" t="s">
        <v>115</v>
      </c>
      <c r="F256" s="18">
        <f>AVERAGE(I2:I81)*100</f>
        <v>93.75</v>
      </c>
    </row>
    <row r="257" spans="5:6" ht="14" x14ac:dyDescent="0.15">
      <c r="E257" s="15" t="s">
        <v>116</v>
      </c>
      <c r="F257" s="18">
        <f>AVERAGE(I82:I161)*100</f>
        <v>95</v>
      </c>
    </row>
    <row r="258" spans="5:6" ht="14" x14ac:dyDescent="0.15">
      <c r="E258" s="15" t="s">
        <v>117</v>
      </c>
      <c r="F258" s="18">
        <f>AVERAGE(I162:I241)*100</f>
        <v>97.5</v>
      </c>
    </row>
  </sheetData>
  <autoFilter ref="I1:I258" xr:uid="{4F2BB663-FBA9-304A-9596-E0154DB9F623}"/>
  <sortState xmlns:xlrd2="http://schemas.microsoft.com/office/spreadsheetml/2017/richdata2" ref="A2:AX244">
    <sortCondition descending="1" ref="B1:B2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46F8-1643-9A49-86B8-65B8CB30465B}">
  <dimension ref="A1:AY258"/>
  <sheetViews>
    <sheetView topLeftCell="A223" workbookViewId="0">
      <selection activeCell="I250" sqref="I250:I251"/>
    </sheetView>
  </sheetViews>
  <sheetFormatPr baseColWidth="10" defaultColWidth="10.83203125" defaultRowHeight="13" x14ac:dyDescent="0.15"/>
  <cols>
    <col min="5" max="5" width="19.5" customWidth="1"/>
    <col min="6" max="6" width="11.6640625" bestFit="1" customWidth="1"/>
    <col min="8" max="8" width="22.83203125" customWidth="1"/>
    <col min="9" max="9" width="11.6640625" bestFit="1" customWidth="1"/>
  </cols>
  <sheetData>
    <row r="1" spans="1:5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/>
    </row>
    <row r="2" spans="1:51" x14ac:dyDescent="0.15">
      <c r="A2" s="13" t="s">
        <v>83</v>
      </c>
      <c r="B2" s="14" t="s">
        <v>61</v>
      </c>
      <c r="C2" s="5" t="s">
        <v>62</v>
      </c>
      <c r="D2" s="5" t="s">
        <v>63</v>
      </c>
      <c r="E2" s="4">
        <v>0</v>
      </c>
      <c r="F2" s="4">
        <v>0</v>
      </c>
      <c r="G2" s="4">
        <v>0</v>
      </c>
      <c r="H2" s="5" t="s">
        <v>63</v>
      </c>
      <c r="I2" s="4">
        <v>1</v>
      </c>
      <c r="J2" s="4">
        <v>1.58683429101075</v>
      </c>
      <c r="K2" s="5" t="s">
        <v>51</v>
      </c>
      <c r="L2" s="4">
        <v>0</v>
      </c>
      <c r="M2" s="4">
        <v>0</v>
      </c>
      <c r="N2" s="4">
        <v>0</v>
      </c>
      <c r="O2" s="4">
        <v>3</v>
      </c>
      <c r="P2" s="4">
        <v>22.8986153750011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>
        <v>22.868233042012399</v>
      </c>
      <c r="AD2" s="4">
        <v>22.8986153750011</v>
      </c>
      <c r="AE2" s="4">
        <v>23.324361417005999</v>
      </c>
      <c r="AF2" s="4">
        <v>23.324361417005999</v>
      </c>
      <c r="AG2" s="4">
        <v>23.324361417005999</v>
      </c>
      <c r="AH2" s="4">
        <v>24.918259584010201</v>
      </c>
      <c r="AI2" s="5" t="s">
        <v>63</v>
      </c>
      <c r="AJ2" s="4">
        <v>1</v>
      </c>
      <c r="AK2" s="4">
        <v>1.58683429101075</v>
      </c>
      <c r="AL2" s="5" t="s">
        <v>51</v>
      </c>
      <c r="AM2" s="3"/>
      <c r="AN2" s="3"/>
      <c r="AO2" s="3"/>
      <c r="AP2" s="3"/>
      <c r="AQ2" s="4">
        <v>3</v>
      </c>
      <c r="AR2" s="4">
        <v>1</v>
      </c>
      <c r="AS2" s="5" t="s">
        <v>94</v>
      </c>
      <c r="AT2" s="5" t="s">
        <v>53</v>
      </c>
      <c r="AU2" s="3"/>
      <c r="AV2" s="5" t="s">
        <v>54</v>
      </c>
      <c r="AW2" s="5" t="s">
        <v>51</v>
      </c>
      <c r="AX2" s="5" t="s">
        <v>95</v>
      </c>
      <c r="AY2" s="3"/>
    </row>
    <row r="3" spans="1:51" x14ac:dyDescent="0.15">
      <c r="A3" s="11" t="s">
        <v>70</v>
      </c>
      <c r="B3" s="12" t="s">
        <v>61</v>
      </c>
      <c r="C3" s="10" t="s">
        <v>62</v>
      </c>
      <c r="D3" s="10" t="s">
        <v>63</v>
      </c>
      <c r="E3" s="9">
        <v>3</v>
      </c>
      <c r="F3" s="9">
        <v>3</v>
      </c>
      <c r="G3" s="9">
        <v>0</v>
      </c>
      <c r="H3" s="10" t="s">
        <v>63</v>
      </c>
      <c r="I3" s="9">
        <v>1</v>
      </c>
      <c r="J3" s="9">
        <v>0.82292249899182901</v>
      </c>
      <c r="K3" s="10" t="s">
        <v>51</v>
      </c>
      <c r="L3" s="9">
        <v>0</v>
      </c>
      <c r="M3" s="9">
        <v>3</v>
      </c>
      <c r="N3" s="9">
        <v>3</v>
      </c>
      <c r="O3" s="9">
        <v>13</v>
      </c>
      <c r="P3" s="9">
        <v>27.965732875003599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9">
        <v>27.956522292006401</v>
      </c>
      <c r="AD3" s="9">
        <v>27.965732875003599</v>
      </c>
      <c r="AE3" s="9">
        <v>28.4493545420119</v>
      </c>
      <c r="AF3" s="9">
        <v>28.4493545420119</v>
      </c>
      <c r="AG3" s="9">
        <v>28.4493545420119</v>
      </c>
      <c r="AH3" s="9">
        <v>29.274377250010701</v>
      </c>
      <c r="AI3" s="10" t="s">
        <v>63</v>
      </c>
      <c r="AJ3" s="9">
        <v>1</v>
      </c>
      <c r="AK3" s="9">
        <v>0.82292249899182901</v>
      </c>
      <c r="AL3" s="10" t="s">
        <v>51</v>
      </c>
      <c r="AM3" s="8"/>
      <c r="AN3" s="8"/>
      <c r="AO3" s="8"/>
      <c r="AP3" s="8"/>
      <c r="AQ3" s="9">
        <v>3</v>
      </c>
      <c r="AR3" s="9">
        <v>1</v>
      </c>
      <c r="AS3" s="10" t="s">
        <v>94</v>
      </c>
      <c r="AT3" s="10" t="s">
        <v>53</v>
      </c>
      <c r="AU3" s="8"/>
      <c r="AV3" s="10" t="s">
        <v>54</v>
      </c>
      <c r="AW3" s="10" t="s">
        <v>51</v>
      </c>
      <c r="AX3" s="10" t="s">
        <v>95</v>
      </c>
      <c r="AY3" s="8"/>
    </row>
    <row r="4" spans="1:51" x14ac:dyDescent="0.15">
      <c r="A4" s="11" t="s">
        <v>70</v>
      </c>
      <c r="B4" s="12" t="s">
        <v>61</v>
      </c>
      <c r="C4" s="10" t="s">
        <v>58</v>
      </c>
      <c r="D4" s="10" t="s">
        <v>59</v>
      </c>
      <c r="E4" s="9">
        <v>6</v>
      </c>
      <c r="F4" s="9">
        <v>6</v>
      </c>
      <c r="G4" s="9">
        <v>0</v>
      </c>
      <c r="H4" s="10" t="s">
        <v>59</v>
      </c>
      <c r="I4" s="9">
        <v>1</v>
      </c>
      <c r="J4" s="9">
        <v>0.65901987499091796</v>
      </c>
      <c r="K4" s="10" t="s">
        <v>51</v>
      </c>
      <c r="L4" s="9">
        <v>0</v>
      </c>
      <c r="M4" s="9">
        <v>6</v>
      </c>
      <c r="N4" s="9">
        <v>6</v>
      </c>
      <c r="O4" s="9">
        <v>12</v>
      </c>
      <c r="P4" s="9">
        <v>31.732572667009698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9">
        <v>31.723705292009999</v>
      </c>
      <c r="AD4" s="9">
        <v>31.732572667009698</v>
      </c>
      <c r="AE4" s="9">
        <v>32.2161944170075</v>
      </c>
      <c r="AF4" s="9">
        <v>32.2161944170075</v>
      </c>
      <c r="AG4" s="9">
        <v>32.2161944170075</v>
      </c>
      <c r="AH4" s="9">
        <v>32.885003542003702</v>
      </c>
      <c r="AI4" s="10" t="s">
        <v>59</v>
      </c>
      <c r="AJ4" s="9">
        <v>1</v>
      </c>
      <c r="AK4" s="9">
        <v>0.65901987499091796</v>
      </c>
      <c r="AL4" s="10" t="s">
        <v>51</v>
      </c>
      <c r="AM4" s="8"/>
      <c r="AN4" s="8"/>
      <c r="AO4" s="8"/>
      <c r="AP4" s="8"/>
      <c r="AQ4" s="9">
        <v>3</v>
      </c>
      <c r="AR4" s="9">
        <v>1</v>
      </c>
      <c r="AS4" s="10" t="s">
        <v>94</v>
      </c>
      <c r="AT4" s="10" t="s">
        <v>53</v>
      </c>
      <c r="AU4" s="8"/>
      <c r="AV4" s="10" t="s">
        <v>54</v>
      </c>
      <c r="AW4" s="10" t="s">
        <v>51</v>
      </c>
      <c r="AX4" s="10" t="s">
        <v>95</v>
      </c>
      <c r="AY4" s="8"/>
    </row>
    <row r="5" spans="1:51" x14ac:dyDescent="0.15">
      <c r="A5" s="11" t="s">
        <v>74</v>
      </c>
      <c r="B5" s="12" t="s">
        <v>61</v>
      </c>
      <c r="C5" s="10" t="s">
        <v>62</v>
      </c>
      <c r="D5" s="10" t="s">
        <v>63</v>
      </c>
      <c r="E5" s="9">
        <v>11</v>
      </c>
      <c r="F5" s="9">
        <v>11</v>
      </c>
      <c r="G5" s="9">
        <v>0</v>
      </c>
      <c r="H5" s="10" t="s">
        <v>63</v>
      </c>
      <c r="I5" s="9">
        <v>1</v>
      </c>
      <c r="J5" s="9">
        <v>0.510906249997788</v>
      </c>
      <c r="K5" s="10" t="s">
        <v>51</v>
      </c>
      <c r="L5" s="9">
        <v>0</v>
      </c>
      <c r="M5" s="9">
        <v>11</v>
      </c>
      <c r="N5" s="9">
        <v>11</v>
      </c>
      <c r="O5" s="9">
        <v>1</v>
      </c>
      <c r="P5" s="9">
        <v>37.384353042012698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9">
        <v>37.375194709005903</v>
      </c>
      <c r="AD5" s="9">
        <v>37.384353042012698</v>
      </c>
      <c r="AE5" s="9">
        <v>37.866615417006003</v>
      </c>
      <c r="AF5" s="9">
        <v>37.866615417006003</v>
      </c>
      <c r="AG5" s="9">
        <v>37.866615417006003</v>
      </c>
      <c r="AH5" s="9">
        <v>38.385149084002499</v>
      </c>
      <c r="AI5" s="10" t="s">
        <v>63</v>
      </c>
      <c r="AJ5" s="9">
        <v>1</v>
      </c>
      <c r="AK5" s="9">
        <v>0.510906249997788</v>
      </c>
      <c r="AL5" s="10" t="s">
        <v>51</v>
      </c>
      <c r="AM5" s="8"/>
      <c r="AN5" s="8"/>
      <c r="AO5" s="8"/>
      <c r="AP5" s="8"/>
      <c r="AQ5" s="9">
        <v>3</v>
      </c>
      <c r="AR5" s="9">
        <v>1</v>
      </c>
      <c r="AS5" s="10" t="s">
        <v>94</v>
      </c>
      <c r="AT5" s="10" t="s">
        <v>53</v>
      </c>
      <c r="AU5" s="8"/>
      <c r="AV5" s="10" t="s">
        <v>54</v>
      </c>
      <c r="AW5" s="10" t="s">
        <v>51</v>
      </c>
      <c r="AX5" s="10" t="s">
        <v>95</v>
      </c>
      <c r="AY5" s="8"/>
    </row>
    <row r="6" spans="1:51" x14ac:dyDescent="0.15">
      <c r="A6" s="11" t="s">
        <v>74</v>
      </c>
      <c r="B6" s="12" t="s">
        <v>61</v>
      </c>
      <c r="C6" s="10" t="s">
        <v>58</v>
      </c>
      <c r="D6" s="10" t="s">
        <v>59</v>
      </c>
      <c r="E6" s="9">
        <v>14</v>
      </c>
      <c r="F6" s="9">
        <v>14</v>
      </c>
      <c r="G6" s="9">
        <v>0</v>
      </c>
      <c r="H6" s="10" t="s">
        <v>59</v>
      </c>
      <c r="I6" s="9">
        <v>1</v>
      </c>
      <c r="J6" s="9">
        <v>0.77074558299500495</v>
      </c>
      <c r="K6" s="10" t="s">
        <v>51</v>
      </c>
      <c r="L6" s="9">
        <v>0</v>
      </c>
      <c r="M6" s="9">
        <v>14</v>
      </c>
      <c r="N6" s="9">
        <v>14</v>
      </c>
      <c r="O6" s="9">
        <v>0</v>
      </c>
      <c r="P6" s="9">
        <v>40.632686666998801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9">
        <v>40.623340500009398</v>
      </c>
      <c r="AD6" s="9">
        <v>40.632686666998801</v>
      </c>
      <c r="AE6" s="9">
        <v>41.116679167011199</v>
      </c>
      <c r="AF6" s="9">
        <v>41.116679167011199</v>
      </c>
      <c r="AG6" s="9">
        <v>41.116679167011199</v>
      </c>
      <c r="AH6" s="9">
        <v>41.8913096670003</v>
      </c>
      <c r="AI6" s="10" t="s">
        <v>59</v>
      </c>
      <c r="AJ6" s="9">
        <v>1</v>
      </c>
      <c r="AK6" s="9">
        <v>0.77074558299500495</v>
      </c>
      <c r="AL6" s="10" t="s">
        <v>51</v>
      </c>
      <c r="AM6" s="8"/>
      <c r="AN6" s="8"/>
      <c r="AO6" s="8"/>
      <c r="AP6" s="8"/>
      <c r="AQ6" s="9">
        <v>3</v>
      </c>
      <c r="AR6" s="9">
        <v>1</v>
      </c>
      <c r="AS6" s="10" t="s">
        <v>94</v>
      </c>
      <c r="AT6" s="10" t="s">
        <v>53</v>
      </c>
      <c r="AU6" s="8"/>
      <c r="AV6" s="10" t="s">
        <v>54</v>
      </c>
      <c r="AW6" s="10" t="s">
        <v>51</v>
      </c>
      <c r="AX6" s="10" t="s">
        <v>95</v>
      </c>
      <c r="AY6" s="8"/>
    </row>
    <row r="7" spans="1:51" x14ac:dyDescent="0.15">
      <c r="A7" s="11" t="s">
        <v>83</v>
      </c>
      <c r="B7" s="12" t="s">
        <v>61</v>
      </c>
      <c r="C7" s="10" t="s">
        <v>58</v>
      </c>
      <c r="D7" s="10" t="s">
        <v>59</v>
      </c>
      <c r="E7" s="9">
        <v>15</v>
      </c>
      <c r="F7" s="9">
        <v>15</v>
      </c>
      <c r="G7" s="9">
        <v>0</v>
      </c>
      <c r="H7" s="10" t="s">
        <v>59</v>
      </c>
      <c r="I7" s="9">
        <v>1</v>
      </c>
      <c r="J7" s="9">
        <v>0.48586716600402702</v>
      </c>
      <c r="K7" s="10" t="s">
        <v>51</v>
      </c>
      <c r="L7" s="9">
        <v>0</v>
      </c>
      <c r="M7" s="9">
        <v>15</v>
      </c>
      <c r="N7" s="9">
        <v>15</v>
      </c>
      <c r="O7" s="9">
        <v>2</v>
      </c>
      <c r="P7" s="9">
        <v>41.9047634590097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>
        <v>41.895404625000097</v>
      </c>
      <c r="AD7" s="9">
        <v>41.9047634590097</v>
      </c>
      <c r="AE7" s="9">
        <v>42.392687750005301</v>
      </c>
      <c r="AF7" s="9">
        <v>42.392687750005301</v>
      </c>
      <c r="AG7" s="9">
        <v>42.392687750005301</v>
      </c>
      <c r="AH7" s="9">
        <v>42.885449875000603</v>
      </c>
      <c r="AI7" s="10" t="s">
        <v>59</v>
      </c>
      <c r="AJ7" s="9">
        <v>1</v>
      </c>
      <c r="AK7" s="9">
        <v>0.48586716600402702</v>
      </c>
      <c r="AL7" s="10" t="s">
        <v>51</v>
      </c>
      <c r="AM7" s="8"/>
      <c r="AN7" s="8"/>
      <c r="AO7" s="8"/>
      <c r="AP7" s="8"/>
      <c r="AQ7" s="9">
        <v>3</v>
      </c>
      <c r="AR7" s="9">
        <v>1</v>
      </c>
      <c r="AS7" s="10" t="s">
        <v>94</v>
      </c>
      <c r="AT7" s="10" t="s">
        <v>53</v>
      </c>
      <c r="AU7" s="8"/>
      <c r="AV7" s="10" t="s">
        <v>54</v>
      </c>
      <c r="AW7" s="10" t="s">
        <v>51</v>
      </c>
      <c r="AX7" s="10" t="s">
        <v>95</v>
      </c>
      <c r="AY7" s="8"/>
    </row>
    <row r="8" spans="1:51" x14ac:dyDescent="0.15">
      <c r="A8" s="11" t="s">
        <v>64</v>
      </c>
      <c r="B8" s="12" t="s">
        <v>61</v>
      </c>
      <c r="C8" s="10" t="s">
        <v>62</v>
      </c>
      <c r="D8" s="10" t="s">
        <v>63</v>
      </c>
      <c r="E8" s="9">
        <v>16</v>
      </c>
      <c r="F8" s="9">
        <v>16</v>
      </c>
      <c r="G8" s="9">
        <v>0</v>
      </c>
      <c r="H8" s="10" t="s">
        <v>63</v>
      </c>
      <c r="I8" s="9">
        <v>1</v>
      </c>
      <c r="J8" s="9">
        <v>0.71344683300412703</v>
      </c>
      <c r="K8" s="10" t="s">
        <v>51</v>
      </c>
      <c r="L8" s="9">
        <v>0</v>
      </c>
      <c r="M8" s="9">
        <v>16</v>
      </c>
      <c r="N8" s="9">
        <v>16</v>
      </c>
      <c r="O8" s="9">
        <v>5</v>
      </c>
      <c r="P8" s="9">
        <v>42.900447625011999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9">
        <v>42.891247334002401</v>
      </c>
      <c r="AD8" s="9">
        <v>42.900447625011999</v>
      </c>
      <c r="AE8" s="9">
        <v>43.383235583998598</v>
      </c>
      <c r="AF8" s="9">
        <v>43.383235583998598</v>
      </c>
      <c r="AG8" s="9">
        <v>43.383235583998598</v>
      </c>
      <c r="AH8" s="9">
        <v>44.102557209000203</v>
      </c>
      <c r="AI8" s="10" t="s">
        <v>63</v>
      </c>
      <c r="AJ8" s="9">
        <v>1</v>
      </c>
      <c r="AK8" s="9">
        <v>0.71344683300412703</v>
      </c>
      <c r="AL8" s="10" t="s">
        <v>51</v>
      </c>
      <c r="AM8" s="8"/>
      <c r="AN8" s="8"/>
      <c r="AO8" s="8"/>
      <c r="AP8" s="8"/>
      <c r="AQ8" s="9">
        <v>3</v>
      </c>
      <c r="AR8" s="9">
        <v>1</v>
      </c>
      <c r="AS8" s="10" t="s">
        <v>94</v>
      </c>
      <c r="AT8" s="10" t="s">
        <v>53</v>
      </c>
      <c r="AU8" s="8"/>
      <c r="AV8" s="10" t="s">
        <v>54</v>
      </c>
      <c r="AW8" s="10" t="s">
        <v>51</v>
      </c>
      <c r="AX8" s="10" t="s">
        <v>95</v>
      </c>
      <c r="AY8" s="8"/>
    </row>
    <row r="9" spans="1:51" x14ac:dyDescent="0.15">
      <c r="A9" s="11" t="s">
        <v>85</v>
      </c>
      <c r="B9" s="12" t="s">
        <v>61</v>
      </c>
      <c r="C9" s="10" t="s">
        <v>58</v>
      </c>
      <c r="D9" s="10" t="s">
        <v>59</v>
      </c>
      <c r="E9" s="9">
        <v>21</v>
      </c>
      <c r="F9" s="9">
        <v>21</v>
      </c>
      <c r="G9" s="9">
        <v>0</v>
      </c>
      <c r="H9" s="10" t="s">
        <v>59</v>
      </c>
      <c r="I9" s="9">
        <v>1</v>
      </c>
      <c r="J9" s="9">
        <v>0.55438395800592799</v>
      </c>
      <c r="K9" s="10" t="s">
        <v>51</v>
      </c>
      <c r="L9" s="9">
        <v>0</v>
      </c>
      <c r="M9" s="9">
        <v>21</v>
      </c>
      <c r="N9" s="9">
        <v>21</v>
      </c>
      <c r="O9" s="9">
        <v>10</v>
      </c>
      <c r="P9" s="9">
        <v>48.438769250002203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9">
        <v>48.428861500011401</v>
      </c>
      <c r="AD9" s="9">
        <v>48.438769250002203</v>
      </c>
      <c r="AE9" s="9">
        <v>48.926401750010001</v>
      </c>
      <c r="AF9" s="9">
        <v>48.926401750010001</v>
      </c>
      <c r="AG9" s="9">
        <v>48.926401750010001</v>
      </c>
      <c r="AH9" s="9">
        <v>49.485671375004998</v>
      </c>
      <c r="AI9" s="10" t="s">
        <v>59</v>
      </c>
      <c r="AJ9" s="9">
        <v>1</v>
      </c>
      <c r="AK9" s="9">
        <v>0.55438395800592799</v>
      </c>
      <c r="AL9" s="10" t="s">
        <v>51</v>
      </c>
      <c r="AM9" s="8"/>
      <c r="AN9" s="8"/>
      <c r="AO9" s="8"/>
      <c r="AP9" s="8"/>
      <c r="AQ9" s="9">
        <v>3</v>
      </c>
      <c r="AR9" s="9">
        <v>1</v>
      </c>
      <c r="AS9" s="10" t="s">
        <v>94</v>
      </c>
      <c r="AT9" s="10" t="s">
        <v>53</v>
      </c>
      <c r="AU9" s="8"/>
      <c r="AV9" s="10" t="s">
        <v>54</v>
      </c>
      <c r="AW9" s="10" t="s">
        <v>51</v>
      </c>
      <c r="AX9" s="10" t="s">
        <v>95</v>
      </c>
      <c r="AY9" s="8"/>
    </row>
    <row r="10" spans="1:51" x14ac:dyDescent="0.15">
      <c r="A10" s="11" t="s">
        <v>79</v>
      </c>
      <c r="B10" s="12" t="s">
        <v>61</v>
      </c>
      <c r="C10" s="10" t="s">
        <v>62</v>
      </c>
      <c r="D10" s="10" t="s">
        <v>63</v>
      </c>
      <c r="E10" s="9">
        <v>26</v>
      </c>
      <c r="F10" s="9">
        <v>26</v>
      </c>
      <c r="G10" s="9">
        <v>0</v>
      </c>
      <c r="H10" s="10" t="s">
        <v>63</v>
      </c>
      <c r="I10" s="9">
        <v>1</v>
      </c>
      <c r="J10" s="9">
        <v>0.56184999999823104</v>
      </c>
      <c r="K10" s="10" t="s">
        <v>51</v>
      </c>
      <c r="L10" s="9">
        <v>0</v>
      </c>
      <c r="M10" s="9">
        <v>26</v>
      </c>
      <c r="N10" s="9">
        <v>26</v>
      </c>
      <c r="O10" s="9">
        <v>7</v>
      </c>
      <c r="P10" s="9">
        <v>53.9832230419997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9">
        <v>53.974135417010999</v>
      </c>
      <c r="AD10" s="9">
        <v>53.9832230419997</v>
      </c>
      <c r="AE10" s="9">
        <v>54.467005167010903</v>
      </c>
      <c r="AF10" s="9">
        <v>54.467005167010903</v>
      </c>
      <c r="AG10" s="9">
        <v>54.467005167010903</v>
      </c>
      <c r="AH10" s="9">
        <v>55.036016334008302</v>
      </c>
      <c r="AI10" s="10" t="s">
        <v>63</v>
      </c>
      <c r="AJ10" s="9">
        <v>1</v>
      </c>
      <c r="AK10" s="9">
        <v>0.56184999999823104</v>
      </c>
      <c r="AL10" s="10" t="s">
        <v>51</v>
      </c>
      <c r="AM10" s="8"/>
      <c r="AN10" s="8"/>
      <c r="AO10" s="8"/>
      <c r="AP10" s="8"/>
      <c r="AQ10" s="9">
        <v>3</v>
      </c>
      <c r="AR10" s="9">
        <v>1</v>
      </c>
      <c r="AS10" s="10" t="s">
        <v>94</v>
      </c>
      <c r="AT10" s="10" t="s">
        <v>53</v>
      </c>
      <c r="AU10" s="8"/>
      <c r="AV10" s="10" t="s">
        <v>54</v>
      </c>
      <c r="AW10" s="10" t="s">
        <v>51</v>
      </c>
      <c r="AX10" s="10" t="s">
        <v>95</v>
      </c>
      <c r="AY10" s="8"/>
    </row>
    <row r="11" spans="1:51" x14ac:dyDescent="0.15">
      <c r="A11" s="11" t="s">
        <v>79</v>
      </c>
      <c r="B11" s="12" t="s">
        <v>61</v>
      </c>
      <c r="C11" s="10" t="s">
        <v>62</v>
      </c>
      <c r="D11" s="10" t="s">
        <v>63</v>
      </c>
      <c r="E11" s="9">
        <v>28</v>
      </c>
      <c r="F11" s="9">
        <v>28</v>
      </c>
      <c r="G11" s="9">
        <v>1</v>
      </c>
      <c r="H11" s="10" t="s">
        <v>63</v>
      </c>
      <c r="I11" s="9">
        <v>1</v>
      </c>
      <c r="J11" s="9">
        <v>0.43804558301053498</v>
      </c>
      <c r="K11" s="10" t="s">
        <v>51</v>
      </c>
      <c r="L11" s="9">
        <v>1</v>
      </c>
      <c r="M11" s="9">
        <v>28</v>
      </c>
      <c r="N11" s="9">
        <v>28</v>
      </c>
      <c r="O11" s="9">
        <v>7</v>
      </c>
      <c r="P11" s="9">
        <v>56.173678917010001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>
        <v>56.164009709013001</v>
      </c>
      <c r="AD11" s="9">
        <v>56.173678917010001</v>
      </c>
      <c r="AE11" s="9">
        <v>56.658832042012399</v>
      </c>
      <c r="AF11" s="9">
        <v>56.658832042012399</v>
      </c>
      <c r="AG11" s="9">
        <v>56.658832042012399</v>
      </c>
      <c r="AH11" s="9">
        <v>57.102038625002002</v>
      </c>
      <c r="AI11" s="10" t="s">
        <v>63</v>
      </c>
      <c r="AJ11" s="9">
        <v>1</v>
      </c>
      <c r="AK11" s="9">
        <v>0.43804558301053498</v>
      </c>
      <c r="AL11" s="10" t="s">
        <v>51</v>
      </c>
      <c r="AM11" s="8"/>
      <c r="AN11" s="8"/>
      <c r="AO11" s="8"/>
      <c r="AP11" s="8"/>
      <c r="AQ11" s="9">
        <v>3</v>
      </c>
      <c r="AR11" s="9">
        <v>1</v>
      </c>
      <c r="AS11" s="10" t="s">
        <v>94</v>
      </c>
      <c r="AT11" s="10" t="s">
        <v>53</v>
      </c>
      <c r="AU11" s="8"/>
      <c r="AV11" s="10" t="s">
        <v>54</v>
      </c>
      <c r="AW11" s="10" t="s">
        <v>51</v>
      </c>
      <c r="AX11" s="10" t="s">
        <v>95</v>
      </c>
      <c r="AY11" s="8"/>
    </row>
    <row r="12" spans="1:51" x14ac:dyDescent="0.15">
      <c r="A12" s="11" t="s">
        <v>85</v>
      </c>
      <c r="B12" s="12" t="s">
        <v>61</v>
      </c>
      <c r="C12" s="10" t="s">
        <v>62</v>
      </c>
      <c r="D12" s="10" t="s">
        <v>63</v>
      </c>
      <c r="E12" s="9">
        <v>33</v>
      </c>
      <c r="F12" s="9">
        <v>33</v>
      </c>
      <c r="G12" s="9">
        <v>0</v>
      </c>
      <c r="H12" s="10" t="s">
        <v>63</v>
      </c>
      <c r="I12" s="9">
        <v>1</v>
      </c>
      <c r="J12" s="9">
        <v>0.54174508299911395</v>
      </c>
      <c r="K12" s="10" t="s">
        <v>51</v>
      </c>
      <c r="L12" s="9">
        <v>0</v>
      </c>
      <c r="M12" s="9">
        <v>33</v>
      </c>
      <c r="N12" s="9">
        <v>33</v>
      </c>
      <c r="O12" s="9">
        <v>11</v>
      </c>
      <c r="P12" s="9">
        <v>62.597446125000701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9">
        <v>62.589229917008197</v>
      </c>
      <c r="AD12" s="9">
        <v>62.597446125000701</v>
      </c>
      <c r="AE12" s="9">
        <v>63.077126667005402</v>
      </c>
      <c r="AF12" s="9">
        <v>63.077126667005402</v>
      </c>
      <c r="AG12" s="9">
        <v>63.077126667005402</v>
      </c>
      <c r="AH12" s="9">
        <v>63.625842584006001</v>
      </c>
      <c r="AI12" s="10" t="s">
        <v>63</v>
      </c>
      <c r="AJ12" s="9">
        <v>1</v>
      </c>
      <c r="AK12" s="9">
        <v>0.54174508299911395</v>
      </c>
      <c r="AL12" s="10" t="s">
        <v>51</v>
      </c>
      <c r="AM12" s="8"/>
      <c r="AN12" s="8"/>
      <c r="AO12" s="8"/>
      <c r="AP12" s="8"/>
      <c r="AQ12" s="9">
        <v>3</v>
      </c>
      <c r="AR12" s="9">
        <v>1</v>
      </c>
      <c r="AS12" s="10" t="s">
        <v>94</v>
      </c>
      <c r="AT12" s="10" t="s">
        <v>53</v>
      </c>
      <c r="AU12" s="8"/>
      <c r="AV12" s="10" t="s">
        <v>54</v>
      </c>
      <c r="AW12" s="10" t="s">
        <v>51</v>
      </c>
      <c r="AX12" s="10" t="s">
        <v>95</v>
      </c>
      <c r="AY12" s="8"/>
    </row>
    <row r="13" spans="1:51" x14ac:dyDescent="0.15">
      <c r="A13" s="11" t="s">
        <v>74</v>
      </c>
      <c r="B13" s="12" t="s">
        <v>61</v>
      </c>
      <c r="C13" s="10" t="s">
        <v>58</v>
      </c>
      <c r="D13" s="10" t="s">
        <v>59</v>
      </c>
      <c r="E13" s="9">
        <v>34</v>
      </c>
      <c r="F13" s="9">
        <v>34</v>
      </c>
      <c r="G13" s="9">
        <v>1</v>
      </c>
      <c r="H13" s="10" t="s">
        <v>59</v>
      </c>
      <c r="I13" s="9">
        <v>1</v>
      </c>
      <c r="J13" s="9">
        <v>0.60924291699484501</v>
      </c>
      <c r="K13" s="10" t="s">
        <v>51</v>
      </c>
      <c r="L13" s="9">
        <v>1</v>
      </c>
      <c r="M13" s="9">
        <v>34</v>
      </c>
      <c r="N13" s="9">
        <v>34</v>
      </c>
      <c r="O13" s="9">
        <v>0</v>
      </c>
      <c r="P13" s="9">
        <v>63.640302542000398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9">
        <v>63.6305818750116</v>
      </c>
      <c r="AD13" s="9">
        <v>63.640302542000398</v>
      </c>
      <c r="AE13" s="9">
        <v>64.1266370000085</v>
      </c>
      <c r="AF13" s="9">
        <v>64.1266370000085</v>
      </c>
      <c r="AG13" s="9">
        <v>64.1266370000085</v>
      </c>
      <c r="AH13" s="9">
        <v>64.741358958999598</v>
      </c>
      <c r="AI13" s="10" t="s">
        <v>59</v>
      </c>
      <c r="AJ13" s="9">
        <v>1</v>
      </c>
      <c r="AK13" s="9">
        <v>0.60924291699484501</v>
      </c>
      <c r="AL13" s="10" t="s">
        <v>51</v>
      </c>
      <c r="AM13" s="8"/>
      <c r="AN13" s="8"/>
      <c r="AO13" s="8"/>
      <c r="AP13" s="8"/>
      <c r="AQ13" s="9">
        <v>3</v>
      </c>
      <c r="AR13" s="9">
        <v>1</v>
      </c>
      <c r="AS13" s="10" t="s">
        <v>94</v>
      </c>
      <c r="AT13" s="10" t="s">
        <v>53</v>
      </c>
      <c r="AU13" s="8"/>
      <c r="AV13" s="10" t="s">
        <v>54</v>
      </c>
      <c r="AW13" s="10" t="s">
        <v>51</v>
      </c>
      <c r="AX13" s="10" t="s">
        <v>95</v>
      </c>
      <c r="AY13" s="8"/>
    </row>
    <row r="14" spans="1:51" x14ac:dyDescent="0.15">
      <c r="A14" s="11" t="s">
        <v>73</v>
      </c>
      <c r="B14" s="12" t="s">
        <v>61</v>
      </c>
      <c r="C14" s="10" t="s">
        <v>62</v>
      </c>
      <c r="D14" s="10" t="s">
        <v>63</v>
      </c>
      <c r="E14" s="9">
        <v>35</v>
      </c>
      <c r="F14" s="9">
        <v>35</v>
      </c>
      <c r="G14" s="9">
        <v>0</v>
      </c>
      <c r="H14" s="10" t="s">
        <v>63</v>
      </c>
      <c r="I14" s="9">
        <v>1</v>
      </c>
      <c r="J14" s="9">
        <v>0.440245500009041</v>
      </c>
      <c r="K14" s="10" t="s">
        <v>51</v>
      </c>
      <c r="L14" s="9">
        <v>0</v>
      </c>
      <c r="M14" s="9">
        <v>35</v>
      </c>
      <c r="N14" s="9">
        <v>35</v>
      </c>
      <c r="O14" s="9">
        <v>15</v>
      </c>
      <c r="P14" s="9">
        <v>64.755913291999605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9">
        <v>64.745073958998603</v>
      </c>
      <c r="AD14" s="9">
        <v>64.755913291999605</v>
      </c>
      <c r="AE14" s="9">
        <v>65.234701417008196</v>
      </c>
      <c r="AF14" s="9">
        <v>65.234701417008196</v>
      </c>
      <c r="AG14" s="9">
        <v>65.234701417008196</v>
      </c>
      <c r="AH14" s="9">
        <v>65.686629000003506</v>
      </c>
      <c r="AI14" s="10" t="s">
        <v>63</v>
      </c>
      <c r="AJ14" s="9">
        <v>1</v>
      </c>
      <c r="AK14" s="9">
        <v>0.440245500009041</v>
      </c>
      <c r="AL14" s="10" t="s">
        <v>51</v>
      </c>
      <c r="AM14" s="8"/>
      <c r="AN14" s="8"/>
      <c r="AO14" s="8"/>
      <c r="AP14" s="8"/>
      <c r="AQ14" s="9">
        <v>3</v>
      </c>
      <c r="AR14" s="9">
        <v>1</v>
      </c>
      <c r="AS14" s="10" t="s">
        <v>94</v>
      </c>
      <c r="AT14" s="10" t="s">
        <v>53</v>
      </c>
      <c r="AU14" s="8"/>
      <c r="AV14" s="10" t="s">
        <v>54</v>
      </c>
      <c r="AW14" s="10" t="s">
        <v>51</v>
      </c>
      <c r="AX14" s="10" t="s">
        <v>95</v>
      </c>
      <c r="AY14" s="8"/>
    </row>
    <row r="15" spans="1:51" x14ac:dyDescent="0.15">
      <c r="A15" s="11" t="s">
        <v>64</v>
      </c>
      <c r="B15" s="12" t="s">
        <v>61</v>
      </c>
      <c r="C15" s="10" t="s">
        <v>58</v>
      </c>
      <c r="D15" s="10" t="s">
        <v>59</v>
      </c>
      <c r="E15" s="9">
        <v>36</v>
      </c>
      <c r="F15" s="9">
        <v>36</v>
      </c>
      <c r="G15" s="9">
        <v>0</v>
      </c>
      <c r="H15" s="10" t="s">
        <v>59</v>
      </c>
      <c r="I15" s="9">
        <v>1</v>
      </c>
      <c r="J15" s="9">
        <v>0.51600095799949497</v>
      </c>
      <c r="K15" s="10" t="s">
        <v>51</v>
      </c>
      <c r="L15" s="9">
        <v>0</v>
      </c>
      <c r="M15" s="9">
        <v>36</v>
      </c>
      <c r="N15" s="9">
        <v>36</v>
      </c>
      <c r="O15" s="9">
        <v>4</v>
      </c>
      <c r="P15" s="9">
        <v>65.701862542002402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9">
        <v>65.692525209000493</v>
      </c>
      <c r="AD15" s="9">
        <v>65.701862542002402</v>
      </c>
      <c r="AE15" s="9">
        <v>66.184109459005398</v>
      </c>
      <c r="AF15" s="9">
        <v>66.184109459005398</v>
      </c>
      <c r="AG15" s="9">
        <v>66.184109459005398</v>
      </c>
      <c r="AH15" s="9">
        <v>66.703179667005301</v>
      </c>
      <c r="AI15" s="10" t="s">
        <v>59</v>
      </c>
      <c r="AJ15" s="9">
        <v>1</v>
      </c>
      <c r="AK15" s="9">
        <v>0.51600095799949497</v>
      </c>
      <c r="AL15" s="10" t="s">
        <v>51</v>
      </c>
      <c r="AM15" s="8"/>
      <c r="AN15" s="8"/>
      <c r="AO15" s="8"/>
      <c r="AP15" s="8"/>
      <c r="AQ15" s="9">
        <v>3</v>
      </c>
      <c r="AR15" s="9">
        <v>1</v>
      </c>
      <c r="AS15" s="10" t="s">
        <v>94</v>
      </c>
      <c r="AT15" s="10" t="s">
        <v>53</v>
      </c>
      <c r="AU15" s="8"/>
      <c r="AV15" s="10" t="s">
        <v>54</v>
      </c>
      <c r="AW15" s="10" t="s">
        <v>51</v>
      </c>
      <c r="AX15" s="10" t="s">
        <v>95</v>
      </c>
      <c r="AY15" s="8"/>
    </row>
    <row r="16" spans="1:51" x14ac:dyDescent="0.15">
      <c r="A16" s="11" t="s">
        <v>85</v>
      </c>
      <c r="B16" s="12" t="s">
        <v>61</v>
      </c>
      <c r="C16" s="10" t="s">
        <v>58</v>
      </c>
      <c r="D16" s="10" t="s">
        <v>59</v>
      </c>
      <c r="E16" s="9">
        <v>38</v>
      </c>
      <c r="F16" s="9">
        <v>38</v>
      </c>
      <c r="G16" s="9">
        <v>1</v>
      </c>
      <c r="H16" s="10" t="s">
        <v>59</v>
      </c>
      <c r="I16" s="9">
        <v>1</v>
      </c>
      <c r="J16" s="9">
        <v>0.62944154199794899</v>
      </c>
      <c r="K16" s="10" t="s">
        <v>51</v>
      </c>
      <c r="L16" s="9">
        <v>1</v>
      </c>
      <c r="M16" s="9">
        <v>38</v>
      </c>
      <c r="N16" s="9">
        <v>38</v>
      </c>
      <c r="O16" s="9">
        <v>10</v>
      </c>
      <c r="P16" s="9">
        <v>67.5828758340067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9">
        <v>67.573863834011703</v>
      </c>
      <c r="AD16" s="9">
        <v>67.5828758340067</v>
      </c>
      <c r="AE16" s="9">
        <v>68.067652167010195</v>
      </c>
      <c r="AF16" s="9">
        <v>68.067652167010195</v>
      </c>
      <c r="AG16" s="9">
        <v>68.067652167010195</v>
      </c>
      <c r="AH16" s="9">
        <v>68.703242917006705</v>
      </c>
      <c r="AI16" s="10" t="s">
        <v>59</v>
      </c>
      <c r="AJ16" s="9">
        <v>1</v>
      </c>
      <c r="AK16" s="9">
        <v>0.62944154199794899</v>
      </c>
      <c r="AL16" s="10" t="s">
        <v>51</v>
      </c>
      <c r="AM16" s="8"/>
      <c r="AN16" s="8"/>
      <c r="AO16" s="8"/>
      <c r="AP16" s="8"/>
      <c r="AQ16" s="9">
        <v>3</v>
      </c>
      <c r="AR16" s="9">
        <v>1</v>
      </c>
      <c r="AS16" s="10" t="s">
        <v>94</v>
      </c>
      <c r="AT16" s="10" t="s">
        <v>53</v>
      </c>
      <c r="AU16" s="8"/>
      <c r="AV16" s="10" t="s">
        <v>54</v>
      </c>
      <c r="AW16" s="10" t="s">
        <v>51</v>
      </c>
      <c r="AX16" s="10" t="s">
        <v>95</v>
      </c>
      <c r="AY16" s="8"/>
    </row>
    <row r="17" spans="1:51" x14ac:dyDescent="0.15">
      <c r="A17" s="11" t="s">
        <v>85</v>
      </c>
      <c r="B17" s="12" t="s">
        <v>61</v>
      </c>
      <c r="C17" s="10" t="s">
        <v>62</v>
      </c>
      <c r="D17" s="10" t="s">
        <v>63</v>
      </c>
      <c r="E17" s="9">
        <v>40</v>
      </c>
      <c r="F17" s="9">
        <v>40</v>
      </c>
      <c r="G17" s="9">
        <v>1</v>
      </c>
      <c r="H17" s="10" t="s">
        <v>63</v>
      </c>
      <c r="I17" s="9">
        <v>1</v>
      </c>
      <c r="J17" s="9">
        <v>0.33558162499684802</v>
      </c>
      <c r="K17" s="10" t="s">
        <v>51</v>
      </c>
      <c r="L17" s="9">
        <v>1</v>
      </c>
      <c r="M17" s="9">
        <v>40</v>
      </c>
      <c r="N17" s="9">
        <v>40</v>
      </c>
      <c r="O17" s="9">
        <v>11</v>
      </c>
      <c r="P17" s="9">
        <v>70.3663821250084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9">
        <v>70.357343834009995</v>
      </c>
      <c r="AD17" s="9">
        <v>70.3663821250084</v>
      </c>
      <c r="AE17" s="9">
        <v>70.851480000012103</v>
      </c>
      <c r="AF17" s="9">
        <v>70.851480000012103</v>
      </c>
      <c r="AG17" s="9">
        <v>70.851480000012103</v>
      </c>
      <c r="AH17" s="9">
        <v>71.192236125003603</v>
      </c>
      <c r="AI17" s="10" t="s">
        <v>63</v>
      </c>
      <c r="AJ17" s="9">
        <v>1</v>
      </c>
      <c r="AK17" s="9">
        <v>0.33558162499684802</v>
      </c>
      <c r="AL17" s="10" t="s">
        <v>51</v>
      </c>
      <c r="AM17" s="8"/>
      <c r="AN17" s="8"/>
      <c r="AO17" s="8"/>
      <c r="AP17" s="8"/>
      <c r="AQ17" s="9">
        <v>3</v>
      </c>
      <c r="AR17" s="9">
        <v>1</v>
      </c>
      <c r="AS17" s="10" t="s">
        <v>94</v>
      </c>
      <c r="AT17" s="10" t="s">
        <v>53</v>
      </c>
      <c r="AU17" s="8"/>
      <c r="AV17" s="10" t="s">
        <v>54</v>
      </c>
      <c r="AW17" s="10" t="s">
        <v>51</v>
      </c>
      <c r="AX17" s="10" t="s">
        <v>95</v>
      </c>
      <c r="AY17" s="8"/>
    </row>
    <row r="18" spans="1:51" x14ac:dyDescent="0.15">
      <c r="A18" s="11" t="s">
        <v>60</v>
      </c>
      <c r="B18" s="12" t="s">
        <v>61</v>
      </c>
      <c r="C18" s="10" t="s">
        <v>62</v>
      </c>
      <c r="D18" s="10" t="s">
        <v>63</v>
      </c>
      <c r="E18" s="9">
        <v>41</v>
      </c>
      <c r="F18" s="9">
        <v>41</v>
      </c>
      <c r="G18" s="9">
        <v>0</v>
      </c>
      <c r="H18" s="10" t="s">
        <v>63</v>
      </c>
      <c r="I18" s="9">
        <v>1</v>
      </c>
      <c r="J18" s="9">
        <v>0.38737437500094501</v>
      </c>
      <c r="K18" s="10" t="s">
        <v>51</v>
      </c>
      <c r="L18" s="9">
        <v>0</v>
      </c>
      <c r="M18" s="9">
        <v>41</v>
      </c>
      <c r="N18" s="9">
        <v>41</v>
      </c>
      <c r="O18" s="9">
        <v>9</v>
      </c>
      <c r="P18" s="9">
        <v>71.206256875011604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9">
        <v>71.195591250012498</v>
      </c>
      <c r="AD18" s="9">
        <v>71.206256875011604</v>
      </c>
      <c r="AE18" s="9">
        <v>71.692776709009195</v>
      </c>
      <c r="AF18" s="9">
        <v>71.692776709009195</v>
      </c>
      <c r="AG18" s="9">
        <v>71.692776709009195</v>
      </c>
      <c r="AH18" s="9">
        <v>72.086565625009797</v>
      </c>
      <c r="AI18" s="10" t="s">
        <v>63</v>
      </c>
      <c r="AJ18" s="9">
        <v>1</v>
      </c>
      <c r="AK18" s="9">
        <v>0.38737437500094501</v>
      </c>
      <c r="AL18" s="10" t="s">
        <v>51</v>
      </c>
      <c r="AM18" s="8"/>
      <c r="AN18" s="8"/>
      <c r="AO18" s="8"/>
      <c r="AP18" s="8"/>
      <c r="AQ18" s="9">
        <v>3</v>
      </c>
      <c r="AR18" s="9">
        <v>1</v>
      </c>
      <c r="AS18" s="10" t="s">
        <v>94</v>
      </c>
      <c r="AT18" s="10" t="s">
        <v>53</v>
      </c>
      <c r="AU18" s="8"/>
      <c r="AV18" s="10" t="s">
        <v>54</v>
      </c>
      <c r="AW18" s="10" t="s">
        <v>51</v>
      </c>
      <c r="AX18" s="10" t="s">
        <v>95</v>
      </c>
      <c r="AY18" s="8"/>
    </row>
    <row r="19" spans="1:51" x14ac:dyDescent="0.15">
      <c r="A19" s="11" t="s">
        <v>74</v>
      </c>
      <c r="B19" s="12" t="s">
        <v>61</v>
      </c>
      <c r="C19" s="10" t="s">
        <v>58</v>
      </c>
      <c r="D19" s="10" t="s">
        <v>59</v>
      </c>
      <c r="E19" s="9">
        <v>44</v>
      </c>
      <c r="F19" s="9">
        <v>44</v>
      </c>
      <c r="G19" s="9">
        <v>2</v>
      </c>
      <c r="H19" s="10" t="s">
        <v>59</v>
      </c>
      <c r="I19" s="9">
        <v>1</v>
      </c>
      <c r="J19" s="9">
        <v>0.891654666993418</v>
      </c>
      <c r="K19" s="10" t="s">
        <v>51</v>
      </c>
      <c r="L19" s="9">
        <v>2</v>
      </c>
      <c r="M19" s="9">
        <v>44</v>
      </c>
      <c r="N19" s="9">
        <v>44</v>
      </c>
      <c r="O19" s="9">
        <v>0</v>
      </c>
      <c r="P19" s="9">
        <v>74.116321542009302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9">
        <v>74.107710209005802</v>
      </c>
      <c r="AD19" s="9">
        <v>74.116321542009302</v>
      </c>
      <c r="AE19" s="9">
        <v>74.601508750012698</v>
      </c>
      <c r="AF19" s="9">
        <v>74.601508750012698</v>
      </c>
      <c r="AG19" s="9">
        <v>74.601508750012698</v>
      </c>
      <c r="AH19" s="9">
        <v>75.503427959003602</v>
      </c>
      <c r="AI19" s="10" t="s">
        <v>59</v>
      </c>
      <c r="AJ19" s="9">
        <v>1</v>
      </c>
      <c r="AK19" s="9">
        <v>0.891654666993418</v>
      </c>
      <c r="AL19" s="10" t="s">
        <v>51</v>
      </c>
      <c r="AM19" s="8"/>
      <c r="AN19" s="8"/>
      <c r="AO19" s="8"/>
      <c r="AP19" s="8"/>
      <c r="AQ19" s="9">
        <v>3</v>
      </c>
      <c r="AR19" s="9">
        <v>1</v>
      </c>
      <c r="AS19" s="10" t="s">
        <v>94</v>
      </c>
      <c r="AT19" s="10" t="s">
        <v>53</v>
      </c>
      <c r="AU19" s="8"/>
      <c r="AV19" s="10" t="s">
        <v>54</v>
      </c>
      <c r="AW19" s="10" t="s">
        <v>51</v>
      </c>
      <c r="AX19" s="10" t="s">
        <v>95</v>
      </c>
      <c r="AY19" s="8"/>
    </row>
    <row r="20" spans="1:51" x14ac:dyDescent="0.15">
      <c r="A20" s="11" t="s">
        <v>79</v>
      </c>
      <c r="B20" s="12" t="s">
        <v>61</v>
      </c>
      <c r="C20" s="10" t="s">
        <v>62</v>
      </c>
      <c r="D20" s="10" t="s">
        <v>63</v>
      </c>
      <c r="E20" s="9">
        <v>48</v>
      </c>
      <c r="F20" s="9">
        <v>48</v>
      </c>
      <c r="G20" s="9">
        <v>2</v>
      </c>
      <c r="H20" s="10" t="s">
        <v>63</v>
      </c>
      <c r="I20" s="9">
        <v>1</v>
      </c>
      <c r="J20" s="9">
        <v>0.55627116600226201</v>
      </c>
      <c r="K20" s="10" t="s">
        <v>51</v>
      </c>
      <c r="L20" s="9">
        <v>2</v>
      </c>
      <c r="M20" s="9">
        <v>48</v>
      </c>
      <c r="N20" s="9">
        <v>48</v>
      </c>
      <c r="O20" s="9">
        <v>7</v>
      </c>
      <c r="P20" s="9">
        <v>79.749750917006196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9">
        <v>79.740883209000501</v>
      </c>
      <c r="AD20" s="9">
        <v>79.749750917006196</v>
      </c>
      <c r="AE20" s="9">
        <v>80.235032959011704</v>
      </c>
      <c r="AF20" s="9">
        <v>80.235032959011704</v>
      </c>
      <c r="AG20" s="9">
        <v>80.235032959011704</v>
      </c>
      <c r="AH20" s="9">
        <v>80.792638667000602</v>
      </c>
      <c r="AI20" s="10" t="s">
        <v>63</v>
      </c>
      <c r="AJ20" s="9">
        <v>1</v>
      </c>
      <c r="AK20" s="9">
        <v>0.55627116600226201</v>
      </c>
      <c r="AL20" s="10" t="s">
        <v>51</v>
      </c>
      <c r="AM20" s="8"/>
      <c r="AN20" s="8"/>
      <c r="AO20" s="8"/>
      <c r="AP20" s="8"/>
      <c r="AQ20" s="9">
        <v>3</v>
      </c>
      <c r="AR20" s="9">
        <v>1</v>
      </c>
      <c r="AS20" s="10" t="s">
        <v>94</v>
      </c>
      <c r="AT20" s="10" t="s">
        <v>53</v>
      </c>
      <c r="AU20" s="8"/>
      <c r="AV20" s="10" t="s">
        <v>54</v>
      </c>
      <c r="AW20" s="10" t="s">
        <v>51</v>
      </c>
      <c r="AX20" s="10" t="s">
        <v>95</v>
      </c>
      <c r="AY20" s="8"/>
    </row>
    <row r="21" spans="1:51" x14ac:dyDescent="0.15">
      <c r="A21" s="11" t="s">
        <v>73</v>
      </c>
      <c r="B21" s="12" t="s">
        <v>61</v>
      </c>
      <c r="C21" s="10" t="s">
        <v>58</v>
      </c>
      <c r="D21" s="10" t="s">
        <v>59</v>
      </c>
      <c r="E21" s="9">
        <v>50</v>
      </c>
      <c r="F21" s="9">
        <v>50</v>
      </c>
      <c r="G21" s="9">
        <v>0</v>
      </c>
      <c r="H21" s="10" t="s">
        <v>59</v>
      </c>
      <c r="I21" s="9">
        <v>1</v>
      </c>
      <c r="J21" s="9">
        <v>0.55732095800340198</v>
      </c>
      <c r="K21" s="10" t="s">
        <v>51</v>
      </c>
      <c r="L21" s="9">
        <v>0</v>
      </c>
      <c r="M21" s="9">
        <v>50</v>
      </c>
      <c r="N21" s="9">
        <v>50</v>
      </c>
      <c r="O21" s="9">
        <v>14</v>
      </c>
      <c r="P21" s="9">
        <v>81.801118375005899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9">
        <v>81.792092375006206</v>
      </c>
      <c r="AD21" s="9">
        <v>81.801118375005899</v>
      </c>
      <c r="AE21" s="9">
        <v>82.284888125010198</v>
      </c>
      <c r="AF21" s="9">
        <v>82.284888125010198</v>
      </c>
      <c r="AG21" s="9">
        <v>82.284888125010198</v>
      </c>
      <c r="AH21" s="9">
        <v>82.853603125011404</v>
      </c>
      <c r="AI21" s="10" t="s">
        <v>59</v>
      </c>
      <c r="AJ21" s="9">
        <v>1</v>
      </c>
      <c r="AK21" s="9">
        <v>0.55732095800340198</v>
      </c>
      <c r="AL21" s="10" t="s">
        <v>51</v>
      </c>
      <c r="AM21" s="8"/>
      <c r="AN21" s="8"/>
      <c r="AO21" s="8"/>
      <c r="AP21" s="8"/>
      <c r="AQ21" s="9">
        <v>3</v>
      </c>
      <c r="AR21" s="9">
        <v>1</v>
      </c>
      <c r="AS21" s="10" t="s">
        <v>94</v>
      </c>
      <c r="AT21" s="10" t="s">
        <v>53</v>
      </c>
      <c r="AU21" s="8"/>
      <c r="AV21" s="10" t="s">
        <v>54</v>
      </c>
      <c r="AW21" s="10" t="s">
        <v>51</v>
      </c>
      <c r="AX21" s="10" t="s">
        <v>95</v>
      </c>
      <c r="AY21" s="8"/>
    </row>
    <row r="22" spans="1:51" x14ac:dyDescent="0.15">
      <c r="A22" s="11" t="s">
        <v>74</v>
      </c>
      <c r="B22" s="12" t="s">
        <v>61</v>
      </c>
      <c r="C22" s="10" t="s">
        <v>62</v>
      </c>
      <c r="D22" s="10" t="s">
        <v>63</v>
      </c>
      <c r="E22" s="9">
        <v>51</v>
      </c>
      <c r="F22" s="9">
        <v>51</v>
      </c>
      <c r="G22" s="9">
        <v>1</v>
      </c>
      <c r="H22" s="10" t="s">
        <v>63</v>
      </c>
      <c r="I22" s="9">
        <v>1</v>
      </c>
      <c r="J22" s="9">
        <v>0.34951245799311398</v>
      </c>
      <c r="K22" s="10" t="s">
        <v>51</v>
      </c>
      <c r="L22" s="9">
        <v>1</v>
      </c>
      <c r="M22" s="9">
        <v>51</v>
      </c>
      <c r="N22" s="9">
        <v>51</v>
      </c>
      <c r="O22" s="9">
        <v>1</v>
      </c>
      <c r="P22" s="9">
        <v>82.868565666998606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9">
        <v>82.859387917007595</v>
      </c>
      <c r="AD22" s="9">
        <v>82.868565666998606</v>
      </c>
      <c r="AE22" s="9">
        <v>83.351839584007394</v>
      </c>
      <c r="AF22" s="9">
        <v>83.351839584007394</v>
      </c>
      <c r="AG22" s="9">
        <v>83.351839584007394</v>
      </c>
      <c r="AH22" s="9">
        <v>83.703432834008694</v>
      </c>
      <c r="AI22" s="10" t="s">
        <v>63</v>
      </c>
      <c r="AJ22" s="9">
        <v>1</v>
      </c>
      <c r="AK22" s="9">
        <v>0.34951245799311398</v>
      </c>
      <c r="AL22" s="10" t="s">
        <v>51</v>
      </c>
      <c r="AM22" s="8"/>
      <c r="AN22" s="8"/>
      <c r="AO22" s="8"/>
      <c r="AP22" s="8"/>
      <c r="AQ22" s="9">
        <v>3</v>
      </c>
      <c r="AR22" s="9">
        <v>1</v>
      </c>
      <c r="AS22" s="10" t="s">
        <v>94</v>
      </c>
      <c r="AT22" s="10" t="s">
        <v>53</v>
      </c>
      <c r="AU22" s="8"/>
      <c r="AV22" s="10" t="s">
        <v>54</v>
      </c>
      <c r="AW22" s="10" t="s">
        <v>51</v>
      </c>
      <c r="AX22" s="10" t="s">
        <v>95</v>
      </c>
      <c r="AY22" s="8"/>
    </row>
    <row r="23" spans="1:51" x14ac:dyDescent="0.15">
      <c r="A23" s="11" t="s">
        <v>60</v>
      </c>
      <c r="B23" s="12" t="s">
        <v>61</v>
      </c>
      <c r="C23" s="10" t="s">
        <v>58</v>
      </c>
      <c r="D23" s="10" t="s">
        <v>59</v>
      </c>
      <c r="E23" s="9">
        <v>52</v>
      </c>
      <c r="F23" s="9">
        <v>52</v>
      </c>
      <c r="G23" s="9">
        <v>0</v>
      </c>
      <c r="H23" s="10" t="s">
        <v>59</v>
      </c>
      <c r="I23" s="9">
        <v>1</v>
      </c>
      <c r="J23" s="9">
        <v>0.719294041002286</v>
      </c>
      <c r="K23" s="10" t="s">
        <v>51</v>
      </c>
      <c r="L23" s="9">
        <v>0</v>
      </c>
      <c r="M23" s="9">
        <v>52</v>
      </c>
      <c r="N23" s="9">
        <v>52</v>
      </c>
      <c r="O23" s="9">
        <v>8</v>
      </c>
      <c r="P23" s="9">
        <v>83.716681083999006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9">
        <v>83.707730750000295</v>
      </c>
      <c r="AD23" s="9">
        <v>83.716681083999006</v>
      </c>
      <c r="AE23" s="9">
        <v>84.202028375002598</v>
      </c>
      <c r="AF23" s="9">
        <v>84.202028375002598</v>
      </c>
      <c r="AG23" s="9">
        <v>84.202028375002598</v>
      </c>
      <c r="AH23" s="9">
        <v>84.926081709010802</v>
      </c>
      <c r="AI23" s="10" t="s">
        <v>59</v>
      </c>
      <c r="AJ23" s="9">
        <v>1</v>
      </c>
      <c r="AK23" s="9">
        <v>0.719294041002286</v>
      </c>
      <c r="AL23" s="10" t="s">
        <v>51</v>
      </c>
      <c r="AM23" s="8"/>
      <c r="AN23" s="8"/>
      <c r="AO23" s="8"/>
      <c r="AP23" s="8"/>
      <c r="AQ23" s="9">
        <v>3</v>
      </c>
      <c r="AR23" s="9">
        <v>1</v>
      </c>
      <c r="AS23" s="10" t="s">
        <v>94</v>
      </c>
      <c r="AT23" s="10" t="s">
        <v>53</v>
      </c>
      <c r="AU23" s="8"/>
      <c r="AV23" s="10" t="s">
        <v>54</v>
      </c>
      <c r="AW23" s="10" t="s">
        <v>51</v>
      </c>
      <c r="AX23" s="10" t="s">
        <v>95</v>
      </c>
      <c r="AY23" s="8"/>
    </row>
    <row r="24" spans="1:51" x14ac:dyDescent="0.15">
      <c r="A24" s="11" t="s">
        <v>79</v>
      </c>
      <c r="B24" s="12" t="s">
        <v>61</v>
      </c>
      <c r="C24" s="10" t="s">
        <v>58</v>
      </c>
      <c r="D24" s="10" t="s">
        <v>59</v>
      </c>
      <c r="E24" s="9">
        <v>53</v>
      </c>
      <c r="F24" s="9">
        <v>53</v>
      </c>
      <c r="G24" s="9">
        <v>0</v>
      </c>
      <c r="H24" s="10" t="s">
        <v>63</v>
      </c>
      <c r="I24" s="9">
        <v>0</v>
      </c>
      <c r="J24" s="9">
        <v>0.40420533299038702</v>
      </c>
      <c r="K24" s="10" t="s">
        <v>51</v>
      </c>
      <c r="L24" s="9">
        <v>0</v>
      </c>
      <c r="M24" s="9">
        <v>53</v>
      </c>
      <c r="N24" s="9">
        <v>53</v>
      </c>
      <c r="O24" s="9">
        <v>6</v>
      </c>
      <c r="P24" s="9">
        <v>84.939792667006301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9">
        <v>84.929959792003501</v>
      </c>
      <c r="AD24" s="9">
        <v>84.939792667006301</v>
      </c>
      <c r="AE24" s="9">
        <v>85.427289042010699</v>
      </c>
      <c r="AF24" s="9">
        <v>85.427289042010699</v>
      </c>
      <c r="AG24" s="9">
        <v>85.427289042010699</v>
      </c>
      <c r="AH24" s="9">
        <v>85.836932000005604</v>
      </c>
      <c r="AI24" s="10" t="s">
        <v>63</v>
      </c>
      <c r="AJ24" s="9">
        <v>0</v>
      </c>
      <c r="AK24" s="9">
        <v>0.40420533299038702</v>
      </c>
      <c r="AL24" s="10" t="s">
        <v>51</v>
      </c>
      <c r="AM24" s="8"/>
      <c r="AN24" s="8"/>
      <c r="AO24" s="8"/>
      <c r="AP24" s="8"/>
      <c r="AQ24" s="9">
        <v>3</v>
      </c>
      <c r="AR24" s="9">
        <v>1</v>
      </c>
      <c r="AS24" s="10" t="s">
        <v>94</v>
      </c>
      <c r="AT24" s="10" t="s">
        <v>53</v>
      </c>
      <c r="AU24" s="8"/>
      <c r="AV24" s="10" t="s">
        <v>54</v>
      </c>
      <c r="AW24" s="10" t="s">
        <v>51</v>
      </c>
      <c r="AX24" s="10" t="s">
        <v>95</v>
      </c>
      <c r="AY24" s="8"/>
    </row>
    <row r="25" spans="1:51" x14ac:dyDescent="0.15">
      <c r="A25" s="11" t="s">
        <v>60</v>
      </c>
      <c r="B25" s="12" t="s">
        <v>61</v>
      </c>
      <c r="C25" s="10" t="s">
        <v>58</v>
      </c>
      <c r="D25" s="10" t="s">
        <v>59</v>
      </c>
      <c r="E25" s="9">
        <v>54</v>
      </c>
      <c r="F25" s="9">
        <v>54</v>
      </c>
      <c r="G25" s="9">
        <v>1</v>
      </c>
      <c r="H25" s="10" t="s">
        <v>59</v>
      </c>
      <c r="I25" s="9">
        <v>1</v>
      </c>
      <c r="J25" s="9">
        <v>1.20822887500981</v>
      </c>
      <c r="K25" s="10" t="s">
        <v>51</v>
      </c>
      <c r="L25" s="9">
        <v>1</v>
      </c>
      <c r="M25" s="9">
        <v>54</v>
      </c>
      <c r="N25" s="9">
        <v>54</v>
      </c>
      <c r="O25" s="9">
        <v>8</v>
      </c>
      <c r="P25" s="9">
        <v>85.850735416999697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9">
        <v>85.841570709002596</v>
      </c>
      <c r="AD25" s="9">
        <v>85.850735416999697</v>
      </c>
      <c r="AE25" s="9">
        <v>86.335109417006606</v>
      </c>
      <c r="AF25" s="9">
        <v>86.335109417006606</v>
      </c>
      <c r="AG25" s="9">
        <v>86.335109417006606</v>
      </c>
      <c r="AH25" s="9">
        <v>87.554062417009902</v>
      </c>
      <c r="AI25" s="10" t="s">
        <v>59</v>
      </c>
      <c r="AJ25" s="9">
        <v>1</v>
      </c>
      <c r="AK25" s="9">
        <v>1.20822887500981</v>
      </c>
      <c r="AL25" s="10" t="s">
        <v>51</v>
      </c>
      <c r="AM25" s="8"/>
      <c r="AN25" s="8"/>
      <c r="AO25" s="8"/>
      <c r="AP25" s="8"/>
      <c r="AQ25" s="9">
        <v>3</v>
      </c>
      <c r="AR25" s="9">
        <v>1</v>
      </c>
      <c r="AS25" s="10" t="s">
        <v>94</v>
      </c>
      <c r="AT25" s="10" t="s">
        <v>53</v>
      </c>
      <c r="AU25" s="8"/>
      <c r="AV25" s="10" t="s">
        <v>54</v>
      </c>
      <c r="AW25" s="10" t="s">
        <v>51</v>
      </c>
      <c r="AX25" s="10" t="s">
        <v>95</v>
      </c>
      <c r="AY25" s="8"/>
    </row>
    <row r="26" spans="1:51" x14ac:dyDescent="0.15">
      <c r="A26" s="11" t="s">
        <v>74</v>
      </c>
      <c r="B26" s="12" t="s">
        <v>61</v>
      </c>
      <c r="C26" s="10" t="s">
        <v>62</v>
      </c>
      <c r="D26" s="10" t="s">
        <v>63</v>
      </c>
      <c r="E26" s="9">
        <v>55</v>
      </c>
      <c r="F26" s="9">
        <v>55</v>
      </c>
      <c r="G26" s="9">
        <v>2</v>
      </c>
      <c r="H26" s="10" t="s">
        <v>63</v>
      </c>
      <c r="I26" s="9">
        <v>1</v>
      </c>
      <c r="J26" s="9">
        <v>1.0046383330045501</v>
      </c>
      <c r="K26" s="10" t="s">
        <v>51</v>
      </c>
      <c r="L26" s="9">
        <v>2</v>
      </c>
      <c r="M26" s="9">
        <v>55</v>
      </c>
      <c r="N26" s="9">
        <v>55</v>
      </c>
      <c r="O26" s="9">
        <v>1</v>
      </c>
      <c r="P26" s="9">
        <v>87.568423709002701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9">
        <v>87.559348624999998</v>
      </c>
      <c r="AD26" s="9">
        <v>87.568423709002701</v>
      </c>
      <c r="AE26" s="9">
        <v>88.051791208999902</v>
      </c>
      <c r="AF26" s="9">
        <v>88.051791208999902</v>
      </c>
      <c r="AG26" s="9">
        <v>88.051791208999902</v>
      </c>
      <c r="AH26" s="9">
        <v>89.059689000001498</v>
      </c>
      <c r="AI26" s="10" t="s">
        <v>63</v>
      </c>
      <c r="AJ26" s="9">
        <v>1</v>
      </c>
      <c r="AK26" s="9">
        <v>1.0046383330045501</v>
      </c>
      <c r="AL26" s="10" t="s">
        <v>51</v>
      </c>
      <c r="AM26" s="8"/>
      <c r="AN26" s="8"/>
      <c r="AO26" s="8"/>
      <c r="AP26" s="8"/>
      <c r="AQ26" s="9">
        <v>3</v>
      </c>
      <c r="AR26" s="9">
        <v>1</v>
      </c>
      <c r="AS26" s="10" t="s">
        <v>94</v>
      </c>
      <c r="AT26" s="10" t="s">
        <v>53</v>
      </c>
      <c r="AU26" s="8"/>
      <c r="AV26" s="10" t="s">
        <v>54</v>
      </c>
      <c r="AW26" s="10" t="s">
        <v>51</v>
      </c>
      <c r="AX26" s="10" t="s">
        <v>95</v>
      </c>
      <c r="AY26" s="8"/>
    </row>
    <row r="27" spans="1:51" x14ac:dyDescent="0.15">
      <c r="A27" s="11" t="s">
        <v>60</v>
      </c>
      <c r="B27" s="12" t="s">
        <v>61</v>
      </c>
      <c r="C27" s="10" t="s">
        <v>62</v>
      </c>
      <c r="D27" s="10" t="s">
        <v>63</v>
      </c>
      <c r="E27" s="9">
        <v>63</v>
      </c>
      <c r="F27" s="9">
        <v>63</v>
      </c>
      <c r="G27" s="9">
        <v>1</v>
      </c>
      <c r="H27" s="10" t="s">
        <v>63</v>
      </c>
      <c r="I27" s="9">
        <v>1</v>
      </c>
      <c r="J27" s="9">
        <v>0.81851416599238302</v>
      </c>
      <c r="K27" s="10" t="s">
        <v>51</v>
      </c>
      <c r="L27" s="9">
        <v>1</v>
      </c>
      <c r="M27" s="9">
        <v>63</v>
      </c>
      <c r="N27" s="9">
        <v>63</v>
      </c>
      <c r="O27" s="9">
        <v>9</v>
      </c>
      <c r="P27" s="9">
        <v>97.324192209009198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9">
        <v>97.314667334008902</v>
      </c>
      <c r="AD27" s="9">
        <v>97.324192209009198</v>
      </c>
      <c r="AE27" s="9">
        <v>97.811228125006906</v>
      </c>
      <c r="AF27" s="9">
        <v>97.811228125006906</v>
      </c>
      <c r="AG27" s="9">
        <v>97.811228125006906</v>
      </c>
      <c r="AH27" s="9">
        <v>98.637553542008405</v>
      </c>
      <c r="AI27" s="10" t="s">
        <v>63</v>
      </c>
      <c r="AJ27" s="9">
        <v>1</v>
      </c>
      <c r="AK27" s="9">
        <v>0.81851416599238302</v>
      </c>
      <c r="AL27" s="10" t="s">
        <v>51</v>
      </c>
      <c r="AM27" s="8"/>
      <c r="AN27" s="8"/>
      <c r="AO27" s="8"/>
      <c r="AP27" s="8"/>
      <c r="AQ27" s="9">
        <v>3</v>
      </c>
      <c r="AR27" s="9">
        <v>1</v>
      </c>
      <c r="AS27" s="10" t="s">
        <v>94</v>
      </c>
      <c r="AT27" s="10" t="s">
        <v>53</v>
      </c>
      <c r="AU27" s="8"/>
      <c r="AV27" s="10" t="s">
        <v>54</v>
      </c>
      <c r="AW27" s="10" t="s">
        <v>51</v>
      </c>
      <c r="AX27" s="10" t="s">
        <v>95</v>
      </c>
      <c r="AY27" s="8"/>
    </row>
    <row r="28" spans="1:51" x14ac:dyDescent="0.15">
      <c r="A28" s="11" t="s">
        <v>83</v>
      </c>
      <c r="B28" s="12" t="s">
        <v>61</v>
      </c>
      <c r="C28" s="10" t="s">
        <v>62</v>
      </c>
      <c r="D28" s="10" t="s">
        <v>63</v>
      </c>
      <c r="E28" s="9">
        <v>66</v>
      </c>
      <c r="F28" s="9">
        <v>66</v>
      </c>
      <c r="G28" s="9">
        <v>1</v>
      </c>
      <c r="H28" s="10" t="s">
        <v>63</v>
      </c>
      <c r="I28" s="9">
        <v>1</v>
      </c>
      <c r="J28" s="9">
        <v>0.678358290999313</v>
      </c>
      <c r="K28" s="10" t="s">
        <v>51</v>
      </c>
      <c r="L28" s="9">
        <v>1</v>
      </c>
      <c r="M28" s="9">
        <v>66</v>
      </c>
      <c r="N28" s="9">
        <v>66</v>
      </c>
      <c r="O28" s="9">
        <v>3</v>
      </c>
      <c r="P28" s="9">
        <v>100.77357462501099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9">
        <v>100.764434542012</v>
      </c>
      <c r="AD28" s="9">
        <v>100.77357462501099</v>
      </c>
      <c r="AE28" s="9">
        <v>101.261303459003</v>
      </c>
      <c r="AF28" s="9">
        <v>101.261303459003</v>
      </c>
      <c r="AG28" s="9">
        <v>101.261303459003</v>
      </c>
      <c r="AH28" s="9">
        <v>101.94365225000401</v>
      </c>
      <c r="AI28" s="10" t="s">
        <v>63</v>
      </c>
      <c r="AJ28" s="9">
        <v>1</v>
      </c>
      <c r="AK28" s="9">
        <v>0.678358290999313</v>
      </c>
      <c r="AL28" s="10" t="s">
        <v>51</v>
      </c>
      <c r="AM28" s="8"/>
      <c r="AN28" s="8"/>
      <c r="AO28" s="8"/>
      <c r="AP28" s="8"/>
      <c r="AQ28" s="9">
        <v>3</v>
      </c>
      <c r="AR28" s="9">
        <v>1</v>
      </c>
      <c r="AS28" s="10" t="s">
        <v>94</v>
      </c>
      <c r="AT28" s="10" t="s">
        <v>53</v>
      </c>
      <c r="AU28" s="8"/>
      <c r="AV28" s="10" t="s">
        <v>54</v>
      </c>
      <c r="AW28" s="10" t="s">
        <v>51</v>
      </c>
      <c r="AX28" s="10" t="s">
        <v>95</v>
      </c>
      <c r="AY28" s="8"/>
    </row>
    <row r="29" spans="1:51" x14ac:dyDescent="0.15">
      <c r="A29" s="11" t="s">
        <v>74</v>
      </c>
      <c r="B29" s="12" t="s">
        <v>61</v>
      </c>
      <c r="C29" s="10" t="s">
        <v>58</v>
      </c>
      <c r="D29" s="10" t="s">
        <v>59</v>
      </c>
      <c r="E29" s="9">
        <v>69</v>
      </c>
      <c r="F29" s="9">
        <v>69</v>
      </c>
      <c r="G29" s="9">
        <v>3</v>
      </c>
      <c r="H29" s="10" t="s">
        <v>59</v>
      </c>
      <c r="I29" s="9">
        <v>1</v>
      </c>
      <c r="J29" s="9">
        <v>0.44960033299867103</v>
      </c>
      <c r="K29" s="10" t="s">
        <v>51</v>
      </c>
      <c r="L29" s="9">
        <v>3</v>
      </c>
      <c r="M29" s="9">
        <v>69</v>
      </c>
      <c r="N29" s="9">
        <v>69</v>
      </c>
      <c r="O29" s="9">
        <v>0</v>
      </c>
      <c r="P29" s="9">
        <v>104.53400250000399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9">
        <v>104.52546258400299</v>
      </c>
      <c r="AD29" s="9">
        <v>104.53400250000399</v>
      </c>
      <c r="AE29" s="9">
        <v>105.01919879201201</v>
      </c>
      <c r="AF29" s="9">
        <v>105.01919879201201</v>
      </c>
      <c r="AG29" s="9">
        <v>105.01919879201201</v>
      </c>
      <c r="AH29" s="9">
        <v>105.47105579200399</v>
      </c>
      <c r="AI29" s="10" t="s">
        <v>59</v>
      </c>
      <c r="AJ29" s="9">
        <v>1</v>
      </c>
      <c r="AK29" s="9">
        <v>0.44960033299867103</v>
      </c>
      <c r="AL29" s="10" t="s">
        <v>51</v>
      </c>
      <c r="AM29" s="8"/>
      <c r="AN29" s="8"/>
      <c r="AO29" s="8"/>
      <c r="AP29" s="8"/>
      <c r="AQ29" s="9">
        <v>3</v>
      </c>
      <c r="AR29" s="9">
        <v>1</v>
      </c>
      <c r="AS29" s="10" t="s">
        <v>94</v>
      </c>
      <c r="AT29" s="10" t="s">
        <v>53</v>
      </c>
      <c r="AU29" s="8"/>
      <c r="AV29" s="10" t="s">
        <v>54</v>
      </c>
      <c r="AW29" s="10" t="s">
        <v>51</v>
      </c>
      <c r="AX29" s="10" t="s">
        <v>95</v>
      </c>
      <c r="AY29" s="8"/>
    </row>
    <row r="30" spans="1:51" x14ac:dyDescent="0.15">
      <c r="A30" s="11" t="s">
        <v>74</v>
      </c>
      <c r="B30" s="12" t="s">
        <v>61</v>
      </c>
      <c r="C30" s="10" t="s">
        <v>58</v>
      </c>
      <c r="D30" s="10" t="s">
        <v>59</v>
      </c>
      <c r="E30" s="9">
        <v>71</v>
      </c>
      <c r="F30" s="9">
        <v>71</v>
      </c>
      <c r="G30" s="9">
        <v>4</v>
      </c>
      <c r="H30" s="10" t="s">
        <v>59</v>
      </c>
      <c r="I30" s="9">
        <v>1</v>
      </c>
      <c r="J30" s="9">
        <v>3.6386192909994901</v>
      </c>
      <c r="K30" s="10" t="s">
        <v>51</v>
      </c>
      <c r="L30" s="9">
        <v>4</v>
      </c>
      <c r="M30" s="9">
        <v>71</v>
      </c>
      <c r="N30" s="9">
        <v>71</v>
      </c>
      <c r="O30" s="9">
        <v>0</v>
      </c>
      <c r="P30" s="9">
        <v>106.584745500004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9">
        <v>106.57563512500199</v>
      </c>
      <c r="AD30" s="9">
        <v>106.584745500004</v>
      </c>
      <c r="AE30" s="9">
        <v>107.06929570900699</v>
      </c>
      <c r="AF30" s="9">
        <v>107.06929570900699</v>
      </c>
      <c r="AG30" s="9">
        <v>107.06929570900699</v>
      </c>
      <c r="AH30" s="9">
        <v>110.710466834003</v>
      </c>
      <c r="AI30" s="10" t="s">
        <v>59</v>
      </c>
      <c r="AJ30" s="9">
        <v>1</v>
      </c>
      <c r="AK30" s="9">
        <v>3.6386192909994901</v>
      </c>
      <c r="AL30" s="10" t="s">
        <v>51</v>
      </c>
      <c r="AM30" s="8"/>
      <c r="AN30" s="8"/>
      <c r="AO30" s="8"/>
      <c r="AP30" s="8"/>
      <c r="AQ30" s="9">
        <v>3</v>
      </c>
      <c r="AR30" s="9">
        <v>1</v>
      </c>
      <c r="AS30" s="10" t="s">
        <v>94</v>
      </c>
      <c r="AT30" s="10" t="s">
        <v>53</v>
      </c>
      <c r="AU30" s="8"/>
      <c r="AV30" s="10" t="s">
        <v>54</v>
      </c>
      <c r="AW30" s="10" t="s">
        <v>51</v>
      </c>
      <c r="AX30" s="10" t="s">
        <v>95</v>
      </c>
      <c r="AY30" s="8"/>
    </row>
    <row r="31" spans="1:51" x14ac:dyDescent="0.15">
      <c r="A31" s="11" t="s">
        <v>70</v>
      </c>
      <c r="B31" s="12" t="s">
        <v>61</v>
      </c>
      <c r="C31" s="10" t="s">
        <v>62</v>
      </c>
      <c r="D31" s="10" t="s">
        <v>63</v>
      </c>
      <c r="E31" s="9">
        <v>74</v>
      </c>
      <c r="F31" s="9">
        <v>74</v>
      </c>
      <c r="G31" s="9">
        <v>1</v>
      </c>
      <c r="H31" s="10" t="s">
        <v>63</v>
      </c>
      <c r="I31" s="9">
        <v>1</v>
      </c>
      <c r="J31" s="9">
        <v>0.43108170799678203</v>
      </c>
      <c r="K31" s="10" t="s">
        <v>51</v>
      </c>
      <c r="L31" s="9">
        <v>1</v>
      </c>
      <c r="M31" s="9">
        <v>74</v>
      </c>
      <c r="N31" s="9">
        <v>74</v>
      </c>
      <c r="O31" s="9">
        <v>13</v>
      </c>
      <c r="P31" s="9">
        <v>113.152047292009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9">
        <v>113.142641792001</v>
      </c>
      <c r="AD31" s="9">
        <v>113.152047292009</v>
      </c>
      <c r="AE31" s="9">
        <v>113.636075125003</v>
      </c>
      <c r="AF31" s="9">
        <v>113.636075125003</v>
      </c>
      <c r="AG31" s="9">
        <v>113.636075125003</v>
      </c>
      <c r="AH31" s="9">
        <v>114.071354459011</v>
      </c>
      <c r="AI31" s="10" t="s">
        <v>63</v>
      </c>
      <c r="AJ31" s="9">
        <v>1</v>
      </c>
      <c r="AK31" s="9">
        <v>0.43108170799678203</v>
      </c>
      <c r="AL31" s="10" t="s">
        <v>51</v>
      </c>
      <c r="AM31" s="8"/>
      <c r="AN31" s="8"/>
      <c r="AO31" s="8"/>
      <c r="AP31" s="8"/>
      <c r="AQ31" s="9">
        <v>3</v>
      </c>
      <c r="AR31" s="9">
        <v>1</v>
      </c>
      <c r="AS31" s="10" t="s">
        <v>94</v>
      </c>
      <c r="AT31" s="10" t="s">
        <v>53</v>
      </c>
      <c r="AU31" s="8"/>
      <c r="AV31" s="10" t="s">
        <v>54</v>
      </c>
      <c r="AW31" s="10" t="s">
        <v>51</v>
      </c>
      <c r="AX31" s="10" t="s">
        <v>95</v>
      </c>
      <c r="AY31" s="8"/>
    </row>
    <row r="32" spans="1:51" x14ac:dyDescent="0.15">
      <c r="A32" s="11" t="s">
        <v>74</v>
      </c>
      <c r="B32" s="12" t="s">
        <v>61</v>
      </c>
      <c r="C32" s="10" t="s">
        <v>62</v>
      </c>
      <c r="D32" s="10" t="s">
        <v>63</v>
      </c>
      <c r="E32" s="9">
        <v>76</v>
      </c>
      <c r="F32" s="9">
        <v>76</v>
      </c>
      <c r="G32" s="9">
        <v>3</v>
      </c>
      <c r="H32" s="10" t="s">
        <v>63</v>
      </c>
      <c r="I32" s="9">
        <v>1</v>
      </c>
      <c r="J32" s="9">
        <v>0.54199574999802302</v>
      </c>
      <c r="K32" s="10" t="s">
        <v>51</v>
      </c>
      <c r="L32" s="9">
        <v>3</v>
      </c>
      <c r="M32" s="9">
        <v>76</v>
      </c>
      <c r="N32" s="9">
        <v>76</v>
      </c>
      <c r="O32" s="9">
        <v>1</v>
      </c>
      <c r="P32" s="9">
        <v>115.59115891699901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9">
        <v>115.581493875012</v>
      </c>
      <c r="AD32" s="9">
        <v>115.59115891699901</v>
      </c>
      <c r="AE32" s="9">
        <v>116.078907042</v>
      </c>
      <c r="AF32" s="9">
        <v>116.078907042</v>
      </c>
      <c r="AG32" s="9">
        <v>116.078907042</v>
      </c>
      <c r="AH32" s="9">
        <v>116.627428750013</v>
      </c>
      <c r="AI32" s="10" t="s">
        <v>63</v>
      </c>
      <c r="AJ32" s="9">
        <v>1</v>
      </c>
      <c r="AK32" s="9">
        <v>0.54199574999802302</v>
      </c>
      <c r="AL32" s="10" t="s">
        <v>51</v>
      </c>
      <c r="AM32" s="8"/>
      <c r="AN32" s="8"/>
      <c r="AO32" s="8"/>
      <c r="AP32" s="8"/>
      <c r="AQ32" s="9">
        <v>3</v>
      </c>
      <c r="AR32" s="9">
        <v>1</v>
      </c>
      <c r="AS32" s="10" t="s">
        <v>94</v>
      </c>
      <c r="AT32" s="10" t="s">
        <v>53</v>
      </c>
      <c r="AU32" s="8"/>
      <c r="AV32" s="10" t="s">
        <v>54</v>
      </c>
      <c r="AW32" s="10" t="s">
        <v>51</v>
      </c>
      <c r="AX32" s="10" t="s">
        <v>95</v>
      </c>
      <c r="AY32" s="8"/>
    </row>
    <row r="33" spans="1:51" x14ac:dyDescent="0.15">
      <c r="A33" s="11" t="s">
        <v>64</v>
      </c>
      <c r="B33" s="12" t="s">
        <v>61</v>
      </c>
      <c r="C33" s="10" t="s">
        <v>58</v>
      </c>
      <c r="D33" s="10" t="s">
        <v>59</v>
      </c>
      <c r="E33" s="9">
        <v>83</v>
      </c>
      <c r="F33" s="9">
        <v>83</v>
      </c>
      <c r="G33" s="9">
        <v>1</v>
      </c>
      <c r="H33" s="10" t="s">
        <v>59</v>
      </c>
      <c r="I33" s="9">
        <v>1</v>
      </c>
      <c r="J33" s="9">
        <v>0.37549270800082002</v>
      </c>
      <c r="K33" s="10" t="s">
        <v>51</v>
      </c>
      <c r="L33" s="9">
        <v>1</v>
      </c>
      <c r="M33" s="9">
        <v>83</v>
      </c>
      <c r="N33" s="9">
        <v>83</v>
      </c>
      <c r="O33" s="9">
        <v>4</v>
      </c>
      <c r="P33" s="9">
        <v>122.953074584002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9">
        <v>122.943842167006</v>
      </c>
      <c r="AD33" s="9">
        <v>122.953074584002</v>
      </c>
      <c r="AE33" s="9">
        <v>123.43663858401101</v>
      </c>
      <c r="AF33" s="9">
        <v>123.43663858401101</v>
      </c>
      <c r="AG33" s="9">
        <v>123.43663858401101</v>
      </c>
      <c r="AH33" s="9">
        <v>123.821948042008</v>
      </c>
      <c r="AI33" s="10" t="s">
        <v>59</v>
      </c>
      <c r="AJ33" s="9">
        <v>1</v>
      </c>
      <c r="AK33" s="9">
        <v>0.37549270800082002</v>
      </c>
      <c r="AL33" s="10" t="s">
        <v>51</v>
      </c>
      <c r="AM33" s="8"/>
      <c r="AN33" s="8"/>
      <c r="AO33" s="8"/>
      <c r="AP33" s="8"/>
      <c r="AQ33" s="9">
        <v>3</v>
      </c>
      <c r="AR33" s="9">
        <v>1</v>
      </c>
      <c r="AS33" s="10" t="s">
        <v>94</v>
      </c>
      <c r="AT33" s="10" t="s">
        <v>53</v>
      </c>
      <c r="AU33" s="8"/>
      <c r="AV33" s="10" t="s">
        <v>54</v>
      </c>
      <c r="AW33" s="10" t="s">
        <v>51</v>
      </c>
      <c r="AX33" s="10" t="s">
        <v>95</v>
      </c>
      <c r="AY33" s="8"/>
    </row>
    <row r="34" spans="1:51" x14ac:dyDescent="0.15">
      <c r="A34" s="11" t="s">
        <v>60</v>
      </c>
      <c r="B34" s="12" t="s">
        <v>61</v>
      </c>
      <c r="C34" s="10" t="s">
        <v>58</v>
      </c>
      <c r="D34" s="10" t="s">
        <v>59</v>
      </c>
      <c r="E34" s="9">
        <v>91</v>
      </c>
      <c r="F34" s="9">
        <v>91</v>
      </c>
      <c r="G34" s="9">
        <v>2</v>
      </c>
      <c r="H34" s="10" t="s">
        <v>59</v>
      </c>
      <c r="I34" s="9">
        <v>1</v>
      </c>
      <c r="J34" s="9">
        <v>0.76234487500914805</v>
      </c>
      <c r="K34" s="10" t="s">
        <v>51</v>
      </c>
      <c r="L34" s="9">
        <v>2</v>
      </c>
      <c r="M34" s="9">
        <v>91</v>
      </c>
      <c r="N34" s="9">
        <v>91</v>
      </c>
      <c r="O34" s="9">
        <v>8</v>
      </c>
      <c r="P34" s="9">
        <v>130.408706625007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9">
        <v>130.397381709001</v>
      </c>
      <c r="AD34" s="9">
        <v>130.408706625007</v>
      </c>
      <c r="AE34" s="9">
        <v>130.89592512500499</v>
      </c>
      <c r="AF34" s="9">
        <v>130.89592512500499</v>
      </c>
      <c r="AG34" s="9">
        <v>130.89592512500499</v>
      </c>
      <c r="AH34" s="9">
        <v>131.661576709012</v>
      </c>
      <c r="AI34" s="10" t="s">
        <v>59</v>
      </c>
      <c r="AJ34" s="9">
        <v>1</v>
      </c>
      <c r="AK34" s="9">
        <v>0.76234487500914805</v>
      </c>
      <c r="AL34" s="10" t="s">
        <v>51</v>
      </c>
      <c r="AM34" s="8"/>
      <c r="AN34" s="8"/>
      <c r="AO34" s="8"/>
      <c r="AP34" s="8"/>
      <c r="AQ34" s="9">
        <v>3</v>
      </c>
      <c r="AR34" s="9">
        <v>1</v>
      </c>
      <c r="AS34" s="10" t="s">
        <v>94</v>
      </c>
      <c r="AT34" s="10" t="s">
        <v>53</v>
      </c>
      <c r="AU34" s="8"/>
      <c r="AV34" s="10" t="s">
        <v>54</v>
      </c>
      <c r="AW34" s="10" t="s">
        <v>51</v>
      </c>
      <c r="AX34" s="10" t="s">
        <v>95</v>
      </c>
      <c r="AY34" s="8"/>
    </row>
    <row r="35" spans="1:51" x14ac:dyDescent="0.15">
      <c r="A35" s="11" t="s">
        <v>60</v>
      </c>
      <c r="B35" s="12" t="s">
        <v>61</v>
      </c>
      <c r="C35" s="10" t="s">
        <v>58</v>
      </c>
      <c r="D35" s="10" t="s">
        <v>59</v>
      </c>
      <c r="E35" s="9">
        <v>94</v>
      </c>
      <c r="F35" s="9">
        <v>94</v>
      </c>
      <c r="G35" s="9">
        <v>3</v>
      </c>
      <c r="H35" s="10" t="s">
        <v>59</v>
      </c>
      <c r="I35" s="9">
        <v>1</v>
      </c>
      <c r="J35" s="9">
        <v>1.9228610829886701</v>
      </c>
      <c r="K35" s="10" t="s">
        <v>51</v>
      </c>
      <c r="L35" s="9">
        <v>3</v>
      </c>
      <c r="M35" s="9">
        <v>94</v>
      </c>
      <c r="N35" s="9">
        <v>94</v>
      </c>
      <c r="O35" s="9">
        <v>8</v>
      </c>
      <c r="P35" s="9">
        <v>133.52504245900499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9">
        <v>133.515442709002</v>
      </c>
      <c r="AD35" s="9">
        <v>133.52504245900499</v>
      </c>
      <c r="AE35" s="9">
        <v>134.01266012500901</v>
      </c>
      <c r="AF35" s="9">
        <v>134.01266012500901</v>
      </c>
      <c r="AG35" s="9">
        <v>134.01266012500901</v>
      </c>
      <c r="AH35" s="9">
        <v>135.93896383400701</v>
      </c>
      <c r="AI35" s="10" t="s">
        <v>59</v>
      </c>
      <c r="AJ35" s="9">
        <v>1</v>
      </c>
      <c r="AK35" s="9">
        <v>1.9228610829886701</v>
      </c>
      <c r="AL35" s="10" t="s">
        <v>51</v>
      </c>
      <c r="AM35" s="8"/>
      <c r="AN35" s="8"/>
      <c r="AO35" s="8"/>
      <c r="AP35" s="8"/>
      <c r="AQ35" s="9">
        <v>3</v>
      </c>
      <c r="AR35" s="9">
        <v>1</v>
      </c>
      <c r="AS35" s="10" t="s">
        <v>94</v>
      </c>
      <c r="AT35" s="10" t="s">
        <v>53</v>
      </c>
      <c r="AU35" s="8"/>
      <c r="AV35" s="10" t="s">
        <v>54</v>
      </c>
      <c r="AW35" s="10" t="s">
        <v>51</v>
      </c>
      <c r="AX35" s="10" t="s">
        <v>95</v>
      </c>
      <c r="AY35" s="8"/>
    </row>
    <row r="36" spans="1:51" x14ac:dyDescent="0.15">
      <c r="A36" s="11" t="s">
        <v>70</v>
      </c>
      <c r="B36" s="12" t="s">
        <v>61</v>
      </c>
      <c r="C36" s="10" t="s">
        <v>62</v>
      </c>
      <c r="D36" s="10" t="s">
        <v>63</v>
      </c>
      <c r="E36" s="9">
        <v>96</v>
      </c>
      <c r="F36" s="9">
        <v>96</v>
      </c>
      <c r="G36" s="9">
        <v>2</v>
      </c>
      <c r="H36" s="10" t="s">
        <v>63</v>
      </c>
      <c r="I36" s="9">
        <v>1</v>
      </c>
      <c r="J36" s="9">
        <v>0.85462095800903604</v>
      </c>
      <c r="K36" s="10" t="s">
        <v>51</v>
      </c>
      <c r="L36" s="9">
        <v>2</v>
      </c>
      <c r="M36" s="9">
        <v>96</v>
      </c>
      <c r="N36" s="9">
        <v>96</v>
      </c>
      <c r="O36" s="9">
        <v>13</v>
      </c>
      <c r="P36" s="9">
        <v>137.09250679200301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9">
        <v>137.082879375012</v>
      </c>
      <c r="AD36" s="9">
        <v>137.09250679200301</v>
      </c>
      <c r="AE36" s="9">
        <v>137.58003391700899</v>
      </c>
      <c r="AF36" s="9">
        <v>137.58003391700899</v>
      </c>
      <c r="AG36" s="9">
        <v>137.58003391700899</v>
      </c>
      <c r="AH36" s="9">
        <v>138.43885499999999</v>
      </c>
      <c r="AI36" s="10" t="s">
        <v>63</v>
      </c>
      <c r="AJ36" s="9">
        <v>1</v>
      </c>
      <c r="AK36" s="9">
        <v>0.85462095800903604</v>
      </c>
      <c r="AL36" s="10" t="s">
        <v>51</v>
      </c>
      <c r="AM36" s="8"/>
      <c r="AN36" s="8"/>
      <c r="AO36" s="8"/>
      <c r="AP36" s="8"/>
      <c r="AQ36" s="9">
        <v>3</v>
      </c>
      <c r="AR36" s="9">
        <v>1</v>
      </c>
      <c r="AS36" s="10" t="s">
        <v>94</v>
      </c>
      <c r="AT36" s="10" t="s">
        <v>53</v>
      </c>
      <c r="AU36" s="8"/>
      <c r="AV36" s="10" t="s">
        <v>54</v>
      </c>
      <c r="AW36" s="10" t="s">
        <v>51</v>
      </c>
      <c r="AX36" s="10" t="s">
        <v>95</v>
      </c>
      <c r="AY36" s="8"/>
    </row>
    <row r="37" spans="1:51" x14ac:dyDescent="0.15">
      <c r="A37" s="11" t="s">
        <v>79</v>
      </c>
      <c r="B37" s="12" t="s">
        <v>61</v>
      </c>
      <c r="C37" s="10" t="s">
        <v>58</v>
      </c>
      <c r="D37" s="10" t="s">
        <v>59</v>
      </c>
      <c r="E37" s="9">
        <v>97</v>
      </c>
      <c r="F37" s="9">
        <v>97</v>
      </c>
      <c r="G37" s="9">
        <v>1</v>
      </c>
      <c r="H37" s="10" t="s">
        <v>59</v>
      </c>
      <c r="I37" s="9">
        <v>1</v>
      </c>
      <c r="J37" s="9">
        <v>0.53165612500742998</v>
      </c>
      <c r="K37" s="10" t="s">
        <v>51</v>
      </c>
      <c r="L37" s="9">
        <v>1</v>
      </c>
      <c r="M37" s="9">
        <v>97</v>
      </c>
      <c r="N37" s="9">
        <v>97</v>
      </c>
      <c r="O37" s="9">
        <v>6</v>
      </c>
      <c r="P37" s="9">
        <v>138.452517209007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9">
        <v>138.44358125000099</v>
      </c>
      <c r="AD37" s="9">
        <v>138.452517209007</v>
      </c>
      <c r="AE37" s="9">
        <v>138.93686562500099</v>
      </c>
      <c r="AF37" s="9">
        <v>138.93686562500099</v>
      </c>
      <c r="AG37" s="9">
        <v>138.93686562500099</v>
      </c>
      <c r="AH37" s="9">
        <v>139.47218187501099</v>
      </c>
      <c r="AI37" s="10" t="s">
        <v>59</v>
      </c>
      <c r="AJ37" s="9">
        <v>1</v>
      </c>
      <c r="AK37" s="9">
        <v>0.53165612500742998</v>
      </c>
      <c r="AL37" s="10" t="s">
        <v>51</v>
      </c>
      <c r="AM37" s="8"/>
      <c r="AN37" s="8"/>
      <c r="AO37" s="8"/>
      <c r="AP37" s="8"/>
      <c r="AQ37" s="9">
        <v>3</v>
      </c>
      <c r="AR37" s="9">
        <v>1</v>
      </c>
      <c r="AS37" s="10" t="s">
        <v>94</v>
      </c>
      <c r="AT37" s="10" t="s">
        <v>53</v>
      </c>
      <c r="AU37" s="8"/>
      <c r="AV37" s="10" t="s">
        <v>54</v>
      </c>
      <c r="AW37" s="10" t="s">
        <v>51</v>
      </c>
      <c r="AX37" s="10" t="s">
        <v>95</v>
      </c>
      <c r="AY37" s="8"/>
    </row>
    <row r="38" spans="1:51" x14ac:dyDescent="0.15">
      <c r="A38" s="11" t="s">
        <v>64</v>
      </c>
      <c r="B38" s="12" t="s">
        <v>61</v>
      </c>
      <c r="C38" s="10" t="s">
        <v>62</v>
      </c>
      <c r="D38" s="10" t="s">
        <v>63</v>
      </c>
      <c r="E38" s="9">
        <v>100</v>
      </c>
      <c r="F38" s="9">
        <v>100</v>
      </c>
      <c r="G38" s="9">
        <v>1</v>
      </c>
      <c r="H38" s="10" t="s">
        <v>63</v>
      </c>
      <c r="I38" s="9">
        <v>1</v>
      </c>
      <c r="J38" s="9">
        <v>0.80329670800710995</v>
      </c>
      <c r="K38" s="10" t="s">
        <v>51</v>
      </c>
      <c r="L38" s="9">
        <v>1</v>
      </c>
      <c r="M38" s="9">
        <v>100</v>
      </c>
      <c r="N38" s="9">
        <v>100</v>
      </c>
      <c r="O38" s="9">
        <v>5</v>
      </c>
      <c r="P38" s="9">
        <v>141.41889520900401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9">
        <v>141.40963912500601</v>
      </c>
      <c r="AD38" s="9">
        <v>141.41889520900401</v>
      </c>
      <c r="AE38" s="9">
        <v>141.904125042012</v>
      </c>
      <c r="AF38" s="9">
        <v>141.904125042012</v>
      </c>
      <c r="AG38" s="9">
        <v>141.904125042012</v>
      </c>
      <c r="AH38" s="9">
        <v>142.71176966700301</v>
      </c>
      <c r="AI38" s="10" t="s">
        <v>63</v>
      </c>
      <c r="AJ38" s="9">
        <v>1</v>
      </c>
      <c r="AK38" s="9">
        <v>0.80329670800710995</v>
      </c>
      <c r="AL38" s="10" t="s">
        <v>51</v>
      </c>
      <c r="AM38" s="8"/>
      <c r="AN38" s="8"/>
      <c r="AO38" s="8"/>
      <c r="AP38" s="8"/>
      <c r="AQ38" s="9">
        <v>3</v>
      </c>
      <c r="AR38" s="9">
        <v>1</v>
      </c>
      <c r="AS38" s="10" t="s">
        <v>94</v>
      </c>
      <c r="AT38" s="10" t="s">
        <v>53</v>
      </c>
      <c r="AU38" s="8"/>
      <c r="AV38" s="10" t="s">
        <v>54</v>
      </c>
      <c r="AW38" s="10" t="s">
        <v>51</v>
      </c>
      <c r="AX38" s="10" t="s">
        <v>95</v>
      </c>
      <c r="AY38" s="8"/>
    </row>
    <row r="39" spans="1:51" x14ac:dyDescent="0.15">
      <c r="A39" s="11" t="s">
        <v>73</v>
      </c>
      <c r="B39" s="12" t="s">
        <v>61</v>
      </c>
      <c r="C39" s="10" t="s">
        <v>62</v>
      </c>
      <c r="D39" s="10" t="s">
        <v>63</v>
      </c>
      <c r="E39" s="9">
        <v>101</v>
      </c>
      <c r="F39" s="9">
        <v>101</v>
      </c>
      <c r="G39" s="9">
        <v>1</v>
      </c>
      <c r="H39" s="10" t="s">
        <v>63</v>
      </c>
      <c r="I39" s="9">
        <v>1</v>
      </c>
      <c r="J39" s="9">
        <v>0.67737124999985099</v>
      </c>
      <c r="K39" s="10" t="s">
        <v>51</v>
      </c>
      <c r="L39" s="9">
        <v>1</v>
      </c>
      <c r="M39" s="9">
        <v>101</v>
      </c>
      <c r="N39" s="9">
        <v>101</v>
      </c>
      <c r="O39" s="9">
        <v>15</v>
      </c>
      <c r="P39" s="9">
        <v>142.725274791999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9">
        <v>142.716790000006</v>
      </c>
      <c r="AD39" s="9">
        <v>142.725274791999</v>
      </c>
      <c r="AE39" s="9">
        <v>143.21413112500201</v>
      </c>
      <c r="AF39" s="9">
        <v>143.21413112500201</v>
      </c>
      <c r="AG39" s="9">
        <v>143.21413112500201</v>
      </c>
      <c r="AH39" s="9">
        <v>143.895101041999</v>
      </c>
      <c r="AI39" s="10" t="s">
        <v>63</v>
      </c>
      <c r="AJ39" s="9">
        <v>1</v>
      </c>
      <c r="AK39" s="9">
        <v>0.67737124999985099</v>
      </c>
      <c r="AL39" s="10" t="s">
        <v>51</v>
      </c>
      <c r="AM39" s="8"/>
      <c r="AN39" s="8"/>
      <c r="AO39" s="8"/>
      <c r="AP39" s="8"/>
      <c r="AQ39" s="9">
        <v>3</v>
      </c>
      <c r="AR39" s="9">
        <v>1</v>
      </c>
      <c r="AS39" s="10" t="s">
        <v>94</v>
      </c>
      <c r="AT39" s="10" t="s">
        <v>53</v>
      </c>
      <c r="AU39" s="8"/>
      <c r="AV39" s="10" t="s">
        <v>54</v>
      </c>
      <c r="AW39" s="10" t="s">
        <v>51</v>
      </c>
      <c r="AX39" s="10" t="s">
        <v>95</v>
      </c>
      <c r="AY39" s="8"/>
    </row>
    <row r="40" spans="1:51" x14ac:dyDescent="0.15">
      <c r="A40" s="11" t="s">
        <v>85</v>
      </c>
      <c r="B40" s="12" t="s">
        <v>61</v>
      </c>
      <c r="C40" s="10" t="s">
        <v>62</v>
      </c>
      <c r="D40" s="10" t="s">
        <v>63</v>
      </c>
      <c r="E40" s="9">
        <v>104</v>
      </c>
      <c r="F40" s="9">
        <v>104</v>
      </c>
      <c r="G40" s="9">
        <v>2</v>
      </c>
      <c r="H40" s="10" t="s">
        <v>63</v>
      </c>
      <c r="I40" s="9">
        <v>1</v>
      </c>
      <c r="J40" s="9">
        <v>0.42359129099350001</v>
      </c>
      <c r="K40" s="10" t="s">
        <v>51</v>
      </c>
      <c r="L40" s="9">
        <v>2</v>
      </c>
      <c r="M40" s="9">
        <v>104</v>
      </c>
      <c r="N40" s="9">
        <v>104</v>
      </c>
      <c r="O40" s="9">
        <v>11</v>
      </c>
      <c r="P40" s="9">
        <v>146.270112500002</v>
      </c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9">
        <v>146.26101379201299</v>
      </c>
      <c r="AD40" s="9">
        <v>146.270112500002</v>
      </c>
      <c r="AE40" s="9">
        <v>146.75402200000801</v>
      </c>
      <c r="AF40" s="9">
        <v>146.75402200000801</v>
      </c>
      <c r="AG40" s="9">
        <v>146.75402200000801</v>
      </c>
      <c r="AH40" s="9">
        <v>147.18931875000999</v>
      </c>
      <c r="AI40" s="10" t="s">
        <v>63</v>
      </c>
      <c r="AJ40" s="9">
        <v>1</v>
      </c>
      <c r="AK40" s="9">
        <v>0.42359129099350001</v>
      </c>
      <c r="AL40" s="10" t="s">
        <v>51</v>
      </c>
      <c r="AM40" s="8"/>
      <c r="AN40" s="8"/>
      <c r="AO40" s="8"/>
      <c r="AP40" s="8"/>
      <c r="AQ40" s="9">
        <v>3</v>
      </c>
      <c r="AR40" s="9">
        <v>1</v>
      </c>
      <c r="AS40" s="10" t="s">
        <v>94</v>
      </c>
      <c r="AT40" s="10" t="s">
        <v>53</v>
      </c>
      <c r="AU40" s="8"/>
      <c r="AV40" s="10" t="s">
        <v>54</v>
      </c>
      <c r="AW40" s="10" t="s">
        <v>51</v>
      </c>
      <c r="AX40" s="10" t="s">
        <v>95</v>
      </c>
      <c r="AY40" s="8"/>
    </row>
    <row r="41" spans="1:51" x14ac:dyDescent="0.15">
      <c r="A41" s="11" t="s">
        <v>73</v>
      </c>
      <c r="B41" s="12" t="s">
        <v>61</v>
      </c>
      <c r="C41" s="10" t="s">
        <v>62</v>
      </c>
      <c r="D41" s="10" t="s">
        <v>63</v>
      </c>
      <c r="E41" s="9">
        <v>107</v>
      </c>
      <c r="F41" s="9">
        <v>107</v>
      </c>
      <c r="G41" s="9">
        <v>2</v>
      </c>
      <c r="H41" s="10" t="s">
        <v>63</v>
      </c>
      <c r="I41" s="9">
        <v>1</v>
      </c>
      <c r="J41" s="9">
        <v>0.86421616701409198</v>
      </c>
      <c r="K41" s="10" t="s">
        <v>51</v>
      </c>
      <c r="L41" s="9">
        <v>2</v>
      </c>
      <c r="M41" s="9">
        <v>107</v>
      </c>
      <c r="N41" s="9">
        <v>107</v>
      </c>
      <c r="O41" s="9">
        <v>15</v>
      </c>
      <c r="P41" s="9">
        <v>149.243615584011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9">
        <v>149.23482054201301</v>
      </c>
      <c r="AD41" s="9">
        <v>149.243615584011</v>
      </c>
      <c r="AE41" s="9">
        <v>149.729490666999</v>
      </c>
      <c r="AF41" s="9">
        <v>149.729490666999</v>
      </c>
      <c r="AG41" s="9">
        <v>149.729490666999</v>
      </c>
      <c r="AH41" s="9">
        <v>150.595075334</v>
      </c>
      <c r="AI41" s="10" t="s">
        <v>63</v>
      </c>
      <c r="AJ41" s="9">
        <v>1</v>
      </c>
      <c r="AK41" s="9">
        <v>0.86421616701409198</v>
      </c>
      <c r="AL41" s="10" t="s">
        <v>51</v>
      </c>
      <c r="AM41" s="8"/>
      <c r="AN41" s="8"/>
      <c r="AO41" s="8"/>
      <c r="AP41" s="8"/>
      <c r="AQ41" s="9">
        <v>3</v>
      </c>
      <c r="AR41" s="9">
        <v>1</v>
      </c>
      <c r="AS41" s="10" t="s">
        <v>94</v>
      </c>
      <c r="AT41" s="10" t="s">
        <v>53</v>
      </c>
      <c r="AU41" s="8"/>
      <c r="AV41" s="10" t="s">
        <v>54</v>
      </c>
      <c r="AW41" s="10" t="s">
        <v>51</v>
      </c>
      <c r="AX41" s="10" t="s">
        <v>95</v>
      </c>
      <c r="AY41" s="8"/>
    </row>
    <row r="42" spans="1:51" x14ac:dyDescent="0.15">
      <c r="A42" s="11" t="s">
        <v>70</v>
      </c>
      <c r="B42" s="12" t="s">
        <v>61</v>
      </c>
      <c r="C42" s="10" t="s">
        <v>62</v>
      </c>
      <c r="D42" s="10" t="s">
        <v>63</v>
      </c>
      <c r="E42" s="9">
        <v>108</v>
      </c>
      <c r="F42" s="9">
        <v>108</v>
      </c>
      <c r="G42" s="9">
        <v>3</v>
      </c>
      <c r="H42" s="10" t="s">
        <v>63</v>
      </c>
      <c r="I42" s="9">
        <v>1</v>
      </c>
      <c r="J42" s="9">
        <v>0.46011649999127302</v>
      </c>
      <c r="K42" s="10" t="s">
        <v>51</v>
      </c>
      <c r="L42" s="9">
        <v>3</v>
      </c>
      <c r="M42" s="9">
        <v>108</v>
      </c>
      <c r="N42" s="9">
        <v>108</v>
      </c>
      <c r="O42" s="9">
        <v>13</v>
      </c>
      <c r="P42" s="9">
        <v>150.60957712501099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9">
        <v>150.60003741701101</v>
      </c>
      <c r="AD42" s="9">
        <v>150.60957712501099</v>
      </c>
      <c r="AE42" s="9">
        <v>151.09551275000601</v>
      </c>
      <c r="AF42" s="9">
        <v>151.09551275000601</v>
      </c>
      <c r="AG42" s="9">
        <v>151.09551275000601</v>
      </c>
      <c r="AH42" s="9">
        <v>151.56218420900399</v>
      </c>
      <c r="AI42" s="10" t="s">
        <v>63</v>
      </c>
      <c r="AJ42" s="9">
        <v>1</v>
      </c>
      <c r="AK42" s="9">
        <v>0.46011649999127302</v>
      </c>
      <c r="AL42" s="10" t="s">
        <v>51</v>
      </c>
      <c r="AM42" s="8"/>
      <c r="AN42" s="8"/>
      <c r="AO42" s="8"/>
      <c r="AP42" s="8"/>
      <c r="AQ42" s="9">
        <v>3</v>
      </c>
      <c r="AR42" s="9">
        <v>1</v>
      </c>
      <c r="AS42" s="10" t="s">
        <v>94</v>
      </c>
      <c r="AT42" s="10" t="s">
        <v>53</v>
      </c>
      <c r="AU42" s="8"/>
      <c r="AV42" s="10" t="s">
        <v>54</v>
      </c>
      <c r="AW42" s="10" t="s">
        <v>51</v>
      </c>
      <c r="AX42" s="10" t="s">
        <v>95</v>
      </c>
      <c r="AY42" s="8"/>
    </row>
    <row r="43" spans="1:51" x14ac:dyDescent="0.15">
      <c r="A43" s="11" t="s">
        <v>60</v>
      </c>
      <c r="B43" s="12" t="s">
        <v>61</v>
      </c>
      <c r="C43" s="10" t="s">
        <v>62</v>
      </c>
      <c r="D43" s="10" t="s">
        <v>63</v>
      </c>
      <c r="E43" s="9">
        <v>109</v>
      </c>
      <c r="F43" s="9">
        <v>109</v>
      </c>
      <c r="G43" s="9">
        <v>2</v>
      </c>
      <c r="H43" s="10" t="s">
        <v>63</v>
      </c>
      <c r="I43" s="9">
        <v>1</v>
      </c>
      <c r="J43" s="9">
        <v>0.38490312399517301</v>
      </c>
      <c r="K43" s="10" t="s">
        <v>51</v>
      </c>
      <c r="L43" s="9">
        <v>2</v>
      </c>
      <c r="M43" s="9">
        <v>109</v>
      </c>
      <c r="N43" s="9">
        <v>109</v>
      </c>
      <c r="O43" s="9">
        <v>9</v>
      </c>
      <c r="P43" s="9">
        <v>151.57604891700601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9">
        <v>151.56613987500899</v>
      </c>
      <c r="AD43" s="9">
        <v>151.57604891700601</v>
      </c>
      <c r="AE43" s="9">
        <v>152.063807709012</v>
      </c>
      <c r="AF43" s="9">
        <v>152.063807709012</v>
      </c>
      <c r="AG43" s="9">
        <v>152.063807709012</v>
      </c>
      <c r="AH43" s="9">
        <v>152.45636258400901</v>
      </c>
      <c r="AI43" s="10" t="s">
        <v>63</v>
      </c>
      <c r="AJ43" s="9">
        <v>1</v>
      </c>
      <c r="AK43" s="9">
        <v>0.38490312399517301</v>
      </c>
      <c r="AL43" s="10" t="s">
        <v>51</v>
      </c>
      <c r="AM43" s="8"/>
      <c r="AN43" s="8"/>
      <c r="AO43" s="8"/>
      <c r="AP43" s="8"/>
      <c r="AQ43" s="9">
        <v>3</v>
      </c>
      <c r="AR43" s="9">
        <v>1</v>
      </c>
      <c r="AS43" s="10" t="s">
        <v>94</v>
      </c>
      <c r="AT43" s="10" t="s">
        <v>53</v>
      </c>
      <c r="AU43" s="8"/>
      <c r="AV43" s="10" t="s">
        <v>54</v>
      </c>
      <c r="AW43" s="10" t="s">
        <v>51</v>
      </c>
      <c r="AX43" s="10" t="s">
        <v>95</v>
      </c>
      <c r="AY43" s="8"/>
    </row>
    <row r="44" spans="1:51" x14ac:dyDescent="0.15">
      <c r="A44" s="11" t="s">
        <v>60</v>
      </c>
      <c r="B44" s="12" t="s">
        <v>61</v>
      </c>
      <c r="C44" s="10" t="s">
        <v>58</v>
      </c>
      <c r="D44" s="10" t="s">
        <v>59</v>
      </c>
      <c r="E44" s="9">
        <v>113</v>
      </c>
      <c r="F44" s="9">
        <v>113</v>
      </c>
      <c r="G44" s="9">
        <v>4</v>
      </c>
      <c r="H44" s="10" t="s">
        <v>59</v>
      </c>
      <c r="I44" s="9">
        <v>1</v>
      </c>
      <c r="J44" s="9">
        <v>1.2607659999921501</v>
      </c>
      <c r="K44" s="10" t="s">
        <v>51</v>
      </c>
      <c r="L44" s="9">
        <v>4</v>
      </c>
      <c r="M44" s="9">
        <v>113</v>
      </c>
      <c r="N44" s="9">
        <v>113</v>
      </c>
      <c r="O44" s="9">
        <v>8</v>
      </c>
      <c r="P44" s="9">
        <v>155.10309295900501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9">
        <v>155.094219250008</v>
      </c>
      <c r="AD44" s="9">
        <v>155.10309295900501</v>
      </c>
      <c r="AE44" s="9">
        <v>155.58792862501301</v>
      </c>
      <c r="AF44" s="9">
        <v>155.58792862501301</v>
      </c>
      <c r="AG44" s="9">
        <v>155.58792862501301</v>
      </c>
      <c r="AH44" s="9">
        <v>156.85637008400201</v>
      </c>
      <c r="AI44" s="10" t="s">
        <v>59</v>
      </c>
      <c r="AJ44" s="9">
        <v>1</v>
      </c>
      <c r="AK44" s="9">
        <v>1.2607659999921501</v>
      </c>
      <c r="AL44" s="10" t="s">
        <v>51</v>
      </c>
      <c r="AM44" s="8"/>
      <c r="AN44" s="8"/>
      <c r="AO44" s="8"/>
      <c r="AP44" s="8"/>
      <c r="AQ44" s="9">
        <v>3</v>
      </c>
      <c r="AR44" s="9">
        <v>1</v>
      </c>
      <c r="AS44" s="10" t="s">
        <v>94</v>
      </c>
      <c r="AT44" s="10" t="s">
        <v>53</v>
      </c>
      <c r="AU44" s="8"/>
      <c r="AV44" s="10" t="s">
        <v>54</v>
      </c>
      <c r="AW44" s="10" t="s">
        <v>51</v>
      </c>
      <c r="AX44" s="10" t="s">
        <v>95</v>
      </c>
      <c r="AY44" s="8"/>
    </row>
    <row r="45" spans="1:51" x14ac:dyDescent="0.15">
      <c r="A45" s="11" t="s">
        <v>60</v>
      </c>
      <c r="B45" s="12" t="s">
        <v>61</v>
      </c>
      <c r="C45" s="10" t="s">
        <v>62</v>
      </c>
      <c r="D45" s="10" t="s">
        <v>63</v>
      </c>
      <c r="E45" s="9">
        <v>117</v>
      </c>
      <c r="F45" s="9">
        <v>117</v>
      </c>
      <c r="G45" s="9">
        <v>3</v>
      </c>
      <c r="H45" s="10" t="s">
        <v>63</v>
      </c>
      <c r="I45" s="9">
        <v>1</v>
      </c>
      <c r="J45" s="9">
        <v>0.48055341700092002</v>
      </c>
      <c r="K45" s="10" t="s">
        <v>51</v>
      </c>
      <c r="L45" s="9">
        <v>3</v>
      </c>
      <c r="M45" s="9">
        <v>117</v>
      </c>
      <c r="N45" s="9">
        <v>117</v>
      </c>
      <c r="O45" s="9">
        <v>9</v>
      </c>
      <c r="P45" s="9">
        <v>160.769868625008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9">
        <v>160.76088454200399</v>
      </c>
      <c r="AD45" s="9">
        <v>160.769868625008</v>
      </c>
      <c r="AE45" s="9">
        <v>161.254528875012</v>
      </c>
      <c r="AF45" s="9">
        <v>161.254528875012</v>
      </c>
      <c r="AG45" s="9">
        <v>161.254528875012</v>
      </c>
      <c r="AH45" s="9">
        <v>161.739938792001</v>
      </c>
      <c r="AI45" s="10" t="s">
        <v>63</v>
      </c>
      <c r="AJ45" s="9">
        <v>1</v>
      </c>
      <c r="AK45" s="9">
        <v>0.48055341700092002</v>
      </c>
      <c r="AL45" s="10" t="s">
        <v>51</v>
      </c>
      <c r="AM45" s="8"/>
      <c r="AN45" s="8"/>
      <c r="AO45" s="8"/>
      <c r="AP45" s="8"/>
      <c r="AQ45" s="9">
        <v>3</v>
      </c>
      <c r="AR45" s="9">
        <v>1</v>
      </c>
      <c r="AS45" s="10" t="s">
        <v>94</v>
      </c>
      <c r="AT45" s="10" t="s">
        <v>53</v>
      </c>
      <c r="AU45" s="8"/>
      <c r="AV45" s="10" t="s">
        <v>54</v>
      </c>
      <c r="AW45" s="10" t="s">
        <v>51</v>
      </c>
      <c r="AX45" s="10" t="s">
        <v>95</v>
      </c>
      <c r="AY45" s="8"/>
    </row>
    <row r="46" spans="1:51" x14ac:dyDescent="0.15">
      <c r="A46" s="11" t="s">
        <v>83</v>
      </c>
      <c r="B46" s="12" t="s">
        <v>61</v>
      </c>
      <c r="C46" s="10" t="s">
        <v>62</v>
      </c>
      <c r="D46" s="10" t="s">
        <v>63</v>
      </c>
      <c r="E46" s="9">
        <v>122</v>
      </c>
      <c r="F46" s="9">
        <v>122</v>
      </c>
      <c r="G46" s="9">
        <v>2</v>
      </c>
      <c r="H46" s="10" t="s">
        <v>63</v>
      </c>
      <c r="I46" s="9">
        <v>1</v>
      </c>
      <c r="J46" s="9">
        <v>0.55772616599279001</v>
      </c>
      <c r="K46" s="10" t="s">
        <v>51</v>
      </c>
      <c r="L46" s="9">
        <v>2</v>
      </c>
      <c r="M46" s="9">
        <v>122</v>
      </c>
      <c r="N46" s="9">
        <v>122</v>
      </c>
      <c r="O46" s="9">
        <v>3</v>
      </c>
      <c r="P46" s="9">
        <v>166.709675042002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9">
        <v>166.70007099999901</v>
      </c>
      <c r="AD46" s="9">
        <v>166.709675042002</v>
      </c>
      <c r="AE46" s="9">
        <v>167.19817887501301</v>
      </c>
      <c r="AF46" s="9">
        <v>167.19817887501301</v>
      </c>
      <c r="AG46" s="9">
        <v>167.19817887501301</v>
      </c>
      <c r="AH46" s="9">
        <v>167.762616084001</v>
      </c>
      <c r="AI46" s="10" t="s">
        <v>63</v>
      </c>
      <c r="AJ46" s="9">
        <v>1</v>
      </c>
      <c r="AK46" s="9">
        <v>0.55772616599279001</v>
      </c>
      <c r="AL46" s="10" t="s">
        <v>51</v>
      </c>
      <c r="AM46" s="8"/>
      <c r="AN46" s="8"/>
      <c r="AO46" s="8"/>
      <c r="AP46" s="8"/>
      <c r="AQ46" s="9">
        <v>3</v>
      </c>
      <c r="AR46" s="9">
        <v>1</v>
      </c>
      <c r="AS46" s="10" t="s">
        <v>94</v>
      </c>
      <c r="AT46" s="10" t="s">
        <v>53</v>
      </c>
      <c r="AU46" s="8"/>
      <c r="AV46" s="10" t="s">
        <v>54</v>
      </c>
      <c r="AW46" s="10" t="s">
        <v>51</v>
      </c>
      <c r="AX46" s="10" t="s">
        <v>95</v>
      </c>
      <c r="AY46" s="8"/>
    </row>
    <row r="47" spans="1:51" x14ac:dyDescent="0.15">
      <c r="A47" s="11" t="s">
        <v>85</v>
      </c>
      <c r="B47" s="12" t="s">
        <v>61</v>
      </c>
      <c r="C47" s="10" t="s">
        <v>62</v>
      </c>
      <c r="D47" s="10" t="s">
        <v>63</v>
      </c>
      <c r="E47" s="9">
        <v>123</v>
      </c>
      <c r="F47" s="9">
        <v>123</v>
      </c>
      <c r="G47" s="9">
        <v>3</v>
      </c>
      <c r="H47" s="10" t="s">
        <v>63</v>
      </c>
      <c r="I47" s="9">
        <v>1</v>
      </c>
      <c r="J47" s="9">
        <v>0.39773179100302503</v>
      </c>
      <c r="K47" s="10" t="s">
        <v>51</v>
      </c>
      <c r="L47" s="9">
        <v>3</v>
      </c>
      <c r="M47" s="9">
        <v>123</v>
      </c>
      <c r="N47" s="9">
        <v>123</v>
      </c>
      <c r="O47" s="9">
        <v>11</v>
      </c>
      <c r="P47" s="9">
        <v>167.77619358401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9">
        <v>167.76650225</v>
      </c>
      <c r="AD47" s="9">
        <v>167.77619358401</v>
      </c>
      <c r="AE47" s="9">
        <v>168.26421712500499</v>
      </c>
      <c r="AF47" s="9">
        <v>168.26421712500499</v>
      </c>
      <c r="AG47" s="9">
        <v>168.26421712500499</v>
      </c>
      <c r="AH47" s="9">
        <v>168.67342345901099</v>
      </c>
      <c r="AI47" s="10" t="s">
        <v>63</v>
      </c>
      <c r="AJ47" s="9">
        <v>1</v>
      </c>
      <c r="AK47" s="9">
        <v>0.39773179100302503</v>
      </c>
      <c r="AL47" s="10" t="s">
        <v>51</v>
      </c>
      <c r="AM47" s="8"/>
      <c r="AN47" s="8"/>
      <c r="AO47" s="8"/>
      <c r="AP47" s="8"/>
      <c r="AQ47" s="9">
        <v>3</v>
      </c>
      <c r="AR47" s="9">
        <v>1</v>
      </c>
      <c r="AS47" s="10" t="s">
        <v>94</v>
      </c>
      <c r="AT47" s="10" t="s">
        <v>53</v>
      </c>
      <c r="AU47" s="8"/>
      <c r="AV47" s="10" t="s">
        <v>54</v>
      </c>
      <c r="AW47" s="10" t="s">
        <v>51</v>
      </c>
      <c r="AX47" s="10" t="s">
        <v>95</v>
      </c>
      <c r="AY47" s="8"/>
    </row>
    <row r="48" spans="1:51" x14ac:dyDescent="0.15">
      <c r="A48" s="11" t="s">
        <v>64</v>
      </c>
      <c r="B48" s="12" t="s">
        <v>61</v>
      </c>
      <c r="C48" s="10" t="s">
        <v>62</v>
      </c>
      <c r="D48" s="10" t="s">
        <v>63</v>
      </c>
      <c r="E48" s="9">
        <v>126</v>
      </c>
      <c r="F48" s="9">
        <v>126</v>
      </c>
      <c r="G48" s="9">
        <v>2</v>
      </c>
      <c r="H48" s="10" t="s">
        <v>63</v>
      </c>
      <c r="I48" s="9">
        <v>1</v>
      </c>
      <c r="J48" s="9">
        <v>0.46733687398955198</v>
      </c>
      <c r="K48" s="10" t="s">
        <v>51</v>
      </c>
      <c r="L48" s="9">
        <v>2</v>
      </c>
      <c r="M48" s="9">
        <v>126</v>
      </c>
      <c r="N48" s="9">
        <v>126</v>
      </c>
      <c r="O48" s="9">
        <v>5</v>
      </c>
      <c r="P48" s="9">
        <v>170.92103383400499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9">
        <v>170.912077417001</v>
      </c>
      <c r="AD48" s="9">
        <v>170.92103383400499</v>
      </c>
      <c r="AE48" s="9">
        <v>171.40474262500399</v>
      </c>
      <c r="AF48" s="9">
        <v>171.40474262500399</v>
      </c>
      <c r="AG48" s="9">
        <v>171.40474262500399</v>
      </c>
      <c r="AH48" s="9">
        <v>171.87949691701201</v>
      </c>
      <c r="AI48" s="10" t="s">
        <v>63</v>
      </c>
      <c r="AJ48" s="9">
        <v>1</v>
      </c>
      <c r="AK48" s="9">
        <v>0.46733687398955198</v>
      </c>
      <c r="AL48" s="10" t="s">
        <v>51</v>
      </c>
      <c r="AM48" s="8"/>
      <c r="AN48" s="8"/>
      <c r="AO48" s="8"/>
      <c r="AP48" s="8"/>
      <c r="AQ48" s="9">
        <v>3</v>
      </c>
      <c r="AR48" s="9">
        <v>1</v>
      </c>
      <c r="AS48" s="10" t="s">
        <v>94</v>
      </c>
      <c r="AT48" s="10" t="s">
        <v>53</v>
      </c>
      <c r="AU48" s="8"/>
      <c r="AV48" s="10" t="s">
        <v>54</v>
      </c>
      <c r="AW48" s="10" t="s">
        <v>51</v>
      </c>
      <c r="AX48" s="10" t="s">
        <v>95</v>
      </c>
      <c r="AY48" s="8"/>
    </row>
    <row r="49" spans="1:51" x14ac:dyDescent="0.15">
      <c r="A49" s="11" t="s">
        <v>79</v>
      </c>
      <c r="B49" s="12" t="s">
        <v>61</v>
      </c>
      <c r="C49" s="10" t="s">
        <v>62</v>
      </c>
      <c r="D49" s="10" t="s">
        <v>63</v>
      </c>
      <c r="E49" s="9">
        <v>127</v>
      </c>
      <c r="F49" s="9">
        <v>127</v>
      </c>
      <c r="G49" s="9">
        <v>3</v>
      </c>
      <c r="H49" s="10" t="s">
        <v>63</v>
      </c>
      <c r="I49" s="9">
        <v>1</v>
      </c>
      <c r="J49" s="9">
        <v>0.53481641599500995</v>
      </c>
      <c r="K49" s="10" t="s">
        <v>51</v>
      </c>
      <c r="L49" s="9">
        <v>3</v>
      </c>
      <c r="M49" s="9">
        <v>127</v>
      </c>
      <c r="N49" s="9">
        <v>127</v>
      </c>
      <c r="O49" s="9">
        <v>7</v>
      </c>
      <c r="P49" s="9">
        <v>171.89299900000299</v>
      </c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9">
        <v>171.88368216701201</v>
      </c>
      <c r="AD49" s="9">
        <v>171.89299900000299</v>
      </c>
      <c r="AE49" s="9">
        <v>172.380327209001</v>
      </c>
      <c r="AF49" s="9">
        <v>172.380327209001</v>
      </c>
      <c r="AG49" s="9">
        <v>172.380327209001</v>
      </c>
      <c r="AH49" s="9">
        <v>172.92359566700199</v>
      </c>
      <c r="AI49" s="10" t="s">
        <v>63</v>
      </c>
      <c r="AJ49" s="9">
        <v>1</v>
      </c>
      <c r="AK49" s="9">
        <v>0.53481641599500995</v>
      </c>
      <c r="AL49" s="10" t="s">
        <v>51</v>
      </c>
      <c r="AM49" s="8"/>
      <c r="AN49" s="8"/>
      <c r="AO49" s="8"/>
      <c r="AP49" s="8"/>
      <c r="AQ49" s="9">
        <v>3</v>
      </c>
      <c r="AR49" s="9">
        <v>1</v>
      </c>
      <c r="AS49" s="10" t="s">
        <v>94</v>
      </c>
      <c r="AT49" s="10" t="s">
        <v>53</v>
      </c>
      <c r="AU49" s="8"/>
      <c r="AV49" s="10" t="s">
        <v>54</v>
      </c>
      <c r="AW49" s="10" t="s">
        <v>51</v>
      </c>
      <c r="AX49" s="10" t="s">
        <v>95</v>
      </c>
      <c r="AY49" s="8"/>
    </row>
    <row r="50" spans="1:51" x14ac:dyDescent="0.15">
      <c r="A50" s="11" t="s">
        <v>83</v>
      </c>
      <c r="B50" s="12" t="s">
        <v>61</v>
      </c>
      <c r="C50" s="10" t="s">
        <v>58</v>
      </c>
      <c r="D50" s="10" t="s">
        <v>59</v>
      </c>
      <c r="E50" s="9">
        <v>129</v>
      </c>
      <c r="F50" s="9">
        <v>129</v>
      </c>
      <c r="G50" s="9">
        <v>1</v>
      </c>
      <c r="H50" s="10" t="s">
        <v>59</v>
      </c>
      <c r="I50" s="9">
        <v>1</v>
      </c>
      <c r="J50" s="9">
        <v>0.50012691599840797</v>
      </c>
      <c r="K50" s="10" t="s">
        <v>51</v>
      </c>
      <c r="L50" s="9">
        <v>1</v>
      </c>
      <c r="M50" s="9">
        <v>129</v>
      </c>
      <c r="N50" s="9">
        <v>129</v>
      </c>
      <c r="O50" s="9">
        <v>2</v>
      </c>
      <c r="P50" s="9">
        <v>173.88786866700701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9">
        <v>173.87896958401001</v>
      </c>
      <c r="AD50" s="9">
        <v>173.88786866700701</v>
      </c>
      <c r="AE50" s="9">
        <v>174.37198658400999</v>
      </c>
      <c r="AF50" s="9">
        <v>174.37198658400999</v>
      </c>
      <c r="AG50" s="9">
        <v>174.37198658400999</v>
      </c>
      <c r="AH50" s="9">
        <v>174.873762667004</v>
      </c>
      <c r="AI50" s="10" t="s">
        <v>59</v>
      </c>
      <c r="AJ50" s="9">
        <v>1</v>
      </c>
      <c r="AK50" s="9">
        <v>0.50012691599840797</v>
      </c>
      <c r="AL50" s="10" t="s">
        <v>51</v>
      </c>
      <c r="AM50" s="8"/>
      <c r="AN50" s="8"/>
      <c r="AO50" s="8"/>
      <c r="AP50" s="8"/>
      <c r="AQ50" s="9">
        <v>3</v>
      </c>
      <c r="AR50" s="9">
        <v>1</v>
      </c>
      <c r="AS50" s="10" t="s">
        <v>94</v>
      </c>
      <c r="AT50" s="10" t="s">
        <v>53</v>
      </c>
      <c r="AU50" s="8"/>
      <c r="AV50" s="10" t="s">
        <v>54</v>
      </c>
      <c r="AW50" s="10" t="s">
        <v>51</v>
      </c>
      <c r="AX50" s="10" t="s">
        <v>95</v>
      </c>
      <c r="AY50" s="8"/>
    </row>
    <row r="51" spans="1:51" x14ac:dyDescent="0.15">
      <c r="A51" s="11" t="s">
        <v>70</v>
      </c>
      <c r="B51" s="12" t="s">
        <v>61</v>
      </c>
      <c r="C51" s="10" t="s">
        <v>58</v>
      </c>
      <c r="D51" s="10" t="s">
        <v>59</v>
      </c>
      <c r="E51" s="9">
        <v>132</v>
      </c>
      <c r="F51" s="9">
        <v>132</v>
      </c>
      <c r="G51" s="9">
        <v>1</v>
      </c>
      <c r="H51" s="10" t="s">
        <v>59</v>
      </c>
      <c r="I51" s="9">
        <v>1</v>
      </c>
      <c r="J51" s="9">
        <v>0.529532290995121</v>
      </c>
      <c r="K51" s="10" t="s">
        <v>51</v>
      </c>
      <c r="L51" s="9">
        <v>1</v>
      </c>
      <c r="M51" s="9">
        <v>132</v>
      </c>
      <c r="N51" s="9">
        <v>132</v>
      </c>
      <c r="O51" s="9">
        <v>12</v>
      </c>
      <c r="P51" s="9">
        <v>177.09370737501001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9">
        <v>177.08359320901201</v>
      </c>
      <c r="AD51" s="9">
        <v>177.09370737501001</v>
      </c>
      <c r="AE51" s="9">
        <v>177.58068387500001</v>
      </c>
      <c r="AF51" s="9">
        <v>177.58068387500001</v>
      </c>
      <c r="AG51" s="9">
        <v>177.58068387500001</v>
      </c>
      <c r="AH51" s="9">
        <v>178.11320170899899</v>
      </c>
      <c r="AI51" s="10" t="s">
        <v>59</v>
      </c>
      <c r="AJ51" s="9">
        <v>1</v>
      </c>
      <c r="AK51" s="9">
        <v>0.529532290995121</v>
      </c>
      <c r="AL51" s="10" t="s">
        <v>51</v>
      </c>
      <c r="AM51" s="8"/>
      <c r="AN51" s="8"/>
      <c r="AO51" s="8"/>
      <c r="AP51" s="8"/>
      <c r="AQ51" s="9">
        <v>3</v>
      </c>
      <c r="AR51" s="9">
        <v>1</v>
      </c>
      <c r="AS51" s="10" t="s">
        <v>94</v>
      </c>
      <c r="AT51" s="10" t="s">
        <v>53</v>
      </c>
      <c r="AU51" s="8"/>
      <c r="AV51" s="10" t="s">
        <v>54</v>
      </c>
      <c r="AW51" s="10" t="s">
        <v>51</v>
      </c>
      <c r="AX51" s="10" t="s">
        <v>95</v>
      </c>
      <c r="AY51" s="8"/>
    </row>
    <row r="52" spans="1:51" x14ac:dyDescent="0.15">
      <c r="A52" s="11" t="s">
        <v>73</v>
      </c>
      <c r="B52" s="12" t="s">
        <v>61</v>
      </c>
      <c r="C52" s="10" t="s">
        <v>58</v>
      </c>
      <c r="D52" s="10" t="s">
        <v>59</v>
      </c>
      <c r="E52" s="9">
        <v>133</v>
      </c>
      <c r="F52" s="9">
        <v>133</v>
      </c>
      <c r="G52" s="9">
        <v>1</v>
      </c>
      <c r="H52" s="10" t="s">
        <v>59</v>
      </c>
      <c r="I52" s="9">
        <v>1</v>
      </c>
      <c r="J52" s="9">
        <v>0.51891204100684296</v>
      </c>
      <c r="K52" s="10" t="s">
        <v>51</v>
      </c>
      <c r="L52" s="9">
        <v>1</v>
      </c>
      <c r="M52" s="9">
        <v>133</v>
      </c>
      <c r="N52" s="9">
        <v>133</v>
      </c>
      <c r="O52" s="9">
        <v>14</v>
      </c>
      <c r="P52" s="9">
        <v>178.12822150001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9">
        <v>178.119358459007</v>
      </c>
      <c r="AD52" s="9">
        <v>178.12822150001</v>
      </c>
      <c r="AE52" s="9">
        <v>178.613355375011</v>
      </c>
      <c r="AF52" s="9">
        <v>178.613355375011</v>
      </c>
      <c r="AG52" s="9">
        <v>178.613355375011</v>
      </c>
      <c r="AH52" s="9">
        <v>179.14047587499999</v>
      </c>
      <c r="AI52" s="10" t="s">
        <v>59</v>
      </c>
      <c r="AJ52" s="9">
        <v>1</v>
      </c>
      <c r="AK52" s="9">
        <v>0.51891204100684296</v>
      </c>
      <c r="AL52" s="10" t="s">
        <v>51</v>
      </c>
      <c r="AM52" s="8"/>
      <c r="AN52" s="8"/>
      <c r="AO52" s="8"/>
      <c r="AP52" s="8"/>
      <c r="AQ52" s="9">
        <v>3</v>
      </c>
      <c r="AR52" s="9">
        <v>1</v>
      </c>
      <c r="AS52" s="10" t="s">
        <v>94</v>
      </c>
      <c r="AT52" s="10" t="s">
        <v>53</v>
      </c>
      <c r="AU52" s="8"/>
      <c r="AV52" s="10" t="s">
        <v>54</v>
      </c>
      <c r="AW52" s="10" t="s">
        <v>51</v>
      </c>
      <c r="AX52" s="10" t="s">
        <v>95</v>
      </c>
      <c r="AY52" s="8"/>
    </row>
    <row r="53" spans="1:51" x14ac:dyDescent="0.15">
      <c r="A53" s="11" t="s">
        <v>73</v>
      </c>
      <c r="B53" s="12" t="s">
        <v>61</v>
      </c>
      <c r="C53" s="10" t="s">
        <v>58</v>
      </c>
      <c r="D53" s="10" t="s">
        <v>59</v>
      </c>
      <c r="E53" s="9">
        <v>134</v>
      </c>
      <c r="F53" s="9">
        <v>134</v>
      </c>
      <c r="G53" s="9">
        <v>2</v>
      </c>
      <c r="H53" s="10" t="s">
        <v>59</v>
      </c>
      <c r="I53" s="9">
        <v>1</v>
      </c>
      <c r="J53" s="9">
        <v>0.44479208301345402</v>
      </c>
      <c r="K53" s="10" t="s">
        <v>51</v>
      </c>
      <c r="L53" s="9">
        <v>2</v>
      </c>
      <c r="M53" s="9">
        <v>134</v>
      </c>
      <c r="N53" s="9">
        <v>134</v>
      </c>
      <c r="O53" s="9">
        <v>14</v>
      </c>
      <c r="P53" s="9">
        <v>179.151836792007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9">
        <v>179.14155700001001</v>
      </c>
      <c r="AD53" s="9">
        <v>179.151836792007</v>
      </c>
      <c r="AE53" s="9">
        <v>179.638507000011</v>
      </c>
      <c r="AF53" s="9">
        <v>179.638507000011</v>
      </c>
      <c r="AG53" s="9">
        <v>179.638507000011</v>
      </c>
      <c r="AH53" s="9">
        <v>180.09060325000601</v>
      </c>
      <c r="AI53" s="10" t="s">
        <v>59</v>
      </c>
      <c r="AJ53" s="9">
        <v>1</v>
      </c>
      <c r="AK53" s="9">
        <v>0.44479208301345402</v>
      </c>
      <c r="AL53" s="10" t="s">
        <v>51</v>
      </c>
      <c r="AM53" s="8"/>
      <c r="AN53" s="8"/>
      <c r="AO53" s="8"/>
      <c r="AP53" s="8"/>
      <c r="AQ53" s="9">
        <v>3</v>
      </c>
      <c r="AR53" s="9">
        <v>1</v>
      </c>
      <c r="AS53" s="10" t="s">
        <v>94</v>
      </c>
      <c r="AT53" s="10" t="s">
        <v>53</v>
      </c>
      <c r="AU53" s="8"/>
      <c r="AV53" s="10" t="s">
        <v>54</v>
      </c>
      <c r="AW53" s="10" t="s">
        <v>51</v>
      </c>
      <c r="AX53" s="10" t="s">
        <v>95</v>
      </c>
      <c r="AY53" s="8"/>
    </row>
    <row r="54" spans="1:51" x14ac:dyDescent="0.15">
      <c r="A54" s="11" t="s">
        <v>64</v>
      </c>
      <c r="B54" s="12" t="s">
        <v>61</v>
      </c>
      <c r="C54" s="10" t="s">
        <v>62</v>
      </c>
      <c r="D54" s="10" t="s">
        <v>63</v>
      </c>
      <c r="E54" s="9">
        <v>140</v>
      </c>
      <c r="F54" s="9">
        <v>140</v>
      </c>
      <c r="G54" s="9">
        <v>3</v>
      </c>
      <c r="H54" s="10" t="s">
        <v>63</v>
      </c>
      <c r="I54" s="9">
        <v>1</v>
      </c>
      <c r="J54" s="9">
        <v>0.40916624999954399</v>
      </c>
      <c r="K54" s="10" t="s">
        <v>51</v>
      </c>
      <c r="L54" s="9">
        <v>3</v>
      </c>
      <c r="M54" s="9">
        <v>140</v>
      </c>
      <c r="N54" s="9">
        <v>140</v>
      </c>
      <c r="O54" s="9">
        <v>5</v>
      </c>
      <c r="P54" s="9">
        <v>185.722057792009</v>
      </c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9">
        <v>185.712701917</v>
      </c>
      <c r="AD54" s="9">
        <v>185.722057792009</v>
      </c>
      <c r="AE54" s="9">
        <v>186.205208750005</v>
      </c>
      <c r="AF54" s="9">
        <v>186.205208750005</v>
      </c>
      <c r="AG54" s="9">
        <v>186.205208750005</v>
      </c>
      <c r="AH54" s="9">
        <v>186.624028834005</v>
      </c>
      <c r="AI54" s="10" t="s">
        <v>63</v>
      </c>
      <c r="AJ54" s="9">
        <v>1</v>
      </c>
      <c r="AK54" s="9">
        <v>0.40916624999954399</v>
      </c>
      <c r="AL54" s="10" t="s">
        <v>51</v>
      </c>
      <c r="AM54" s="8"/>
      <c r="AN54" s="8"/>
      <c r="AO54" s="8"/>
      <c r="AP54" s="8"/>
      <c r="AQ54" s="9">
        <v>3</v>
      </c>
      <c r="AR54" s="9">
        <v>1</v>
      </c>
      <c r="AS54" s="10" t="s">
        <v>94</v>
      </c>
      <c r="AT54" s="10" t="s">
        <v>53</v>
      </c>
      <c r="AU54" s="8"/>
      <c r="AV54" s="10" t="s">
        <v>54</v>
      </c>
      <c r="AW54" s="10" t="s">
        <v>51</v>
      </c>
      <c r="AX54" s="10" t="s">
        <v>95</v>
      </c>
      <c r="AY54" s="8"/>
    </row>
    <row r="55" spans="1:51" x14ac:dyDescent="0.15">
      <c r="A55" s="11" t="s">
        <v>73</v>
      </c>
      <c r="B55" s="12" t="s">
        <v>61</v>
      </c>
      <c r="C55" s="10" t="s">
        <v>58</v>
      </c>
      <c r="D55" s="10" t="s">
        <v>59</v>
      </c>
      <c r="E55" s="9">
        <v>141</v>
      </c>
      <c r="F55" s="9">
        <v>141</v>
      </c>
      <c r="G55" s="9">
        <v>3</v>
      </c>
      <c r="H55" s="10" t="s">
        <v>59</v>
      </c>
      <c r="I55" s="9">
        <v>1</v>
      </c>
      <c r="J55" s="9">
        <v>0.48164100000576598</v>
      </c>
      <c r="K55" s="10" t="s">
        <v>51</v>
      </c>
      <c r="L55" s="9">
        <v>3</v>
      </c>
      <c r="M55" s="9">
        <v>141</v>
      </c>
      <c r="N55" s="9">
        <v>141</v>
      </c>
      <c r="O55" s="9">
        <v>14</v>
      </c>
      <c r="P55" s="9">
        <v>186.638083334008</v>
      </c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9">
        <v>186.62919079200901</v>
      </c>
      <c r="AD55" s="9">
        <v>186.638083334008</v>
      </c>
      <c r="AE55" s="9">
        <v>187.12193908401201</v>
      </c>
      <c r="AF55" s="9">
        <v>187.12193908401201</v>
      </c>
      <c r="AG55" s="9">
        <v>187.12193908401201</v>
      </c>
      <c r="AH55" s="9">
        <v>187.60769204200199</v>
      </c>
      <c r="AI55" s="10" t="s">
        <v>59</v>
      </c>
      <c r="AJ55" s="9">
        <v>1</v>
      </c>
      <c r="AK55" s="9">
        <v>0.48164100000576598</v>
      </c>
      <c r="AL55" s="10" t="s">
        <v>51</v>
      </c>
      <c r="AM55" s="8"/>
      <c r="AN55" s="8"/>
      <c r="AO55" s="8"/>
      <c r="AP55" s="8"/>
      <c r="AQ55" s="9">
        <v>3</v>
      </c>
      <c r="AR55" s="9">
        <v>1</v>
      </c>
      <c r="AS55" s="10" t="s">
        <v>94</v>
      </c>
      <c r="AT55" s="10" t="s">
        <v>53</v>
      </c>
      <c r="AU55" s="8"/>
      <c r="AV55" s="10" t="s">
        <v>54</v>
      </c>
      <c r="AW55" s="10" t="s">
        <v>51</v>
      </c>
      <c r="AX55" s="10" t="s">
        <v>95</v>
      </c>
      <c r="AY55" s="8"/>
    </row>
    <row r="56" spans="1:51" x14ac:dyDescent="0.15">
      <c r="A56" s="11" t="s">
        <v>70</v>
      </c>
      <c r="B56" s="12" t="s">
        <v>61</v>
      </c>
      <c r="C56" s="10" t="s">
        <v>58</v>
      </c>
      <c r="D56" s="10" t="s">
        <v>59</v>
      </c>
      <c r="E56" s="9">
        <v>142</v>
      </c>
      <c r="F56" s="9">
        <v>142</v>
      </c>
      <c r="G56" s="9">
        <v>2</v>
      </c>
      <c r="H56" s="10" t="s">
        <v>59</v>
      </c>
      <c r="I56" s="9">
        <v>1</v>
      </c>
      <c r="J56" s="9">
        <v>1.33413462399039</v>
      </c>
      <c r="K56" s="10" t="s">
        <v>51</v>
      </c>
      <c r="L56" s="9">
        <v>2</v>
      </c>
      <c r="M56" s="9">
        <v>142</v>
      </c>
      <c r="N56" s="9">
        <v>142</v>
      </c>
      <c r="O56" s="9">
        <v>12</v>
      </c>
      <c r="P56" s="9">
        <v>187.62235645900401</v>
      </c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9">
        <v>187.61302954200099</v>
      </c>
      <c r="AD56" s="9">
        <v>187.62235645900401</v>
      </c>
      <c r="AE56" s="9">
        <v>188.10529470900701</v>
      </c>
      <c r="AF56" s="9">
        <v>188.10529470900701</v>
      </c>
      <c r="AG56" s="9">
        <v>188.10529470900701</v>
      </c>
      <c r="AH56" s="9">
        <v>189.44686704200299</v>
      </c>
      <c r="AI56" s="10" t="s">
        <v>59</v>
      </c>
      <c r="AJ56" s="9">
        <v>1</v>
      </c>
      <c r="AK56" s="9">
        <v>1.33413462399039</v>
      </c>
      <c r="AL56" s="10" t="s">
        <v>51</v>
      </c>
      <c r="AM56" s="8"/>
      <c r="AN56" s="8"/>
      <c r="AO56" s="8"/>
      <c r="AP56" s="8"/>
      <c r="AQ56" s="9">
        <v>3</v>
      </c>
      <c r="AR56" s="9">
        <v>1</v>
      </c>
      <c r="AS56" s="10" t="s">
        <v>94</v>
      </c>
      <c r="AT56" s="10" t="s">
        <v>53</v>
      </c>
      <c r="AU56" s="8"/>
      <c r="AV56" s="10" t="s">
        <v>54</v>
      </c>
      <c r="AW56" s="10" t="s">
        <v>51</v>
      </c>
      <c r="AX56" s="10" t="s">
        <v>95</v>
      </c>
      <c r="AY56" s="8"/>
    </row>
    <row r="57" spans="1:51" x14ac:dyDescent="0.15">
      <c r="A57" s="11" t="s">
        <v>83</v>
      </c>
      <c r="B57" s="12" t="s">
        <v>61</v>
      </c>
      <c r="C57" s="10" t="s">
        <v>62</v>
      </c>
      <c r="D57" s="10" t="s">
        <v>63</v>
      </c>
      <c r="E57" s="9">
        <v>148</v>
      </c>
      <c r="F57" s="9">
        <v>148</v>
      </c>
      <c r="G57" s="9">
        <v>3</v>
      </c>
      <c r="H57" s="10" t="s">
        <v>63</v>
      </c>
      <c r="I57" s="9">
        <v>1</v>
      </c>
      <c r="J57" s="9">
        <v>0.53360045800218403</v>
      </c>
      <c r="K57" s="10" t="s">
        <v>51</v>
      </c>
      <c r="L57" s="9">
        <v>3</v>
      </c>
      <c r="M57" s="9">
        <v>148</v>
      </c>
      <c r="N57" s="9">
        <v>148</v>
      </c>
      <c r="O57" s="9">
        <v>3</v>
      </c>
      <c r="P57" s="9">
        <v>194.65499879200101</v>
      </c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9">
        <v>194.64565183401299</v>
      </c>
      <c r="AD57" s="9">
        <v>194.65499879200101</v>
      </c>
      <c r="AE57" s="9">
        <v>195.138905042011</v>
      </c>
      <c r="AF57" s="9">
        <v>195.138905042011</v>
      </c>
      <c r="AG57" s="9">
        <v>195.138905042011</v>
      </c>
      <c r="AH57" s="9">
        <v>195.674330417009</v>
      </c>
      <c r="AI57" s="10" t="s">
        <v>63</v>
      </c>
      <c r="AJ57" s="9">
        <v>1</v>
      </c>
      <c r="AK57" s="9">
        <v>0.53360045800218403</v>
      </c>
      <c r="AL57" s="10" t="s">
        <v>51</v>
      </c>
      <c r="AM57" s="8"/>
      <c r="AN57" s="8"/>
      <c r="AO57" s="8"/>
      <c r="AP57" s="8"/>
      <c r="AQ57" s="9">
        <v>3</v>
      </c>
      <c r="AR57" s="9">
        <v>1</v>
      </c>
      <c r="AS57" s="10" t="s">
        <v>94</v>
      </c>
      <c r="AT57" s="10" t="s">
        <v>53</v>
      </c>
      <c r="AU57" s="8"/>
      <c r="AV57" s="10" t="s">
        <v>54</v>
      </c>
      <c r="AW57" s="10" t="s">
        <v>51</v>
      </c>
      <c r="AX57" s="10" t="s">
        <v>95</v>
      </c>
      <c r="AY57" s="8"/>
    </row>
    <row r="58" spans="1:51" x14ac:dyDescent="0.15">
      <c r="A58" s="11" t="s">
        <v>85</v>
      </c>
      <c r="B58" s="12" t="s">
        <v>61</v>
      </c>
      <c r="C58" s="10" t="s">
        <v>62</v>
      </c>
      <c r="D58" s="10" t="s">
        <v>63</v>
      </c>
      <c r="E58" s="9">
        <v>156</v>
      </c>
      <c r="F58" s="9">
        <v>156</v>
      </c>
      <c r="G58" s="9">
        <v>4</v>
      </c>
      <c r="H58" s="10" t="s">
        <v>63</v>
      </c>
      <c r="I58" s="9">
        <v>1</v>
      </c>
      <c r="J58" s="9">
        <v>0.70727800000167895</v>
      </c>
      <c r="K58" s="10" t="s">
        <v>51</v>
      </c>
      <c r="L58" s="9">
        <v>4</v>
      </c>
      <c r="M58" s="9">
        <v>156</v>
      </c>
      <c r="N58" s="9">
        <v>156</v>
      </c>
      <c r="O58" s="9">
        <v>11</v>
      </c>
      <c r="P58" s="9">
        <v>203.57794041700299</v>
      </c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9">
        <v>203.56836291700901</v>
      </c>
      <c r="AD58" s="9">
        <v>203.57794041700299</v>
      </c>
      <c r="AE58" s="9">
        <v>204.06544550000399</v>
      </c>
      <c r="AF58" s="9">
        <v>204.06544550000399</v>
      </c>
      <c r="AG58" s="9">
        <v>204.06544550000399</v>
      </c>
      <c r="AH58" s="9">
        <v>204.77486629200601</v>
      </c>
      <c r="AI58" s="10" t="s">
        <v>63</v>
      </c>
      <c r="AJ58" s="9">
        <v>1</v>
      </c>
      <c r="AK58" s="9">
        <v>0.70727800000167895</v>
      </c>
      <c r="AL58" s="10" t="s">
        <v>51</v>
      </c>
      <c r="AM58" s="8"/>
      <c r="AN58" s="8"/>
      <c r="AO58" s="8"/>
      <c r="AP58" s="8"/>
      <c r="AQ58" s="9">
        <v>3</v>
      </c>
      <c r="AR58" s="9">
        <v>1</v>
      </c>
      <c r="AS58" s="10" t="s">
        <v>94</v>
      </c>
      <c r="AT58" s="10" t="s">
        <v>53</v>
      </c>
      <c r="AU58" s="8"/>
      <c r="AV58" s="10" t="s">
        <v>54</v>
      </c>
      <c r="AW58" s="10" t="s">
        <v>51</v>
      </c>
      <c r="AX58" s="10" t="s">
        <v>95</v>
      </c>
      <c r="AY58" s="8"/>
    </row>
    <row r="59" spans="1:51" x14ac:dyDescent="0.15">
      <c r="A59" s="11" t="s">
        <v>73</v>
      </c>
      <c r="B59" s="12" t="s">
        <v>61</v>
      </c>
      <c r="C59" s="10" t="s">
        <v>58</v>
      </c>
      <c r="D59" s="10" t="s">
        <v>59</v>
      </c>
      <c r="E59" s="9">
        <v>157</v>
      </c>
      <c r="F59" s="9">
        <v>157</v>
      </c>
      <c r="G59" s="9">
        <v>4</v>
      </c>
      <c r="H59" s="10" t="s">
        <v>59</v>
      </c>
      <c r="I59" s="9">
        <v>1</v>
      </c>
      <c r="J59" s="9">
        <v>0.57049666599778004</v>
      </c>
      <c r="K59" s="10" t="s">
        <v>51</v>
      </c>
      <c r="L59" s="9">
        <v>4</v>
      </c>
      <c r="M59" s="9">
        <v>157</v>
      </c>
      <c r="N59" s="9">
        <v>157</v>
      </c>
      <c r="O59" s="9">
        <v>14</v>
      </c>
      <c r="P59" s="9">
        <v>204.78871766700499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9">
        <v>204.779990499999</v>
      </c>
      <c r="AD59" s="9">
        <v>204.78871766700499</v>
      </c>
      <c r="AE59" s="9">
        <v>205.273143667</v>
      </c>
      <c r="AF59" s="9">
        <v>205.273143667</v>
      </c>
      <c r="AG59" s="9">
        <v>205.273143667</v>
      </c>
      <c r="AH59" s="9">
        <v>205.84717983400299</v>
      </c>
      <c r="AI59" s="10" t="s">
        <v>59</v>
      </c>
      <c r="AJ59" s="9">
        <v>1</v>
      </c>
      <c r="AK59" s="9">
        <v>0.57049666599778004</v>
      </c>
      <c r="AL59" s="10" t="s">
        <v>51</v>
      </c>
      <c r="AM59" s="8"/>
      <c r="AN59" s="8"/>
      <c r="AO59" s="8"/>
      <c r="AP59" s="8"/>
      <c r="AQ59" s="9">
        <v>3</v>
      </c>
      <c r="AR59" s="9">
        <v>1</v>
      </c>
      <c r="AS59" s="10" t="s">
        <v>94</v>
      </c>
      <c r="AT59" s="10" t="s">
        <v>53</v>
      </c>
      <c r="AU59" s="8"/>
      <c r="AV59" s="10" t="s">
        <v>54</v>
      </c>
      <c r="AW59" s="10" t="s">
        <v>51</v>
      </c>
      <c r="AX59" s="10" t="s">
        <v>95</v>
      </c>
      <c r="AY59" s="8"/>
    </row>
    <row r="60" spans="1:51" x14ac:dyDescent="0.15">
      <c r="A60" s="11" t="s">
        <v>70</v>
      </c>
      <c r="B60" s="12" t="s">
        <v>61</v>
      </c>
      <c r="C60" s="10" t="s">
        <v>58</v>
      </c>
      <c r="D60" s="10" t="s">
        <v>59</v>
      </c>
      <c r="E60" s="9">
        <v>160</v>
      </c>
      <c r="F60" s="9">
        <v>160</v>
      </c>
      <c r="G60" s="9">
        <v>3</v>
      </c>
      <c r="H60" s="10" t="s">
        <v>59</v>
      </c>
      <c r="I60" s="9">
        <v>1</v>
      </c>
      <c r="J60" s="9">
        <v>0.67010991599818204</v>
      </c>
      <c r="K60" s="10" t="s">
        <v>51</v>
      </c>
      <c r="L60" s="9">
        <v>3</v>
      </c>
      <c r="M60" s="9">
        <v>160</v>
      </c>
      <c r="N60" s="9">
        <v>160</v>
      </c>
      <c r="O60" s="9">
        <v>12</v>
      </c>
      <c r="P60" s="9">
        <v>209.47225875000001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9">
        <v>209.46358975001201</v>
      </c>
      <c r="AD60" s="9">
        <v>209.47225875000001</v>
      </c>
      <c r="AE60" s="9">
        <v>209.956607542001</v>
      </c>
      <c r="AF60" s="9">
        <v>209.956607542001</v>
      </c>
      <c r="AG60" s="9">
        <v>209.956607542001</v>
      </c>
      <c r="AH60" s="9">
        <v>210.63046587500099</v>
      </c>
      <c r="AI60" s="10" t="s">
        <v>59</v>
      </c>
      <c r="AJ60" s="9">
        <v>1</v>
      </c>
      <c r="AK60" s="9">
        <v>0.67010991599818204</v>
      </c>
      <c r="AL60" s="10" t="s">
        <v>51</v>
      </c>
      <c r="AM60" s="8"/>
      <c r="AN60" s="8"/>
      <c r="AO60" s="8"/>
      <c r="AP60" s="8"/>
      <c r="AQ60" s="9">
        <v>3</v>
      </c>
      <c r="AR60" s="9">
        <v>1</v>
      </c>
      <c r="AS60" s="10" t="s">
        <v>94</v>
      </c>
      <c r="AT60" s="10" t="s">
        <v>53</v>
      </c>
      <c r="AU60" s="8"/>
      <c r="AV60" s="10" t="s">
        <v>54</v>
      </c>
      <c r="AW60" s="10" t="s">
        <v>51</v>
      </c>
      <c r="AX60" s="10" t="s">
        <v>95</v>
      </c>
      <c r="AY60" s="8"/>
    </row>
    <row r="61" spans="1:51" x14ac:dyDescent="0.15">
      <c r="A61" s="11" t="s">
        <v>79</v>
      </c>
      <c r="B61" s="12" t="s">
        <v>61</v>
      </c>
      <c r="C61" s="10" t="s">
        <v>58</v>
      </c>
      <c r="D61" s="10" t="s">
        <v>59</v>
      </c>
      <c r="E61" s="9">
        <v>166</v>
      </c>
      <c r="F61" s="9">
        <v>166</v>
      </c>
      <c r="G61" s="9">
        <v>2</v>
      </c>
      <c r="H61" s="10" t="s">
        <v>59</v>
      </c>
      <c r="I61" s="9">
        <v>1</v>
      </c>
      <c r="J61" s="9">
        <v>0.49080195798887899</v>
      </c>
      <c r="K61" s="10" t="s">
        <v>51</v>
      </c>
      <c r="L61" s="9">
        <v>2</v>
      </c>
      <c r="M61" s="9">
        <v>166</v>
      </c>
      <c r="N61" s="9">
        <v>166</v>
      </c>
      <c r="O61" s="9">
        <v>6</v>
      </c>
      <c r="P61" s="9">
        <v>217.21150845900399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9">
        <v>217.20178616700301</v>
      </c>
      <c r="AD61" s="9">
        <v>217.21150845900399</v>
      </c>
      <c r="AE61" s="9">
        <v>217.700084000011</v>
      </c>
      <c r="AF61" s="9">
        <v>217.700084000011</v>
      </c>
      <c r="AG61" s="9">
        <v>217.700084000011</v>
      </c>
      <c r="AH61" s="9">
        <v>218.19780487500199</v>
      </c>
      <c r="AI61" s="10" t="s">
        <v>59</v>
      </c>
      <c r="AJ61" s="9">
        <v>1</v>
      </c>
      <c r="AK61" s="9">
        <v>0.49080195798887899</v>
      </c>
      <c r="AL61" s="10" t="s">
        <v>51</v>
      </c>
      <c r="AM61" s="8"/>
      <c r="AN61" s="8"/>
      <c r="AO61" s="8"/>
      <c r="AP61" s="8"/>
      <c r="AQ61" s="9">
        <v>3</v>
      </c>
      <c r="AR61" s="9">
        <v>1</v>
      </c>
      <c r="AS61" s="10" t="s">
        <v>94</v>
      </c>
      <c r="AT61" s="10" t="s">
        <v>53</v>
      </c>
      <c r="AU61" s="8"/>
      <c r="AV61" s="10" t="s">
        <v>54</v>
      </c>
      <c r="AW61" s="10" t="s">
        <v>51</v>
      </c>
      <c r="AX61" s="10" t="s">
        <v>95</v>
      </c>
      <c r="AY61" s="8"/>
    </row>
    <row r="62" spans="1:51" x14ac:dyDescent="0.15">
      <c r="A62" s="11" t="s">
        <v>83</v>
      </c>
      <c r="B62" s="12" t="s">
        <v>61</v>
      </c>
      <c r="C62" s="10" t="s">
        <v>58</v>
      </c>
      <c r="D62" s="10" t="s">
        <v>59</v>
      </c>
      <c r="E62" s="9">
        <v>169</v>
      </c>
      <c r="F62" s="9">
        <v>169</v>
      </c>
      <c r="G62" s="9">
        <v>2</v>
      </c>
      <c r="H62" s="10" t="s">
        <v>59</v>
      </c>
      <c r="I62" s="9">
        <v>1</v>
      </c>
      <c r="J62" s="9">
        <v>0.38482191599905502</v>
      </c>
      <c r="K62" s="10" t="s">
        <v>51</v>
      </c>
      <c r="L62" s="9">
        <v>2</v>
      </c>
      <c r="M62" s="9">
        <v>169</v>
      </c>
      <c r="N62" s="9">
        <v>169</v>
      </c>
      <c r="O62" s="9">
        <v>2</v>
      </c>
      <c r="P62" s="9">
        <v>219.93919062500899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9">
        <v>219.92982270900399</v>
      </c>
      <c r="AD62" s="9">
        <v>219.93919062500899</v>
      </c>
      <c r="AE62" s="9">
        <v>220.42314583400699</v>
      </c>
      <c r="AF62" s="9">
        <v>220.42314583400699</v>
      </c>
      <c r="AG62" s="9">
        <v>220.42314583400699</v>
      </c>
      <c r="AH62" s="9">
        <v>220.81539683400501</v>
      </c>
      <c r="AI62" s="10" t="s">
        <v>59</v>
      </c>
      <c r="AJ62" s="9">
        <v>1</v>
      </c>
      <c r="AK62" s="9">
        <v>0.38482191599905502</v>
      </c>
      <c r="AL62" s="10" t="s">
        <v>51</v>
      </c>
      <c r="AM62" s="8"/>
      <c r="AN62" s="8"/>
      <c r="AO62" s="8"/>
      <c r="AP62" s="8"/>
      <c r="AQ62" s="9">
        <v>3</v>
      </c>
      <c r="AR62" s="9">
        <v>1</v>
      </c>
      <c r="AS62" s="10" t="s">
        <v>94</v>
      </c>
      <c r="AT62" s="10" t="s">
        <v>53</v>
      </c>
      <c r="AU62" s="8"/>
      <c r="AV62" s="10" t="s">
        <v>54</v>
      </c>
      <c r="AW62" s="10" t="s">
        <v>51</v>
      </c>
      <c r="AX62" s="10" t="s">
        <v>95</v>
      </c>
      <c r="AY62" s="8"/>
    </row>
    <row r="63" spans="1:51" x14ac:dyDescent="0.15">
      <c r="A63" s="11" t="s">
        <v>60</v>
      </c>
      <c r="B63" s="12" t="s">
        <v>61</v>
      </c>
      <c r="C63" s="10" t="s">
        <v>62</v>
      </c>
      <c r="D63" s="10" t="s">
        <v>63</v>
      </c>
      <c r="E63" s="9">
        <v>171</v>
      </c>
      <c r="F63" s="9">
        <v>171</v>
      </c>
      <c r="G63" s="9">
        <v>4</v>
      </c>
      <c r="H63" s="10" t="s">
        <v>63</v>
      </c>
      <c r="I63" s="9">
        <v>1</v>
      </c>
      <c r="J63" s="9">
        <v>0.55659712500346403</v>
      </c>
      <c r="K63" s="10" t="s">
        <v>51</v>
      </c>
      <c r="L63" s="9">
        <v>4</v>
      </c>
      <c r="M63" s="9">
        <v>171</v>
      </c>
      <c r="N63" s="9">
        <v>171</v>
      </c>
      <c r="O63" s="9">
        <v>9</v>
      </c>
      <c r="P63" s="9">
        <v>221.78937229201301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9">
        <v>221.78029766700601</v>
      </c>
      <c r="AD63" s="9">
        <v>221.78937229201301</v>
      </c>
      <c r="AE63" s="9">
        <v>222.27343345900599</v>
      </c>
      <c r="AF63" s="9">
        <v>222.27343345900599</v>
      </c>
      <c r="AG63" s="9">
        <v>222.27343345900599</v>
      </c>
      <c r="AH63" s="9">
        <v>222.831482000009</v>
      </c>
      <c r="AI63" s="10" t="s">
        <v>63</v>
      </c>
      <c r="AJ63" s="9">
        <v>1</v>
      </c>
      <c r="AK63" s="9">
        <v>0.55659712500346403</v>
      </c>
      <c r="AL63" s="10" t="s">
        <v>51</v>
      </c>
      <c r="AM63" s="8"/>
      <c r="AN63" s="8"/>
      <c r="AO63" s="8"/>
      <c r="AP63" s="8"/>
      <c r="AQ63" s="9">
        <v>3</v>
      </c>
      <c r="AR63" s="9">
        <v>1</v>
      </c>
      <c r="AS63" s="10" t="s">
        <v>94</v>
      </c>
      <c r="AT63" s="10" t="s">
        <v>53</v>
      </c>
      <c r="AU63" s="8"/>
      <c r="AV63" s="10" t="s">
        <v>54</v>
      </c>
      <c r="AW63" s="10" t="s">
        <v>51</v>
      </c>
      <c r="AX63" s="10" t="s">
        <v>95</v>
      </c>
      <c r="AY63" s="8"/>
    </row>
    <row r="64" spans="1:51" x14ac:dyDescent="0.15">
      <c r="A64" s="11" t="s">
        <v>73</v>
      </c>
      <c r="B64" s="12" t="s">
        <v>61</v>
      </c>
      <c r="C64" s="10" t="s">
        <v>62</v>
      </c>
      <c r="D64" s="10" t="s">
        <v>63</v>
      </c>
      <c r="E64" s="9">
        <v>176</v>
      </c>
      <c r="F64" s="9">
        <v>176</v>
      </c>
      <c r="G64" s="9">
        <v>3</v>
      </c>
      <c r="H64" s="10" t="s">
        <v>63</v>
      </c>
      <c r="I64" s="9">
        <v>1</v>
      </c>
      <c r="J64" s="9">
        <v>0.33899037500668799</v>
      </c>
      <c r="K64" s="10" t="s">
        <v>51</v>
      </c>
      <c r="L64" s="9">
        <v>3</v>
      </c>
      <c r="M64" s="9">
        <v>176</v>
      </c>
      <c r="N64" s="9">
        <v>176</v>
      </c>
      <c r="O64" s="9">
        <v>15</v>
      </c>
      <c r="P64" s="9">
        <v>227.722448291999</v>
      </c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9">
        <v>227.71374479201</v>
      </c>
      <c r="AD64" s="9">
        <v>227.722448291999</v>
      </c>
      <c r="AE64" s="9">
        <v>228.207165709013</v>
      </c>
      <c r="AF64" s="9">
        <v>228.207165709013</v>
      </c>
      <c r="AG64" s="9">
        <v>228.207165709013</v>
      </c>
      <c r="AH64" s="9">
        <v>228.54810300000801</v>
      </c>
      <c r="AI64" s="10" t="s">
        <v>63</v>
      </c>
      <c r="AJ64" s="9">
        <v>1</v>
      </c>
      <c r="AK64" s="9">
        <v>0.33899037500668799</v>
      </c>
      <c r="AL64" s="10" t="s">
        <v>51</v>
      </c>
      <c r="AM64" s="8"/>
      <c r="AN64" s="8"/>
      <c r="AO64" s="8"/>
      <c r="AP64" s="8"/>
      <c r="AQ64" s="9">
        <v>3</v>
      </c>
      <c r="AR64" s="9">
        <v>1</v>
      </c>
      <c r="AS64" s="10" t="s">
        <v>94</v>
      </c>
      <c r="AT64" s="10" t="s">
        <v>53</v>
      </c>
      <c r="AU64" s="8"/>
      <c r="AV64" s="10" t="s">
        <v>54</v>
      </c>
      <c r="AW64" s="10" t="s">
        <v>51</v>
      </c>
      <c r="AX64" s="10" t="s">
        <v>95</v>
      </c>
      <c r="AY64" s="8"/>
    </row>
    <row r="65" spans="1:51" x14ac:dyDescent="0.15">
      <c r="A65" s="11" t="s">
        <v>70</v>
      </c>
      <c r="B65" s="12" t="s">
        <v>61</v>
      </c>
      <c r="C65" s="10" t="s">
        <v>62</v>
      </c>
      <c r="D65" s="10" t="s">
        <v>63</v>
      </c>
      <c r="E65" s="9">
        <v>177</v>
      </c>
      <c r="F65" s="9">
        <v>177</v>
      </c>
      <c r="G65" s="9">
        <v>4</v>
      </c>
      <c r="H65" s="10" t="s">
        <v>63</v>
      </c>
      <c r="I65" s="9">
        <v>1</v>
      </c>
      <c r="J65" s="9">
        <v>0.36484345801000001</v>
      </c>
      <c r="K65" s="10" t="s">
        <v>51</v>
      </c>
      <c r="L65" s="9">
        <v>4</v>
      </c>
      <c r="M65" s="9">
        <v>177</v>
      </c>
      <c r="N65" s="9">
        <v>177</v>
      </c>
      <c r="O65" s="9">
        <v>13</v>
      </c>
      <c r="P65" s="9">
        <v>228.56263608401099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9">
        <v>228.553028584007</v>
      </c>
      <c r="AD65" s="9">
        <v>228.56263608401099</v>
      </c>
      <c r="AE65" s="9">
        <v>229.04928895901</v>
      </c>
      <c r="AF65" s="9">
        <v>229.04928895901</v>
      </c>
      <c r="AG65" s="9">
        <v>229.04928895901</v>
      </c>
      <c r="AH65" s="9">
        <v>229.425464750006</v>
      </c>
      <c r="AI65" s="10" t="s">
        <v>63</v>
      </c>
      <c r="AJ65" s="9">
        <v>1</v>
      </c>
      <c r="AK65" s="9">
        <v>0.36484345801000001</v>
      </c>
      <c r="AL65" s="10" t="s">
        <v>51</v>
      </c>
      <c r="AM65" s="8"/>
      <c r="AN65" s="8"/>
      <c r="AO65" s="8"/>
      <c r="AP65" s="8"/>
      <c r="AQ65" s="9">
        <v>3</v>
      </c>
      <c r="AR65" s="9">
        <v>1</v>
      </c>
      <c r="AS65" s="10" t="s">
        <v>94</v>
      </c>
      <c r="AT65" s="10" t="s">
        <v>53</v>
      </c>
      <c r="AU65" s="8"/>
      <c r="AV65" s="10" t="s">
        <v>54</v>
      </c>
      <c r="AW65" s="10" t="s">
        <v>51</v>
      </c>
      <c r="AX65" s="10" t="s">
        <v>95</v>
      </c>
      <c r="AY65" s="8"/>
    </row>
    <row r="66" spans="1:51" x14ac:dyDescent="0.15">
      <c r="A66" s="11" t="s">
        <v>85</v>
      </c>
      <c r="B66" s="12" t="s">
        <v>61</v>
      </c>
      <c r="C66" s="10" t="s">
        <v>58</v>
      </c>
      <c r="D66" s="10" t="s">
        <v>59</v>
      </c>
      <c r="E66" s="9">
        <v>182</v>
      </c>
      <c r="F66" s="9">
        <v>182</v>
      </c>
      <c r="G66" s="9">
        <v>2</v>
      </c>
      <c r="H66" s="10" t="s">
        <v>59</v>
      </c>
      <c r="I66" s="9">
        <v>1</v>
      </c>
      <c r="J66" s="9">
        <v>0.69425008299003799</v>
      </c>
      <c r="K66" s="10" t="s">
        <v>51</v>
      </c>
      <c r="L66" s="9">
        <v>2</v>
      </c>
      <c r="M66" s="9">
        <v>182</v>
      </c>
      <c r="N66" s="9">
        <v>182</v>
      </c>
      <c r="O66" s="9">
        <v>10</v>
      </c>
      <c r="P66" s="9">
        <v>235.11241616700099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9">
        <v>235.10303150000999</v>
      </c>
      <c r="AD66" s="9">
        <v>235.11241616700099</v>
      </c>
      <c r="AE66" s="9">
        <v>235.599902000002</v>
      </c>
      <c r="AF66" s="9">
        <v>235.599902000002</v>
      </c>
      <c r="AG66" s="9">
        <v>235.599902000002</v>
      </c>
      <c r="AH66" s="9">
        <v>236.29913374999899</v>
      </c>
      <c r="AI66" s="10" t="s">
        <v>59</v>
      </c>
      <c r="AJ66" s="9">
        <v>1</v>
      </c>
      <c r="AK66" s="9">
        <v>0.69425008299003799</v>
      </c>
      <c r="AL66" s="10" t="s">
        <v>51</v>
      </c>
      <c r="AM66" s="8"/>
      <c r="AN66" s="8"/>
      <c r="AO66" s="8"/>
      <c r="AP66" s="8"/>
      <c r="AQ66" s="9">
        <v>3</v>
      </c>
      <c r="AR66" s="9">
        <v>1</v>
      </c>
      <c r="AS66" s="10" t="s">
        <v>94</v>
      </c>
      <c r="AT66" s="10" t="s">
        <v>53</v>
      </c>
      <c r="AU66" s="8"/>
      <c r="AV66" s="10" t="s">
        <v>54</v>
      </c>
      <c r="AW66" s="10" t="s">
        <v>51</v>
      </c>
      <c r="AX66" s="10" t="s">
        <v>95</v>
      </c>
      <c r="AY66" s="8"/>
    </row>
    <row r="67" spans="1:51" x14ac:dyDescent="0.15">
      <c r="A67" s="11" t="s">
        <v>79</v>
      </c>
      <c r="B67" s="12" t="s">
        <v>61</v>
      </c>
      <c r="C67" s="10" t="s">
        <v>58</v>
      </c>
      <c r="D67" s="10" t="s">
        <v>59</v>
      </c>
      <c r="E67" s="9">
        <v>183</v>
      </c>
      <c r="F67" s="9">
        <v>183</v>
      </c>
      <c r="G67" s="9">
        <v>3</v>
      </c>
      <c r="H67" s="10" t="s">
        <v>59</v>
      </c>
      <c r="I67" s="9">
        <v>1</v>
      </c>
      <c r="J67" s="9">
        <v>0.56889770799898498</v>
      </c>
      <c r="K67" s="10" t="s">
        <v>51</v>
      </c>
      <c r="L67" s="9">
        <v>3</v>
      </c>
      <c r="M67" s="9">
        <v>183</v>
      </c>
      <c r="N67" s="9">
        <v>183</v>
      </c>
      <c r="O67" s="9">
        <v>6</v>
      </c>
      <c r="P67" s="9">
        <v>236.31310254200099</v>
      </c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9">
        <v>236.30322591699999</v>
      </c>
      <c r="AD67" s="9">
        <v>236.31310254200099</v>
      </c>
      <c r="AE67" s="9">
        <v>236.80040820900501</v>
      </c>
      <c r="AF67" s="9">
        <v>236.80040820900501</v>
      </c>
      <c r="AG67" s="9">
        <v>236.80040820900501</v>
      </c>
      <c r="AH67" s="9">
        <v>237.375940500002</v>
      </c>
      <c r="AI67" s="10" t="s">
        <v>59</v>
      </c>
      <c r="AJ67" s="9">
        <v>1</v>
      </c>
      <c r="AK67" s="9">
        <v>0.56889770799898498</v>
      </c>
      <c r="AL67" s="10" t="s">
        <v>51</v>
      </c>
      <c r="AM67" s="8"/>
      <c r="AN67" s="8"/>
      <c r="AO67" s="8"/>
      <c r="AP67" s="8"/>
      <c r="AQ67" s="9">
        <v>3</v>
      </c>
      <c r="AR67" s="9">
        <v>1</v>
      </c>
      <c r="AS67" s="10" t="s">
        <v>94</v>
      </c>
      <c r="AT67" s="10" t="s">
        <v>53</v>
      </c>
      <c r="AU67" s="8"/>
      <c r="AV67" s="10" t="s">
        <v>54</v>
      </c>
      <c r="AW67" s="10" t="s">
        <v>51</v>
      </c>
      <c r="AX67" s="10" t="s">
        <v>95</v>
      </c>
      <c r="AY67" s="8"/>
    </row>
    <row r="68" spans="1:51" x14ac:dyDescent="0.15">
      <c r="A68" s="11" t="s">
        <v>85</v>
      </c>
      <c r="B68" s="12" t="s">
        <v>61</v>
      </c>
      <c r="C68" s="10" t="s">
        <v>58</v>
      </c>
      <c r="D68" s="10" t="s">
        <v>59</v>
      </c>
      <c r="E68" s="9">
        <v>188</v>
      </c>
      <c r="F68" s="9">
        <v>188</v>
      </c>
      <c r="G68" s="9">
        <v>3</v>
      </c>
      <c r="H68" s="10" t="s">
        <v>59</v>
      </c>
      <c r="I68" s="9">
        <v>1</v>
      </c>
      <c r="J68" s="9">
        <v>0.52783312500105195</v>
      </c>
      <c r="K68" s="10" t="s">
        <v>51</v>
      </c>
      <c r="L68" s="9">
        <v>3</v>
      </c>
      <c r="M68" s="9">
        <v>188</v>
      </c>
      <c r="N68" s="9">
        <v>188</v>
      </c>
      <c r="O68" s="9">
        <v>10</v>
      </c>
      <c r="P68" s="9">
        <v>241.40737658399999</v>
      </c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9">
        <v>241.39801245900199</v>
      </c>
      <c r="AD68" s="9">
        <v>241.40737658399999</v>
      </c>
      <c r="AE68" s="9">
        <v>241.89056895900299</v>
      </c>
      <c r="AF68" s="9">
        <v>241.89056895900299</v>
      </c>
      <c r="AG68" s="9">
        <v>241.89056895900299</v>
      </c>
      <c r="AH68" s="9">
        <v>242.425955917002</v>
      </c>
      <c r="AI68" s="10" t="s">
        <v>59</v>
      </c>
      <c r="AJ68" s="9">
        <v>1</v>
      </c>
      <c r="AK68" s="9">
        <v>0.52783312500105195</v>
      </c>
      <c r="AL68" s="10" t="s">
        <v>51</v>
      </c>
      <c r="AM68" s="8"/>
      <c r="AN68" s="8"/>
      <c r="AO68" s="8"/>
      <c r="AP68" s="8"/>
      <c r="AQ68" s="9">
        <v>3</v>
      </c>
      <c r="AR68" s="9">
        <v>1</v>
      </c>
      <c r="AS68" s="10" t="s">
        <v>94</v>
      </c>
      <c r="AT68" s="10" t="s">
        <v>53</v>
      </c>
      <c r="AU68" s="8"/>
      <c r="AV68" s="10" t="s">
        <v>54</v>
      </c>
      <c r="AW68" s="10" t="s">
        <v>51</v>
      </c>
      <c r="AX68" s="10" t="s">
        <v>95</v>
      </c>
      <c r="AY68" s="8"/>
    </row>
    <row r="69" spans="1:51" x14ac:dyDescent="0.15">
      <c r="A69" s="11" t="s">
        <v>70</v>
      </c>
      <c r="B69" s="12" t="s">
        <v>61</v>
      </c>
      <c r="C69" s="10" t="s">
        <v>58</v>
      </c>
      <c r="D69" s="10" t="s">
        <v>59</v>
      </c>
      <c r="E69" s="9">
        <v>190</v>
      </c>
      <c r="F69" s="9">
        <v>190</v>
      </c>
      <c r="G69" s="9">
        <v>4</v>
      </c>
      <c r="H69" s="10" t="s">
        <v>59</v>
      </c>
      <c r="I69" s="9">
        <v>1</v>
      </c>
      <c r="J69" s="9">
        <v>0.47825887399085298</v>
      </c>
      <c r="K69" s="10" t="s">
        <v>51</v>
      </c>
      <c r="L69" s="9">
        <v>4</v>
      </c>
      <c r="M69" s="9">
        <v>190</v>
      </c>
      <c r="N69" s="9">
        <v>190</v>
      </c>
      <c r="O69" s="9">
        <v>12</v>
      </c>
      <c r="P69" s="9">
        <v>243.47393391700501</v>
      </c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9">
        <v>243.46516316699899</v>
      </c>
      <c r="AD69" s="9">
        <v>243.47393391700501</v>
      </c>
      <c r="AE69" s="9">
        <v>243.95728545900801</v>
      </c>
      <c r="AF69" s="9">
        <v>243.95728545900801</v>
      </c>
      <c r="AG69" s="9">
        <v>243.95728545900801</v>
      </c>
      <c r="AH69" s="9">
        <v>244.441893375013</v>
      </c>
      <c r="AI69" s="10" t="s">
        <v>59</v>
      </c>
      <c r="AJ69" s="9">
        <v>1</v>
      </c>
      <c r="AK69" s="9">
        <v>0.47825887399085298</v>
      </c>
      <c r="AL69" s="10" t="s">
        <v>51</v>
      </c>
      <c r="AM69" s="8"/>
      <c r="AN69" s="8"/>
      <c r="AO69" s="8"/>
      <c r="AP69" s="8"/>
      <c r="AQ69" s="9">
        <v>3</v>
      </c>
      <c r="AR69" s="9">
        <v>1</v>
      </c>
      <c r="AS69" s="10" t="s">
        <v>94</v>
      </c>
      <c r="AT69" s="10" t="s">
        <v>53</v>
      </c>
      <c r="AU69" s="8"/>
      <c r="AV69" s="10" t="s">
        <v>54</v>
      </c>
      <c r="AW69" s="10" t="s">
        <v>51</v>
      </c>
      <c r="AX69" s="10" t="s">
        <v>95</v>
      </c>
      <c r="AY69" s="8"/>
    </row>
    <row r="70" spans="1:51" x14ac:dyDescent="0.15">
      <c r="A70" s="11" t="s">
        <v>79</v>
      </c>
      <c r="B70" s="12" t="s">
        <v>61</v>
      </c>
      <c r="C70" s="10" t="s">
        <v>62</v>
      </c>
      <c r="D70" s="10" t="s">
        <v>63</v>
      </c>
      <c r="E70" s="9">
        <v>192</v>
      </c>
      <c r="F70" s="9">
        <v>192</v>
      </c>
      <c r="G70" s="9">
        <v>4</v>
      </c>
      <c r="H70" s="10" t="s">
        <v>63</v>
      </c>
      <c r="I70" s="9">
        <v>1</v>
      </c>
      <c r="J70" s="9">
        <v>0.58226362499408402</v>
      </c>
      <c r="K70" s="10" t="s">
        <v>51</v>
      </c>
      <c r="L70" s="9">
        <v>4</v>
      </c>
      <c r="M70" s="9">
        <v>192</v>
      </c>
      <c r="N70" s="9">
        <v>192</v>
      </c>
      <c r="O70" s="9">
        <v>7</v>
      </c>
      <c r="P70" s="9">
        <v>245.39065579201301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9">
        <v>245.38157879200301</v>
      </c>
      <c r="AD70" s="9">
        <v>245.39065579201301</v>
      </c>
      <c r="AE70" s="9">
        <v>245.874091125006</v>
      </c>
      <c r="AF70" s="9">
        <v>245.874091125006</v>
      </c>
      <c r="AG70" s="9">
        <v>245.874091125006</v>
      </c>
      <c r="AH70" s="9">
        <v>246.46230879200399</v>
      </c>
      <c r="AI70" s="10" t="s">
        <v>63</v>
      </c>
      <c r="AJ70" s="9">
        <v>1</v>
      </c>
      <c r="AK70" s="9">
        <v>0.58226362499408402</v>
      </c>
      <c r="AL70" s="10" t="s">
        <v>51</v>
      </c>
      <c r="AM70" s="8"/>
      <c r="AN70" s="8"/>
      <c r="AO70" s="8"/>
      <c r="AP70" s="8"/>
      <c r="AQ70" s="9">
        <v>3</v>
      </c>
      <c r="AR70" s="9">
        <v>1</v>
      </c>
      <c r="AS70" s="10" t="s">
        <v>94</v>
      </c>
      <c r="AT70" s="10" t="s">
        <v>53</v>
      </c>
      <c r="AU70" s="8"/>
      <c r="AV70" s="10" t="s">
        <v>54</v>
      </c>
      <c r="AW70" s="10" t="s">
        <v>51</v>
      </c>
      <c r="AX70" s="10" t="s">
        <v>95</v>
      </c>
      <c r="AY70" s="8"/>
    </row>
    <row r="71" spans="1:51" x14ac:dyDescent="0.15">
      <c r="A71" s="11" t="s">
        <v>83</v>
      </c>
      <c r="B71" s="12" t="s">
        <v>61</v>
      </c>
      <c r="C71" s="10" t="s">
        <v>62</v>
      </c>
      <c r="D71" s="10" t="s">
        <v>63</v>
      </c>
      <c r="E71" s="9">
        <v>196</v>
      </c>
      <c r="F71" s="9">
        <v>196</v>
      </c>
      <c r="G71" s="9">
        <v>4</v>
      </c>
      <c r="H71" s="10" t="s">
        <v>63</v>
      </c>
      <c r="I71" s="9">
        <v>1</v>
      </c>
      <c r="J71" s="9">
        <v>0.52129725000122595</v>
      </c>
      <c r="K71" s="10" t="s">
        <v>51</v>
      </c>
      <c r="L71" s="9">
        <v>4</v>
      </c>
      <c r="M71" s="9">
        <v>196</v>
      </c>
      <c r="N71" s="9">
        <v>196</v>
      </c>
      <c r="O71" s="9">
        <v>3</v>
      </c>
      <c r="P71" s="9">
        <v>249.68982545900499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9">
        <v>249.680893542012</v>
      </c>
      <c r="AD71" s="9">
        <v>249.68982545900499</v>
      </c>
      <c r="AE71" s="9">
        <v>250.17420154200201</v>
      </c>
      <c r="AF71" s="9">
        <v>250.17420154200201</v>
      </c>
      <c r="AG71" s="9">
        <v>250.17420154200201</v>
      </c>
      <c r="AH71" s="9">
        <v>250.698701917005</v>
      </c>
      <c r="AI71" s="10" t="s">
        <v>63</v>
      </c>
      <c r="AJ71" s="9">
        <v>1</v>
      </c>
      <c r="AK71" s="9">
        <v>0.52129725000122595</v>
      </c>
      <c r="AL71" s="10" t="s">
        <v>51</v>
      </c>
      <c r="AM71" s="8"/>
      <c r="AN71" s="8"/>
      <c r="AO71" s="8"/>
      <c r="AP71" s="8"/>
      <c r="AQ71" s="9">
        <v>3</v>
      </c>
      <c r="AR71" s="9">
        <v>1</v>
      </c>
      <c r="AS71" s="10" t="s">
        <v>94</v>
      </c>
      <c r="AT71" s="10" t="s">
        <v>53</v>
      </c>
      <c r="AU71" s="8"/>
      <c r="AV71" s="10" t="s">
        <v>54</v>
      </c>
      <c r="AW71" s="10" t="s">
        <v>51</v>
      </c>
      <c r="AX71" s="10" t="s">
        <v>95</v>
      </c>
      <c r="AY71" s="8"/>
    </row>
    <row r="72" spans="1:51" x14ac:dyDescent="0.15">
      <c r="A72" s="11" t="s">
        <v>64</v>
      </c>
      <c r="B72" s="12" t="s">
        <v>61</v>
      </c>
      <c r="C72" s="10" t="s">
        <v>58</v>
      </c>
      <c r="D72" s="10" t="s">
        <v>59</v>
      </c>
      <c r="E72" s="9">
        <v>199</v>
      </c>
      <c r="F72" s="9">
        <v>199</v>
      </c>
      <c r="G72" s="9">
        <v>2</v>
      </c>
      <c r="H72" s="10" t="s">
        <v>59</v>
      </c>
      <c r="I72" s="9">
        <v>1</v>
      </c>
      <c r="J72" s="9">
        <v>0.85490350000327497</v>
      </c>
      <c r="K72" s="10" t="s">
        <v>51</v>
      </c>
      <c r="L72" s="9">
        <v>2</v>
      </c>
      <c r="M72" s="9">
        <v>199</v>
      </c>
      <c r="N72" s="9">
        <v>199</v>
      </c>
      <c r="O72" s="9">
        <v>4</v>
      </c>
      <c r="P72" s="9">
        <v>252.62310383400501</v>
      </c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9">
        <v>252.614088375005</v>
      </c>
      <c r="AD72" s="9">
        <v>252.62310383400501</v>
      </c>
      <c r="AE72" s="9">
        <v>253.10763166700801</v>
      </c>
      <c r="AF72" s="9">
        <v>253.10763166700801</v>
      </c>
      <c r="AG72" s="9">
        <v>253.10763166700801</v>
      </c>
      <c r="AH72" s="9">
        <v>253.96608079200101</v>
      </c>
      <c r="AI72" s="10" t="s">
        <v>59</v>
      </c>
      <c r="AJ72" s="9">
        <v>1</v>
      </c>
      <c r="AK72" s="9">
        <v>0.85490350000327497</v>
      </c>
      <c r="AL72" s="10" t="s">
        <v>51</v>
      </c>
      <c r="AM72" s="8"/>
      <c r="AN72" s="8"/>
      <c r="AO72" s="8"/>
      <c r="AP72" s="8"/>
      <c r="AQ72" s="9">
        <v>3</v>
      </c>
      <c r="AR72" s="9">
        <v>1</v>
      </c>
      <c r="AS72" s="10" t="s">
        <v>94</v>
      </c>
      <c r="AT72" s="10" t="s">
        <v>53</v>
      </c>
      <c r="AU72" s="8"/>
      <c r="AV72" s="10" t="s">
        <v>54</v>
      </c>
      <c r="AW72" s="10" t="s">
        <v>51</v>
      </c>
      <c r="AX72" s="10" t="s">
        <v>95</v>
      </c>
      <c r="AY72" s="8"/>
    </row>
    <row r="73" spans="1:51" x14ac:dyDescent="0.15">
      <c r="A73" s="11" t="s">
        <v>73</v>
      </c>
      <c r="B73" s="12" t="s">
        <v>61</v>
      </c>
      <c r="C73" s="10" t="s">
        <v>62</v>
      </c>
      <c r="D73" s="10" t="s">
        <v>63</v>
      </c>
      <c r="E73" s="9">
        <v>200</v>
      </c>
      <c r="F73" s="9">
        <v>200</v>
      </c>
      <c r="G73" s="9">
        <v>4</v>
      </c>
      <c r="H73" s="10" t="s">
        <v>63</v>
      </c>
      <c r="I73" s="9">
        <v>1</v>
      </c>
      <c r="J73" s="9">
        <v>0.51500233300612297</v>
      </c>
      <c r="K73" s="10" t="s">
        <v>51</v>
      </c>
      <c r="L73" s="9">
        <v>4</v>
      </c>
      <c r="M73" s="9">
        <v>200</v>
      </c>
      <c r="N73" s="9">
        <v>200</v>
      </c>
      <c r="O73" s="9">
        <v>15</v>
      </c>
      <c r="P73" s="9">
        <v>253.979875959005</v>
      </c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9">
        <v>253.97080704200201</v>
      </c>
      <c r="AD73" s="9">
        <v>253.979875959005</v>
      </c>
      <c r="AE73" s="9">
        <v>254.46745337500801</v>
      </c>
      <c r="AF73" s="9">
        <v>254.46745337500801</v>
      </c>
      <c r="AG73" s="9">
        <v>254.46745337500801</v>
      </c>
      <c r="AH73" s="9">
        <v>254.99318295900599</v>
      </c>
      <c r="AI73" s="10" t="s">
        <v>63</v>
      </c>
      <c r="AJ73" s="9">
        <v>1</v>
      </c>
      <c r="AK73" s="9">
        <v>0.51500233300612297</v>
      </c>
      <c r="AL73" s="10" t="s">
        <v>51</v>
      </c>
      <c r="AM73" s="8"/>
      <c r="AN73" s="8"/>
      <c r="AO73" s="8"/>
      <c r="AP73" s="8"/>
      <c r="AQ73" s="9">
        <v>3</v>
      </c>
      <c r="AR73" s="9">
        <v>1</v>
      </c>
      <c r="AS73" s="10" t="s">
        <v>94</v>
      </c>
      <c r="AT73" s="10" t="s">
        <v>53</v>
      </c>
      <c r="AU73" s="8"/>
      <c r="AV73" s="10" t="s">
        <v>54</v>
      </c>
      <c r="AW73" s="10" t="s">
        <v>51</v>
      </c>
      <c r="AX73" s="10" t="s">
        <v>95</v>
      </c>
      <c r="AY73" s="8"/>
    </row>
    <row r="74" spans="1:51" x14ac:dyDescent="0.15">
      <c r="A74" s="11" t="s">
        <v>79</v>
      </c>
      <c r="B74" s="12" t="s">
        <v>61</v>
      </c>
      <c r="C74" s="10" t="s">
        <v>58</v>
      </c>
      <c r="D74" s="10" t="s">
        <v>59</v>
      </c>
      <c r="E74" s="9">
        <v>206</v>
      </c>
      <c r="F74" s="9">
        <v>206</v>
      </c>
      <c r="G74" s="9">
        <v>4</v>
      </c>
      <c r="H74" s="10" t="s">
        <v>59</v>
      </c>
      <c r="I74" s="9">
        <v>1</v>
      </c>
      <c r="J74" s="9">
        <v>0.52832133299671102</v>
      </c>
      <c r="K74" s="10" t="s">
        <v>51</v>
      </c>
      <c r="L74" s="9">
        <v>4</v>
      </c>
      <c r="M74" s="9">
        <v>206</v>
      </c>
      <c r="N74" s="9">
        <v>206</v>
      </c>
      <c r="O74" s="9">
        <v>6</v>
      </c>
      <c r="P74" s="9">
        <v>260.207759917001</v>
      </c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9">
        <v>260.19857649999898</v>
      </c>
      <c r="AD74" s="9">
        <v>260.207759917001</v>
      </c>
      <c r="AE74" s="9">
        <v>260.691438709007</v>
      </c>
      <c r="AF74" s="9">
        <v>260.691438709007</v>
      </c>
      <c r="AG74" s="9">
        <v>260.691438709007</v>
      </c>
      <c r="AH74" s="9">
        <v>261.22693370901101</v>
      </c>
      <c r="AI74" s="10" t="s">
        <v>59</v>
      </c>
      <c r="AJ74" s="9">
        <v>1</v>
      </c>
      <c r="AK74" s="9">
        <v>0.52832133299671102</v>
      </c>
      <c r="AL74" s="10" t="s">
        <v>51</v>
      </c>
      <c r="AM74" s="8"/>
      <c r="AN74" s="8"/>
      <c r="AO74" s="8"/>
      <c r="AP74" s="8"/>
      <c r="AQ74" s="9">
        <v>3</v>
      </c>
      <c r="AR74" s="9">
        <v>1</v>
      </c>
      <c r="AS74" s="10" t="s">
        <v>94</v>
      </c>
      <c r="AT74" s="10" t="s">
        <v>53</v>
      </c>
      <c r="AU74" s="8"/>
      <c r="AV74" s="10" t="s">
        <v>54</v>
      </c>
      <c r="AW74" s="10" t="s">
        <v>51</v>
      </c>
      <c r="AX74" s="10" t="s">
        <v>95</v>
      </c>
      <c r="AY74" s="8"/>
    </row>
    <row r="75" spans="1:51" x14ac:dyDescent="0.15">
      <c r="A75" s="11" t="s">
        <v>64</v>
      </c>
      <c r="B75" s="12" t="s">
        <v>61</v>
      </c>
      <c r="C75" s="10" t="s">
        <v>58</v>
      </c>
      <c r="D75" s="10" t="s">
        <v>59</v>
      </c>
      <c r="E75" s="9">
        <v>207</v>
      </c>
      <c r="F75" s="9">
        <v>207</v>
      </c>
      <c r="G75" s="9">
        <v>3</v>
      </c>
      <c r="H75" s="10" t="s">
        <v>59</v>
      </c>
      <c r="I75" s="9">
        <v>1</v>
      </c>
      <c r="J75" s="9">
        <v>2.15712804099894</v>
      </c>
      <c r="K75" s="10" t="s">
        <v>51</v>
      </c>
      <c r="L75" s="9">
        <v>3</v>
      </c>
      <c r="M75" s="9">
        <v>207</v>
      </c>
      <c r="N75" s="9">
        <v>207</v>
      </c>
      <c r="O75" s="9">
        <v>4</v>
      </c>
      <c r="P75" s="9">
        <v>261.24115270900103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9">
        <v>261.232153625009</v>
      </c>
      <c r="AD75" s="9">
        <v>261.24115270900103</v>
      </c>
      <c r="AE75" s="9">
        <v>261.72457558401197</v>
      </c>
      <c r="AF75" s="9">
        <v>261.72457558401197</v>
      </c>
      <c r="AG75" s="9">
        <v>261.72457558401197</v>
      </c>
      <c r="AH75" s="9">
        <v>263.89354425000801</v>
      </c>
      <c r="AI75" s="10" t="s">
        <v>59</v>
      </c>
      <c r="AJ75" s="9">
        <v>1</v>
      </c>
      <c r="AK75" s="9">
        <v>2.15712804099894</v>
      </c>
      <c r="AL75" s="10" t="s">
        <v>51</v>
      </c>
      <c r="AM75" s="8"/>
      <c r="AN75" s="8"/>
      <c r="AO75" s="8"/>
      <c r="AP75" s="8"/>
      <c r="AQ75" s="9">
        <v>3</v>
      </c>
      <c r="AR75" s="9">
        <v>1</v>
      </c>
      <c r="AS75" s="10" t="s">
        <v>94</v>
      </c>
      <c r="AT75" s="10" t="s">
        <v>53</v>
      </c>
      <c r="AU75" s="8"/>
      <c r="AV75" s="10" t="s">
        <v>54</v>
      </c>
      <c r="AW75" s="10" t="s">
        <v>51</v>
      </c>
      <c r="AX75" s="10" t="s">
        <v>95</v>
      </c>
      <c r="AY75" s="8"/>
    </row>
    <row r="76" spans="1:51" x14ac:dyDescent="0.15">
      <c r="A76" s="11" t="s">
        <v>64</v>
      </c>
      <c r="B76" s="12" t="s">
        <v>61</v>
      </c>
      <c r="C76" s="10" t="s">
        <v>62</v>
      </c>
      <c r="D76" s="10" t="s">
        <v>63</v>
      </c>
      <c r="E76" s="9">
        <v>208</v>
      </c>
      <c r="F76" s="9">
        <v>208</v>
      </c>
      <c r="G76" s="9">
        <v>4</v>
      </c>
      <c r="H76" s="10" t="s">
        <v>63</v>
      </c>
      <c r="I76" s="9">
        <v>1</v>
      </c>
      <c r="J76" s="9">
        <v>0.54132441600086201</v>
      </c>
      <c r="K76" s="10" t="s">
        <v>51</v>
      </c>
      <c r="L76" s="9">
        <v>4</v>
      </c>
      <c r="M76" s="9">
        <v>208</v>
      </c>
      <c r="N76" s="9">
        <v>208</v>
      </c>
      <c r="O76" s="9">
        <v>5</v>
      </c>
      <c r="P76" s="9">
        <v>263.90440437500399</v>
      </c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9">
        <v>263.89476133399899</v>
      </c>
      <c r="AD76" s="9">
        <v>263.90440437500399</v>
      </c>
      <c r="AE76" s="9">
        <v>264.39134862500902</v>
      </c>
      <c r="AF76" s="9">
        <v>264.39134862500902</v>
      </c>
      <c r="AG76" s="9">
        <v>264.39134862500902</v>
      </c>
      <c r="AH76" s="9">
        <v>264.94373600000102</v>
      </c>
      <c r="AI76" s="10" t="s">
        <v>63</v>
      </c>
      <c r="AJ76" s="9">
        <v>1</v>
      </c>
      <c r="AK76" s="9">
        <v>0.54132441600086201</v>
      </c>
      <c r="AL76" s="10" t="s">
        <v>51</v>
      </c>
      <c r="AM76" s="8"/>
      <c r="AN76" s="8"/>
      <c r="AO76" s="8"/>
      <c r="AP76" s="8"/>
      <c r="AQ76" s="9">
        <v>3</v>
      </c>
      <c r="AR76" s="9">
        <v>1</v>
      </c>
      <c r="AS76" s="10" t="s">
        <v>94</v>
      </c>
      <c r="AT76" s="10" t="s">
        <v>53</v>
      </c>
      <c r="AU76" s="8"/>
      <c r="AV76" s="10" t="s">
        <v>54</v>
      </c>
      <c r="AW76" s="10" t="s">
        <v>51</v>
      </c>
      <c r="AX76" s="10" t="s">
        <v>95</v>
      </c>
      <c r="AY76" s="8"/>
    </row>
    <row r="77" spans="1:51" x14ac:dyDescent="0.15">
      <c r="A77" s="11" t="s">
        <v>85</v>
      </c>
      <c r="B77" s="12" t="s">
        <v>61</v>
      </c>
      <c r="C77" s="10" t="s">
        <v>58</v>
      </c>
      <c r="D77" s="10" t="s">
        <v>59</v>
      </c>
      <c r="E77" s="9">
        <v>212</v>
      </c>
      <c r="F77" s="9">
        <v>212</v>
      </c>
      <c r="G77" s="9">
        <v>4</v>
      </c>
      <c r="H77" s="10" t="s">
        <v>59</v>
      </c>
      <c r="I77" s="9">
        <v>1</v>
      </c>
      <c r="J77" s="9">
        <v>0.30374133298755601</v>
      </c>
      <c r="K77" s="10" t="s">
        <v>51</v>
      </c>
      <c r="L77" s="9">
        <v>4</v>
      </c>
      <c r="M77" s="9">
        <v>212</v>
      </c>
      <c r="N77" s="9">
        <v>212</v>
      </c>
      <c r="O77" s="9">
        <v>10</v>
      </c>
      <c r="P77" s="9">
        <v>267.946525042004</v>
      </c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9">
        <v>267.93691729201203</v>
      </c>
      <c r="AD77" s="9">
        <v>267.946525042004</v>
      </c>
      <c r="AE77" s="9">
        <v>268.43412662501203</v>
      </c>
      <c r="AF77" s="9">
        <v>268.43412662501203</v>
      </c>
      <c r="AG77" s="9">
        <v>268.43412662501203</v>
      </c>
      <c r="AH77" s="9">
        <v>268.743734459</v>
      </c>
      <c r="AI77" s="10" t="s">
        <v>59</v>
      </c>
      <c r="AJ77" s="9">
        <v>1</v>
      </c>
      <c r="AK77" s="9">
        <v>0.30374133298755601</v>
      </c>
      <c r="AL77" s="10" t="s">
        <v>51</v>
      </c>
      <c r="AM77" s="8"/>
      <c r="AN77" s="8"/>
      <c r="AO77" s="8"/>
      <c r="AP77" s="8"/>
      <c r="AQ77" s="9">
        <v>3</v>
      </c>
      <c r="AR77" s="9">
        <v>1</v>
      </c>
      <c r="AS77" s="10" t="s">
        <v>94</v>
      </c>
      <c r="AT77" s="10" t="s">
        <v>53</v>
      </c>
      <c r="AU77" s="8"/>
      <c r="AV77" s="10" t="s">
        <v>54</v>
      </c>
      <c r="AW77" s="10" t="s">
        <v>51</v>
      </c>
      <c r="AX77" s="10" t="s">
        <v>95</v>
      </c>
      <c r="AY77" s="8"/>
    </row>
    <row r="78" spans="1:51" x14ac:dyDescent="0.15">
      <c r="A78" s="11" t="s">
        <v>64</v>
      </c>
      <c r="B78" s="12" t="s">
        <v>61</v>
      </c>
      <c r="C78" s="10" t="s">
        <v>58</v>
      </c>
      <c r="D78" s="10" t="s">
        <v>59</v>
      </c>
      <c r="E78" s="9">
        <v>216</v>
      </c>
      <c r="F78" s="9">
        <v>216</v>
      </c>
      <c r="G78" s="9">
        <v>4</v>
      </c>
      <c r="H78" s="10" t="s">
        <v>59</v>
      </c>
      <c r="I78" s="9">
        <v>1</v>
      </c>
      <c r="J78" s="9">
        <v>0.84616908300085902</v>
      </c>
      <c r="K78" s="10" t="s">
        <v>51</v>
      </c>
      <c r="L78" s="9">
        <v>4</v>
      </c>
      <c r="M78" s="9">
        <v>216</v>
      </c>
      <c r="N78" s="9">
        <v>216</v>
      </c>
      <c r="O78" s="9">
        <v>4</v>
      </c>
      <c r="P78" s="9">
        <v>271.06378725000798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9">
        <v>271.05423041700902</v>
      </c>
      <c r="AD78" s="9">
        <v>271.06378725000798</v>
      </c>
      <c r="AE78" s="9">
        <v>271.55071404200902</v>
      </c>
      <c r="AF78" s="9">
        <v>271.55071404200902</v>
      </c>
      <c r="AG78" s="9">
        <v>271.55071404200902</v>
      </c>
      <c r="AH78" s="9">
        <v>272.39947308400599</v>
      </c>
      <c r="AI78" s="10" t="s">
        <v>59</v>
      </c>
      <c r="AJ78" s="9">
        <v>1</v>
      </c>
      <c r="AK78" s="9">
        <v>0.84616908300085902</v>
      </c>
      <c r="AL78" s="10" t="s">
        <v>51</v>
      </c>
      <c r="AM78" s="8"/>
      <c r="AN78" s="8"/>
      <c r="AO78" s="8"/>
      <c r="AP78" s="8"/>
      <c r="AQ78" s="9">
        <v>3</v>
      </c>
      <c r="AR78" s="9">
        <v>1</v>
      </c>
      <c r="AS78" s="10" t="s">
        <v>94</v>
      </c>
      <c r="AT78" s="10" t="s">
        <v>53</v>
      </c>
      <c r="AU78" s="8"/>
      <c r="AV78" s="10" t="s">
        <v>54</v>
      </c>
      <c r="AW78" s="10" t="s">
        <v>51</v>
      </c>
      <c r="AX78" s="10" t="s">
        <v>95</v>
      </c>
      <c r="AY78" s="8"/>
    </row>
    <row r="79" spans="1:51" x14ac:dyDescent="0.15">
      <c r="A79" s="11" t="s">
        <v>83</v>
      </c>
      <c r="B79" s="12" t="s">
        <v>61</v>
      </c>
      <c r="C79" s="10" t="s">
        <v>58</v>
      </c>
      <c r="D79" s="10" t="s">
        <v>59</v>
      </c>
      <c r="E79" s="9">
        <v>220</v>
      </c>
      <c r="F79" s="9">
        <v>220</v>
      </c>
      <c r="G79" s="9">
        <v>3</v>
      </c>
      <c r="H79" s="10" t="s">
        <v>59</v>
      </c>
      <c r="I79" s="9">
        <v>1</v>
      </c>
      <c r="J79" s="9">
        <v>0.41730824999103799</v>
      </c>
      <c r="K79" s="10" t="s">
        <v>51</v>
      </c>
      <c r="L79" s="9">
        <v>3</v>
      </c>
      <c r="M79" s="9">
        <v>220</v>
      </c>
      <c r="N79" s="9">
        <v>220</v>
      </c>
      <c r="O79" s="9">
        <v>2</v>
      </c>
      <c r="P79" s="9">
        <v>275.42435962500201</v>
      </c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9">
        <v>275.41516033400001</v>
      </c>
      <c r="AD79" s="9">
        <v>275.42435962500201</v>
      </c>
      <c r="AE79" s="9">
        <v>275.90859425001003</v>
      </c>
      <c r="AF79" s="9">
        <v>275.90859425001003</v>
      </c>
      <c r="AG79" s="9">
        <v>275.90859425001003</v>
      </c>
      <c r="AH79" s="9">
        <v>276.33315825001</v>
      </c>
      <c r="AI79" s="10" t="s">
        <v>59</v>
      </c>
      <c r="AJ79" s="9">
        <v>1</v>
      </c>
      <c r="AK79" s="9">
        <v>0.41730824999103799</v>
      </c>
      <c r="AL79" s="10" t="s">
        <v>51</v>
      </c>
      <c r="AM79" s="8"/>
      <c r="AN79" s="8"/>
      <c r="AO79" s="8"/>
      <c r="AP79" s="8"/>
      <c r="AQ79" s="9">
        <v>3</v>
      </c>
      <c r="AR79" s="9">
        <v>1</v>
      </c>
      <c r="AS79" s="10" t="s">
        <v>94</v>
      </c>
      <c r="AT79" s="10" t="s">
        <v>53</v>
      </c>
      <c r="AU79" s="8"/>
      <c r="AV79" s="10" t="s">
        <v>54</v>
      </c>
      <c r="AW79" s="10" t="s">
        <v>51</v>
      </c>
      <c r="AX79" s="10" t="s">
        <v>95</v>
      </c>
      <c r="AY79" s="8"/>
    </row>
    <row r="80" spans="1:51" x14ac:dyDescent="0.15">
      <c r="A80" s="11" t="s">
        <v>83</v>
      </c>
      <c r="B80" s="12" t="s">
        <v>61</v>
      </c>
      <c r="C80" s="10" t="s">
        <v>58</v>
      </c>
      <c r="D80" s="10" t="s">
        <v>59</v>
      </c>
      <c r="E80" s="9">
        <v>226</v>
      </c>
      <c r="F80" s="9">
        <v>226</v>
      </c>
      <c r="G80" s="9">
        <v>4</v>
      </c>
      <c r="H80" s="10" t="s">
        <v>59</v>
      </c>
      <c r="I80" s="9">
        <v>1</v>
      </c>
      <c r="J80" s="9">
        <v>0.40249833298730697</v>
      </c>
      <c r="K80" s="10" t="s">
        <v>51</v>
      </c>
      <c r="L80" s="9">
        <v>4</v>
      </c>
      <c r="M80" s="9">
        <v>226</v>
      </c>
      <c r="N80" s="9">
        <v>226</v>
      </c>
      <c r="O80" s="9">
        <v>2</v>
      </c>
      <c r="P80" s="9">
        <v>281.21500583400501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9">
        <v>281.20544366700102</v>
      </c>
      <c r="AD80" s="9">
        <v>281.21500583400501</v>
      </c>
      <c r="AE80" s="9">
        <v>281.70159658401099</v>
      </c>
      <c r="AF80" s="9">
        <v>281.70159658401099</v>
      </c>
      <c r="AG80" s="9">
        <v>281.70159658401099</v>
      </c>
      <c r="AH80" s="9">
        <v>282.11093062499998</v>
      </c>
      <c r="AI80" s="10" t="s">
        <v>59</v>
      </c>
      <c r="AJ80" s="9">
        <v>1</v>
      </c>
      <c r="AK80" s="9">
        <v>0.40249833298730697</v>
      </c>
      <c r="AL80" s="10" t="s">
        <v>51</v>
      </c>
      <c r="AM80" s="8"/>
      <c r="AN80" s="8"/>
      <c r="AO80" s="8"/>
      <c r="AP80" s="8"/>
      <c r="AQ80" s="9">
        <v>3</v>
      </c>
      <c r="AR80" s="9">
        <v>1</v>
      </c>
      <c r="AS80" s="10" t="s">
        <v>94</v>
      </c>
      <c r="AT80" s="10" t="s">
        <v>53</v>
      </c>
      <c r="AU80" s="8"/>
      <c r="AV80" s="10" t="s">
        <v>54</v>
      </c>
      <c r="AW80" s="10" t="s">
        <v>51</v>
      </c>
      <c r="AX80" s="10" t="s">
        <v>95</v>
      </c>
      <c r="AY80" s="8"/>
    </row>
    <row r="81" spans="1:51" x14ac:dyDescent="0.15">
      <c r="A81" s="11" t="s">
        <v>74</v>
      </c>
      <c r="B81" s="12" t="s">
        <v>61</v>
      </c>
      <c r="C81" s="10" t="s">
        <v>62</v>
      </c>
      <c r="D81" s="10" t="s">
        <v>63</v>
      </c>
      <c r="E81" s="9">
        <v>237</v>
      </c>
      <c r="F81" s="9">
        <v>237</v>
      </c>
      <c r="G81" s="9">
        <v>4</v>
      </c>
      <c r="H81" s="10" t="s">
        <v>63</v>
      </c>
      <c r="I81" s="9">
        <v>1</v>
      </c>
      <c r="J81" s="9">
        <v>0.45308316699811302</v>
      </c>
      <c r="K81" s="10" t="s">
        <v>51</v>
      </c>
      <c r="L81" s="9">
        <v>4</v>
      </c>
      <c r="M81" s="9">
        <v>237</v>
      </c>
      <c r="N81" s="9">
        <v>237</v>
      </c>
      <c r="O81" s="9">
        <v>1</v>
      </c>
      <c r="P81" s="9">
        <v>291.12566129201201</v>
      </c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9">
        <v>291.11664345901198</v>
      </c>
      <c r="AD81" s="9">
        <v>291.12566129201201</v>
      </c>
      <c r="AE81" s="9">
        <v>291.60914137501101</v>
      </c>
      <c r="AF81" s="9">
        <v>291.60914137501101</v>
      </c>
      <c r="AG81" s="9">
        <v>291.60914137501101</v>
      </c>
      <c r="AH81" s="9">
        <v>292.06749629200198</v>
      </c>
      <c r="AI81" s="10" t="s">
        <v>63</v>
      </c>
      <c r="AJ81" s="9">
        <v>1</v>
      </c>
      <c r="AK81" s="9">
        <v>0.45308316699811302</v>
      </c>
      <c r="AL81" s="10" t="s">
        <v>51</v>
      </c>
      <c r="AM81" s="8"/>
      <c r="AN81" s="8"/>
      <c r="AO81" s="8"/>
      <c r="AP81" s="8"/>
      <c r="AQ81" s="9">
        <v>3</v>
      </c>
      <c r="AR81" s="9">
        <v>1</v>
      </c>
      <c r="AS81" s="10" t="s">
        <v>94</v>
      </c>
      <c r="AT81" s="10" t="s">
        <v>53</v>
      </c>
      <c r="AU81" s="8"/>
      <c r="AV81" s="10" t="s">
        <v>54</v>
      </c>
      <c r="AW81" s="10" t="s">
        <v>51</v>
      </c>
      <c r="AX81" s="10" t="s">
        <v>95</v>
      </c>
      <c r="AY81" s="8"/>
    </row>
    <row r="82" spans="1:51" x14ac:dyDescent="0.15">
      <c r="A82" s="11" t="s">
        <v>84</v>
      </c>
      <c r="B82" s="12" t="s">
        <v>57</v>
      </c>
      <c r="C82" s="10" t="s">
        <v>62</v>
      </c>
      <c r="D82" s="10" t="s">
        <v>63</v>
      </c>
      <c r="E82" s="9">
        <v>5</v>
      </c>
      <c r="F82" s="9">
        <v>5</v>
      </c>
      <c r="G82" s="9">
        <v>0</v>
      </c>
      <c r="H82" s="10" t="s">
        <v>63</v>
      </c>
      <c r="I82" s="9">
        <v>1</v>
      </c>
      <c r="J82" s="9">
        <v>0.60016312399238803</v>
      </c>
      <c r="K82" s="10" t="s">
        <v>51</v>
      </c>
      <c r="L82" s="9">
        <v>0</v>
      </c>
      <c r="M82" s="9">
        <v>5</v>
      </c>
      <c r="N82" s="9">
        <v>5</v>
      </c>
      <c r="O82" s="9">
        <v>21</v>
      </c>
      <c r="P82" s="9">
        <v>30.632186167000299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9">
        <v>30.623039375001099</v>
      </c>
      <c r="AD82" s="9">
        <v>30.632186167000299</v>
      </c>
      <c r="AE82" s="9">
        <v>31.116153709008401</v>
      </c>
      <c r="AF82" s="9">
        <v>31.116153709008401</v>
      </c>
      <c r="AG82" s="9">
        <v>31.116153709008401</v>
      </c>
      <c r="AH82" s="9">
        <v>31.718263167000298</v>
      </c>
      <c r="AI82" s="10" t="s">
        <v>63</v>
      </c>
      <c r="AJ82" s="9">
        <v>1</v>
      </c>
      <c r="AK82" s="9">
        <v>0.60016312399238803</v>
      </c>
      <c r="AL82" s="10" t="s">
        <v>51</v>
      </c>
      <c r="AM82" s="8"/>
      <c r="AN82" s="8"/>
      <c r="AO82" s="8"/>
      <c r="AP82" s="8"/>
      <c r="AQ82" s="9">
        <v>3</v>
      </c>
      <c r="AR82" s="9">
        <v>1</v>
      </c>
      <c r="AS82" s="10" t="s">
        <v>94</v>
      </c>
      <c r="AT82" s="10" t="s">
        <v>53</v>
      </c>
      <c r="AU82" s="8"/>
      <c r="AV82" s="10" t="s">
        <v>54</v>
      </c>
      <c r="AW82" s="10" t="s">
        <v>51</v>
      </c>
      <c r="AX82" s="10" t="s">
        <v>95</v>
      </c>
      <c r="AY82" s="8"/>
    </row>
    <row r="83" spans="1:51" x14ac:dyDescent="0.15">
      <c r="A83" s="11" t="s">
        <v>75</v>
      </c>
      <c r="B83" s="12" t="s">
        <v>57</v>
      </c>
      <c r="C83" s="10" t="s">
        <v>58</v>
      </c>
      <c r="D83" s="10" t="s">
        <v>59</v>
      </c>
      <c r="E83" s="9">
        <v>8</v>
      </c>
      <c r="F83" s="9">
        <v>8</v>
      </c>
      <c r="G83" s="9">
        <v>0</v>
      </c>
      <c r="H83" s="10" t="s">
        <v>59</v>
      </c>
      <c r="I83" s="9">
        <v>1</v>
      </c>
      <c r="J83" s="9">
        <v>0.64839762500196196</v>
      </c>
      <c r="K83" s="10" t="s">
        <v>51</v>
      </c>
      <c r="L83" s="9">
        <v>0</v>
      </c>
      <c r="M83" s="9">
        <v>8</v>
      </c>
      <c r="N83" s="9">
        <v>8</v>
      </c>
      <c r="O83" s="9">
        <v>18</v>
      </c>
      <c r="P83" s="9">
        <v>34.150568249999203</v>
      </c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9">
        <v>34.141413084013003</v>
      </c>
      <c r="AD83" s="9">
        <v>34.150568249999203</v>
      </c>
      <c r="AE83" s="9">
        <v>34.633155417002897</v>
      </c>
      <c r="AF83" s="9">
        <v>34.633155417002897</v>
      </c>
      <c r="AG83" s="9">
        <v>34.633155417002897</v>
      </c>
      <c r="AH83" s="9">
        <v>35.2855297089991</v>
      </c>
      <c r="AI83" s="10" t="s">
        <v>59</v>
      </c>
      <c r="AJ83" s="9">
        <v>1</v>
      </c>
      <c r="AK83" s="9">
        <v>0.64839762500196196</v>
      </c>
      <c r="AL83" s="10" t="s">
        <v>51</v>
      </c>
      <c r="AM83" s="8"/>
      <c r="AN83" s="8"/>
      <c r="AO83" s="8"/>
      <c r="AP83" s="8"/>
      <c r="AQ83" s="9">
        <v>3</v>
      </c>
      <c r="AR83" s="9">
        <v>1</v>
      </c>
      <c r="AS83" s="10" t="s">
        <v>94</v>
      </c>
      <c r="AT83" s="10" t="s">
        <v>53</v>
      </c>
      <c r="AU83" s="8"/>
      <c r="AV83" s="10" t="s">
        <v>54</v>
      </c>
      <c r="AW83" s="10" t="s">
        <v>51</v>
      </c>
      <c r="AX83" s="10" t="s">
        <v>95</v>
      </c>
      <c r="AY83" s="8"/>
    </row>
    <row r="84" spans="1:51" x14ac:dyDescent="0.15">
      <c r="A84" s="11" t="s">
        <v>75</v>
      </c>
      <c r="B84" s="12" t="s">
        <v>57</v>
      </c>
      <c r="C84" s="10" t="s">
        <v>58</v>
      </c>
      <c r="D84" s="10" t="s">
        <v>59</v>
      </c>
      <c r="E84" s="9">
        <v>13</v>
      </c>
      <c r="F84" s="9">
        <v>13</v>
      </c>
      <c r="G84" s="9">
        <v>1</v>
      </c>
      <c r="H84" s="10" t="s">
        <v>63</v>
      </c>
      <c r="I84" s="9">
        <v>0</v>
      </c>
      <c r="J84" s="9">
        <v>0.57138595801370695</v>
      </c>
      <c r="K84" s="10" t="s">
        <v>51</v>
      </c>
      <c r="L84" s="9">
        <v>1</v>
      </c>
      <c r="M84" s="9">
        <v>13</v>
      </c>
      <c r="N84" s="9">
        <v>13</v>
      </c>
      <c r="O84" s="9">
        <v>18</v>
      </c>
      <c r="P84" s="9">
        <v>39.554838000010903</v>
      </c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9">
        <v>39.5455190000066</v>
      </c>
      <c r="AD84" s="9">
        <v>39.554838000010903</v>
      </c>
      <c r="AE84" s="9">
        <v>40.043267250002799</v>
      </c>
      <c r="AF84" s="9">
        <v>40.043267250002799</v>
      </c>
      <c r="AG84" s="9">
        <v>40.043267250002799</v>
      </c>
      <c r="AH84" s="9">
        <v>40.618706459004898</v>
      </c>
      <c r="AI84" s="10" t="s">
        <v>63</v>
      </c>
      <c r="AJ84" s="9">
        <v>0</v>
      </c>
      <c r="AK84" s="9">
        <v>0.57138595801370695</v>
      </c>
      <c r="AL84" s="10" t="s">
        <v>51</v>
      </c>
      <c r="AM84" s="8"/>
      <c r="AN84" s="8"/>
      <c r="AO84" s="8"/>
      <c r="AP84" s="8"/>
      <c r="AQ84" s="9">
        <v>3</v>
      </c>
      <c r="AR84" s="9">
        <v>1</v>
      </c>
      <c r="AS84" s="10" t="s">
        <v>94</v>
      </c>
      <c r="AT84" s="10" t="s">
        <v>53</v>
      </c>
      <c r="AU84" s="8"/>
      <c r="AV84" s="10" t="s">
        <v>54</v>
      </c>
      <c r="AW84" s="10" t="s">
        <v>51</v>
      </c>
      <c r="AX84" s="10" t="s">
        <v>95</v>
      </c>
      <c r="AY84" s="8"/>
    </row>
    <row r="85" spans="1:51" x14ac:dyDescent="0.15">
      <c r="A85" s="11" t="s">
        <v>78</v>
      </c>
      <c r="B85" s="12" t="s">
        <v>57</v>
      </c>
      <c r="C85" s="10" t="s">
        <v>58</v>
      </c>
      <c r="D85" s="10" t="s">
        <v>59</v>
      </c>
      <c r="E85" s="9">
        <v>18</v>
      </c>
      <c r="F85" s="9">
        <v>18</v>
      </c>
      <c r="G85" s="9">
        <v>0</v>
      </c>
      <c r="H85" s="10" t="s">
        <v>59</v>
      </c>
      <c r="I85" s="9">
        <v>1</v>
      </c>
      <c r="J85" s="9">
        <v>0.43508754100184899</v>
      </c>
      <c r="K85" s="10" t="s">
        <v>51</v>
      </c>
      <c r="L85" s="9">
        <v>0</v>
      </c>
      <c r="M85" s="9">
        <v>18</v>
      </c>
      <c r="N85" s="9">
        <v>18</v>
      </c>
      <c r="O85" s="9">
        <v>26</v>
      </c>
      <c r="P85" s="9">
        <v>45.199979000011801</v>
      </c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9">
        <v>45.190877542001502</v>
      </c>
      <c r="AD85" s="9">
        <v>45.199979000011801</v>
      </c>
      <c r="AE85" s="9">
        <v>45.683481375002899</v>
      </c>
      <c r="AF85" s="9">
        <v>45.683481375002899</v>
      </c>
      <c r="AG85" s="9">
        <v>45.683481375002899</v>
      </c>
      <c r="AH85" s="9">
        <v>46.124762209001403</v>
      </c>
      <c r="AI85" s="10" t="s">
        <v>59</v>
      </c>
      <c r="AJ85" s="9">
        <v>1</v>
      </c>
      <c r="AK85" s="9">
        <v>0.43508754100184899</v>
      </c>
      <c r="AL85" s="10" t="s">
        <v>51</v>
      </c>
      <c r="AM85" s="8"/>
      <c r="AN85" s="8"/>
      <c r="AO85" s="8"/>
      <c r="AP85" s="8"/>
      <c r="AQ85" s="9">
        <v>3</v>
      </c>
      <c r="AR85" s="9">
        <v>1</v>
      </c>
      <c r="AS85" s="10" t="s">
        <v>94</v>
      </c>
      <c r="AT85" s="10" t="s">
        <v>53</v>
      </c>
      <c r="AU85" s="8"/>
      <c r="AV85" s="10" t="s">
        <v>54</v>
      </c>
      <c r="AW85" s="10" t="s">
        <v>51</v>
      </c>
      <c r="AX85" s="10" t="s">
        <v>95</v>
      </c>
      <c r="AY85" s="8"/>
    </row>
    <row r="86" spans="1:51" x14ac:dyDescent="0.15">
      <c r="A86" s="11" t="s">
        <v>84</v>
      </c>
      <c r="B86" s="12" t="s">
        <v>57</v>
      </c>
      <c r="C86" s="10" t="s">
        <v>62</v>
      </c>
      <c r="D86" s="10" t="s">
        <v>63</v>
      </c>
      <c r="E86" s="9">
        <v>19</v>
      </c>
      <c r="F86" s="9">
        <v>19</v>
      </c>
      <c r="G86" s="9">
        <v>1</v>
      </c>
      <c r="H86" s="10" t="s">
        <v>63</v>
      </c>
      <c r="I86" s="9">
        <v>1</v>
      </c>
      <c r="J86" s="9">
        <v>0.58254337399557699</v>
      </c>
      <c r="K86" s="10" t="s">
        <v>51</v>
      </c>
      <c r="L86" s="9">
        <v>1</v>
      </c>
      <c r="M86" s="9">
        <v>19</v>
      </c>
      <c r="N86" s="9">
        <v>19</v>
      </c>
      <c r="O86" s="9">
        <v>21</v>
      </c>
      <c r="P86" s="9">
        <v>46.139766000007498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9">
        <v>46.128725667003899</v>
      </c>
      <c r="AD86" s="9">
        <v>46.139766000007498</v>
      </c>
      <c r="AE86" s="9">
        <v>46.625990959000802</v>
      </c>
      <c r="AF86" s="9">
        <v>46.625990959000802</v>
      </c>
      <c r="AG86" s="9">
        <v>46.625990959000802</v>
      </c>
      <c r="AH86" s="9">
        <v>47.218968084009298</v>
      </c>
      <c r="AI86" s="10" t="s">
        <v>63</v>
      </c>
      <c r="AJ86" s="9">
        <v>1</v>
      </c>
      <c r="AK86" s="9">
        <v>0.58254337399557699</v>
      </c>
      <c r="AL86" s="10" t="s">
        <v>51</v>
      </c>
      <c r="AM86" s="8"/>
      <c r="AN86" s="8"/>
      <c r="AO86" s="8"/>
      <c r="AP86" s="8"/>
      <c r="AQ86" s="9">
        <v>3</v>
      </c>
      <c r="AR86" s="9">
        <v>1</v>
      </c>
      <c r="AS86" s="10" t="s">
        <v>94</v>
      </c>
      <c r="AT86" s="10" t="s">
        <v>53</v>
      </c>
      <c r="AU86" s="8"/>
      <c r="AV86" s="10" t="s">
        <v>54</v>
      </c>
      <c r="AW86" s="10" t="s">
        <v>51</v>
      </c>
      <c r="AX86" s="10" t="s">
        <v>95</v>
      </c>
      <c r="AY86" s="8"/>
    </row>
    <row r="87" spans="1:51" x14ac:dyDescent="0.15">
      <c r="A87" s="11" t="s">
        <v>68</v>
      </c>
      <c r="B87" s="12" t="s">
        <v>57</v>
      </c>
      <c r="C87" s="10" t="s">
        <v>62</v>
      </c>
      <c r="D87" s="10" t="s">
        <v>63</v>
      </c>
      <c r="E87" s="9">
        <v>22</v>
      </c>
      <c r="F87" s="9">
        <v>22</v>
      </c>
      <c r="G87" s="9">
        <v>0</v>
      </c>
      <c r="H87" s="10" t="s">
        <v>63</v>
      </c>
      <c r="I87" s="9">
        <v>1</v>
      </c>
      <c r="J87" s="9">
        <v>0.61917916701349895</v>
      </c>
      <c r="K87" s="10" t="s">
        <v>51</v>
      </c>
      <c r="L87" s="9">
        <v>0</v>
      </c>
      <c r="M87" s="9">
        <v>22</v>
      </c>
      <c r="N87" s="9">
        <v>22</v>
      </c>
      <c r="O87" s="9">
        <v>23</v>
      </c>
      <c r="P87" s="9">
        <v>49.500405292012204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9">
        <v>49.491501000011297</v>
      </c>
      <c r="AD87" s="9">
        <v>49.500405292012204</v>
      </c>
      <c r="AE87" s="9">
        <v>49.983498042012798</v>
      </c>
      <c r="AF87" s="9">
        <v>49.983498042012798</v>
      </c>
      <c r="AG87" s="9">
        <v>49.983498042012798</v>
      </c>
      <c r="AH87" s="9">
        <v>50.608411959008698</v>
      </c>
      <c r="AI87" s="10" t="s">
        <v>63</v>
      </c>
      <c r="AJ87" s="9">
        <v>1</v>
      </c>
      <c r="AK87" s="9">
        <v>0.61917916701349895</v>
      </c>
      <c r="AL87" s="10" t="s">
        <v>51</v>
      </c>
      <c r="AM87" s="8"/>
      <c r="AN87" s="8"/>
      <c r="AO87" s="8"/>
      <c r="AP87" s="8"/>
      <c r="AQ87" s="9">
        <v>3</v>
      </c>
      <c r="AR87" s="9">
        <v>1</v>
      </c>
      <c r="AS87" s="10" t="s">
        <v>94</v>
      </c>
      <c r="AT87" s="10" t="s">
        <v>53</v>
      </c>
      <c r="AU87" s="8"/>
      <c r="AV87" s="10" t="s">
        <v>54</v>
      </c>
      <c r="AW87" s="10" t="s">
        <v>51</v>
      </c>
      <c r="AX87" s="10" t="s">
        <v>95</v>
      </c>
      <c r="AY87" s="8"/>
    </row>
    <row r="88" spans="1:51" x14ac:dyDescent="0.15">
      <c r="A88" s="11" t="s">
        <v>78</v>
      </c>
      <c r="B88" s="12" t="s">
        <v>57</v>
      </c>
      <c r="C88" s="10" t="s">
        <v>62</v>
      </c>
      <c r="D88" s="10" t="s">
        <v>63</v>
      </c>
      <c r="E88" s="9">
        <v>24</v>
      </c>
      <c r="F88" s="9">
        <v>24</v>
      </c>
      <c r="G88" s="9">
        <v>0</v>
      </c>
      <c r="H88" s="10" t="s">
        <v>63</v>
      </c>
      <c r="I88" s="9">
        <v>1</v>
      </c>
      <c r="J88" s="9">
        <v>0.58878191601252206</v>
      </c>
      <c r="K88" s="10" t="s">
        <v>51</v>
      </c>
      <c r="L88" s="9">
        <v>0</v>
      </c>
      <c r="M88" s="9">
        <v>24</v>
      </c>
      <c r="N88" s="9">
        <v>24</v>
      </c>
      <c r="O88" s="9">
        <v>27</v>
      </c>
      <c r="P88" s="9">
        <v>51.733344792010001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9">
        <v>51.724298417000703</v>
      </c>
      <c r="AD88" s="9">
        <v>51.733344792010001</v>
      </c>
      <c r="AE88" s="9">
        <v>52.2169415840035</v>
      </c>
      <c r="AF88" s="9">
        <v>52.2169415840035</v>
      </c>
      <c r="AG88" s="9">
        <v>52.2169415840035</v>
      </c>
      <c r="AH88" s="9">
        <v>52.808548542001503</v>
      </c>
      <c r="AI88" s="10" t="s">
        <v>63</v>
      </c>
      <c r="AJ88" s="9">
        <v>1</v>
      </c>
      <c r="AK88" s="9">
        <v>0.58878191601252206</v>
      </c>
      <c r="AL88" s="10" t="s">
        <v>51</v>
      </c>
      <c r="AM88" s="8"/>
      <c r="AN88" s="8"/>
      <c r="AO88" s="8"/>
      <c r="AP88" s="8"/>
      <c r="AQ88" s="9">
        <v>3</v>
      </c>
      <c r="AR88" s="9">
        <v>1</v>
      </c>
      <c r="AS88" s="10" t="s">
        <v>94</v>
      </c>
      <c r="AT88" s="10" t="s">
        <v>53</v>
      </c>
      <c r="AU88" s="8"/>
      <c r="AV88" s="10" t="s">
        <v>54</v>
      </c>
      <c r="AW88" s="10" t="s">
        <v>51</v>
      </c>
      <c r="AX88" s="10" t="s">
        <v>95</v>
      </c>
      <c r="AY88" s="8"/>
    </row>
    <row r="89" spans="1:51" x14ac:dyDescent="0.15">
      <c r="A89" s="11" t="s">
        <v>68</v>
      </c>
      <c r="B89" s="12" t="s">
        <v>57</v>
      </c>
      <c r="C89" s="10" t="s">
        <v>58</v>
      </c>
      <c r="D89" s="10" t="s">
        <v>59</v>
      </c>
      <c r="E89" s="9">
        <v>25</v>
      </c>
      <c r="F89" s="9">
        <v>25</v>
      </c>
      <c r="G89" s="9">
        <v>0</v>
      </c>
      <c r="H89" s="10" t="s">
        <v>59</v>
      </c>
      <c r="I89" s="9">
        <v>1</v>
      </c>
      <c r="J89" s="9">
        <v>0.65331304199935403</v>
      </c>
      <c r="K89" s="10" t="s">
        <v>51</v>
      </c>
      <c r="L89" s="9">
        <v>0</v>
      </c>
      <c r="M89" s="9">
        <v>25</v>
      </c>
      <c r="N89" s="9">
        <v>25</v>
      </c>
      <c r="O89" s="9">
        <v>22</v>
      </c>
      <c r="P89" s="9">
        <v>52.823657375003698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9">
        <v>52.814450792007896</v>
      </c>
      <c r="AD89" s="9">
        <v>52.823657375003698</v>
      </c>
      <c r="AE89" s="9">
        <v>53.309456250004601</v>
      </c>
      <c r="AF89" s="9">
        <v>53.309456250004601</v>
      </c>
      <c r="AG89" s="9">
        <v>53.309456250004601</v>
      </c>
      <c r="AH89" s="9">
        <v>53.968832584010698</v>
      </c>
      <c r="AI89" s="10" t="s">
        <v>59</v>
      </c>
      <c r="AJ89" s="9">
        <v>1</v>
      </c>
      <c r="AK89" s="9">
        <v>0.65331304199935403</v>
      </c>
      <c r="AL89" s="10" t="s">
        <v>51</v>
      </c>
      <c r="AM89" s="8"/>
      <c r="AN89" s="8"/>
      <c r="AO89" s="8"/>
      <c r="AP89" s="8"/>
      <c r="AQ89" s="9">
        <v>3</v>
      </c>
      <c r="AR89" s="9">
        <v>1</v>
      </c>
      <c r="AS89" s="10" t="s">
        <v>94</v>
      </c>
      <c r="AT89" s="10" t="s">
        <v>53</v>
      </c>
      <c r="AU89" s="8"/>
      <c r="AV89" s="10" t="s">
        <v>54</v>
      </c>
      <c r="AW89" s="10" t="s">
        <v>51</v>
      </c>
      <c r="AX89" s="10" t="s">
        <v>95</v>
      </c>
      <c r="AY89" s="8"/>
    </row>
    <row r="90" spans="1:51" x14ac:dyDescent="0.15">
      <c r="A90" s="11" t="s">
        <v>78</v>
      </c>
      <c r="B90" s="12" t="s">
        <v>57</v>
      </c>
      <c r="C90" s="10" t="s">
        <v>62</v>
      </c>
      <c r="D90" s="10" t="s">
        <v>63</v>
      </c>
      <c r="E90" s="9">
        <v>27</v>
      </c>
      <c r="F90" s="9">
        <v>27</v>
      </c>
      <c r="G90" s="9">
        <v>1</v>
      </c>
      <c r="H90" s="10" t="s">
        <v>63</v>
      </c>
      <c r="I90" s="9">
        <v>1</v>
      </c>
      <c r="J90" s="9">
        <v>0.61770924901065904</v>
      </c>
      <c r="K90" s="10" t="s">
        <v>51</v>
      </c>
      <c r="L90" s="9">
        <v>1</v>
      </c>
      <c r="M90" s="9">
        <v>27</v>
      </c>
      <c r="N90" s="9">
        <v>27</v>
      </c>
      <c r="O90" s="9">
        <v>27</v>
      </c>
      <c r="P90" s="9">
        <v>55.049987083999397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9">
        <v>55.040557167012601</v>
      </c>
      <c r="AD90" s="9">
        <v>55.049987083999397</v>
      </c>
      <c r="AE90" s="9">
        <v>55.534020999999498</v>
      </c>
      <c r="AF90" s="9">
        <v>55.534020999999498</v>
      </c>
      <c r="AG90" s="9">
        <v>55.534020999999498</v>
      </c>
      <c r="AH90" s="9">
        <v>56.158817000003197</v>
      </c>
      <c r="AI90" s="10" t="s">
        <v>63</v>
      </c>
      <c r="AJ90" s="9">
        <v>1</v>
      </c>
      <c r="AK90" s="9">
        <v>0.61770924901065904</v>
      </c>
      <c r="AL90" s="10" t="s">
        <v>51</v>
      </c>
      <c r="AM90" s="8"/>
      <c r="AN90" s="8"/>
      <c r="AO90" s="8"/>
      <c r="AP90" s="8"/>
      <c r="AQ90" s="9">
        <v>3</v>
      </c>
      <c r="AR90" s="9">
        <v>1</v>
      </c>
      <c r="AS90" s="10" t="s">
        <v>94</v>
      </c>
      <c r="AT90" s="10" t="s">
        <v>53</v>
      </c>
      <c r="AU90" s="8"/>
      <c r="AV90" s="10" t="s">
        <v>54</v>
      </c>
      <c r="AW90" s="10" t="s">
        <v>51</v>
      </c>
      <c r="AX90" s="10" t="s">
        <v>95</v>
      </c>
      <c r="AY90" s="8"/>
    </row>
    <row r="91" spans="1:51" x14ac:dyDescent="0.15">
      <c r="A91" s="11" t="s">
        <v>65</v>
      </c>
      <c r="B91" s="12" t="s">
        <v>57</v>
      </c>
      <c r="C91" s="10" t="s">
        <v>58</v>
      </c>
      <c r="D91" s="10" t="s">
        <v>59</v>
      </c>
      <c r="E91" s="9">
        <v>29</v>
      </c>
      <c r="F91" s="9">
        <v>29</v>
      </c>
      <c r="G91" s="9">
        <v>0</v>
      </c>
      <c r="H91" s="10" t="s">
        <v>59</v>
      </c>
      <c r="I91" s="9">
        <v>1</v>
      </c>
      <c r="J91" s="9">
        <v>0.47531962499488101</v>
      </c>
      <c r="K91" s="10" t="s">
        <v>51</v>
      </c>
      <c r="L91" s="9">
        <v>0</v>
      </c>
      <c r="M91" s="9">
        <v>29</v>
      </c>
      <c r="N91" s="9">
        <v>29</v>
      </c>
      <c r="O91" s="9">
        <v>30</v>
      </c>
      <c r="P91" s="9">
        <v>57.114203584002098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9">
        <v>57.105143417007604</v>
      </c>
      <c r="AD91" s="9">
        <v>57.114203584002098</v>
      </c>
      <c r="AE91" s="9">
        <v>57.600471249999799</v>
      </c>
      <c r="AF91" s="9">
        <v>57.600471249999799</v>
      </c>
      <c r="AG91" s="9">
        <v>57.600471249999799</v>
      </c>
      <c r="AH91" s="9">
        <v>58.0861170840071</v>
      </c>
      <c r="AI91" s="10" t="s">
        <v>59</v>
      </c>
      <c r="AJ91" s="9">
        <v>1</v>
      </c>
      <c r="AK91" s="9">
        <v>0.47531962499488101</v>
      </c>
      <c r="AL91" s="10" t="s">
        <v>51</v>
      </c>
      <c r="AM91" s="8"/>
      <c r="AN91" s="8"/>
      <c r="AO91" s="8"/>
      <c r="AP91" s="8"/>
      <c r="AQ91" s="9">
        <v>3</v>
      </c>
      <c r="AR91" s="9">
        <v>1</v>
      </c>
      <c r="AS91" s="10" t="s">
        <v>94</v>
      </c>
      <c r="AT91" s="10" t="s">
        <v>53</v>
      </c>
      <c r="AU91" s="8"/>
      <c r="AV91" s="10" t="s">
        <v>54</v>
      </c>
      <c r="AW91" s="10" t="s">
        <v>51</v>
      </c>
      <c r="AX91" s="10" t="s">
        <v>95</v>
      </c>
      <c r="AY91" s="8"/>
    </row>
    <row r="92" spans="1:51" x14ac:dyDescent="0.15">
      <c r="A92" s="11" t="s">
        <v>71</v>
      </c>
      <c r="B92" s="12" t="s">
        <v>57</v>
      </c>
      <c r="C92" s="10" t="s">
        <v>58</v>
      </c>
      <c r="D92" s="10" t="s">
        <v>59</v>
      </c>
      <c r="E92" s="9">
        <v>30</v>
      </c>
      <c r="F92" s="9">
        <v>30</v>
      </c>
      <c r="G92" s="9">
        <v>0</v>
      </c>
      <c r="H92" s="10" t="s">
        <v>59</v>
      </c>
      <c r="I92" s="9">
        <v>1</v>
      </c>
      <c r="J92" s="9">
        <v>0.63884737499756705</v>
      </c>
      <c r="K92" s="10" t="s">
        <v>51</v>
      </c>
      <c r="L92" s="9">
        <v>0</v>
      </c>
      <c r="M92" s="9">
        <v>30</v>
      </c>
      <c r="N92" s="9">
        <v>30</v>
      </c>
      <c r="O92" s="9">
        <v>28</v>
      </c>
      <c r="P92" s="9">
        <v>58.1038782920077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9">
        <v>58.093809792000698</v>
      </c>
      <c r="AD92" s="9">
        <v>58.1038782920077</v>
      </c>
      <c r="AE92" s="9">
        <v>58.584064292008399</v>
      </c>
      <c r="AF92" s="9">
        <v>58.584064292008399</v>
      </c>
      <c r="AG92" s="9">
        <v>58.584064292008399</v>
      </c>
      <c r="AH92" s="9">
        <v>59.225054875001703</v>
      </c>
      <c r="AI92" s="10" t="s">
        <v>59</v>
      </c>
      <c r="AJ92" s="9">
        <v>1</v>
      </c>
      <c r="AK92" s="9">
        <v>0.63884737499756705</v>
      </c>
      <c r="AL92" s="10" t="s">
        <v>51</v>
      </c>
      <c r="AM92" s="8"/>
      <c r="AN92" s="8"/>
      <c r="AO92" s="8"/>
      <c r="AP92" s="8"/>
      <c r="AQ92" s="9">
        <v>3</v>
      </c>
      <c r="AR92" s="9">
        <v>1</v>
      </c>
      <c r="AS92" s="10" t="s">
        <v>94</v>
      </c>
      <c r="AT92" s="10" t="s">
        <v>53</v>
      </c>
      <c r="AU92" s="8"/>
      <c r="AV92" s="10" t="s">
        <v>54</v>
      </c>
      <c r="AW92" s="10" t="s">
        <v>51</v>
      </c>
      <c r="AX92" s="10" t="s">
        <v>95</v>
      </c>
      <c r="AY92" s="8"/>
    </row>
    <row r="93" spans="1:51" x14ac:dyDescent="0.15">
      <c r="A93" s="11" t="s">
        <v>72</v>
      </c>
      <c r="B93" s="12" t="s">
        <v>57</v>
      </c>
      <c r="C93" s="10" t="s">
        <v>58</v>
      </c>
      <c r="D93" s="10" t="s">
        <v>59</v>
      </c>
      <c r="E93" s="9">
        <v>31</v>
      </c>
      <c r="F93" s="9">
        <v>31</v>
      </c>
      <c r="G93" s="9">
        <v>0</v>
      </c>
      <c r="H93" s="10" t="s">
        <v>59</v>
      </c>
      <c r="I93" s="9">
        <v>1</v>
      </c>
      <c r="J93" s="9">
        <v>1.82055899999978</v>
      </c>
      <c r="K93" s="10" t="s">
        <v>51</v>
      </c>
      <c r="L93" s="9">
        <v>0</v>
      </c>
      <c r="M93" s="9">
        <v>31</v>
      </c>
      <c r="N93" s="9">
        <v>31</v>
      </c>
      <c r="O93" s="9">
        <v>24</v>
      </c>
      <c r="P93" s="9">
        <v>59.238570750007099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9">
        <v>59.229165374999901</v>
      </c>
      <c r="AD93" s="9">
        <v>59.238570750007099</v>
      </c>
      <c r="AE93" s="9">
        <v>59.726364959002197</v>
      </c>
      <c r="AF93" s="9">
        <v>59.726364959002197</v>
      </c>
      <c r="AG93" s="9">
        <v>59.726364959002197</v>
      </c>
      <c r="AH93" s="9">
        <v>61.552864334007602</v>
      </c>
      <c r="AI93" s="10" t="s">
        <v>59</v>
      </c>
      <c r="AJ93" s="9">
        <v>1</v>
      </c>
      <c r="AK93" s="9">
        <v>1.82055899999978</v>
      </c>
      <c r="AL93" s="10" t="s">
        <v>51</v>
      </c>
      <c r="AM93" s="8"/>
      <c r="AN93" s="8"/>
      <c r="AO93" s="8"/>
      <c r="AP93" s="8"/>
      <c r="AQ93" s="9">
        <v>3</v>
      </c>
      <c r="AR93" s="9">
        <v>1</v>
      </c>
      <c r="AS93" s="10" t="s">
        <v>94</v>
      </c>
      <c r="AT93" s="10" t="s">
        <v>53</v>
      </c>
      <c r="AU93" s="8"/>
      <c r="AV93" s="10" t="s">
        <v>54</v>
      </c>
      <c r="AW93" s="10" t="s">
        <v>51</v>
      </c>
      <c r="AX93" s="10" t="s">
        <v>95</v>
      </c>
      <c r="AY93" s="8"/>
    </row>
    <row r="94" spans="1:51" x14ac:dyDescent="0.15">
      <c r="A94" s="11" t="s">
        <v>71</v>
      </c>
      <c r="B94" s="12" t="s">
        <v>57</v>
      </c>
      <c r="C94" s="10" t="s">
        <v>62</v>
      </c>
      <c r="D94" s="10" t="s">
        <v>63</v>
      </c>
      <c r="E94" s="9">
        <v>37</v>
      </c>
      <c r="F94" s="9">
        <v>37</v>
      </c>
      <c r="G94" s="9">
        <v>0</v>
      </c>
      <c r="H94" s="10" t="s">
        <v>63</v>
      </c>
      <c r="I94" s="9">
        <v>1</v>
      </c>
      <c r="J94" s="9">
        <v>0.35914491700532403</v>
      </c>
      <c r="K94" s="10" t="s">
        <v>51</v>
      </c>
      <c r="L94" s="9">
        <v>0</v>
      </c>
      <c r="M94" s="9">
        <v>37</v>
      </c>
      <c r="N94" s="9">
        <v>37</v>
      </c>
      <c r="O94" s="9">
        <v>29</v>
      </c>
      <c r="P94" s="9">
        <v>66.7169278340007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9">
        <v>66.707808167004302</v>
      </c>
      <c r="AD94" s="9">
        <v>66.7169278340007</v>
      </c>
      <c r="AE94" s="9">
        <v>67.200949709003893</v>
      </c>
      <c r="AF94" s="9">
        <v>67.200949709003893</v>
      </c>
      <c r="AG94" s="9">
        <v>67.200949709003893</v>
      </c>
      <c r="AH94" s="9">
        <v>67.569780042002094</v>
      </c>
      <c r="AI94" s="10" t="s">
        <v>63</v>
      </c>
      <c r="AJ94" s="9">
        <v>1</v>
      </c>
      <c r="AK94" s="9">
        <v>0.35914491700532403</v>
      </c>
      <c r="AL94" s="10" t="s">
        <v>51</v>
      </c>
      <c r="AM94" s="8"/>
      <c r="AN94" s="8"/>
      <c r="AO94" s="8"/>
      <c r="AP94" s="8"/>
      <c r="AQ94" s="9">
        <v>3</v>
      </c>
      <c r="AR94" s="9">
        <v>1</v>
      </c>
      <c r="AS94" s="10" t="s">
        <v>94</v>
      </c>
      <c r="AT94" s="10" t="s">
        <v>53</v>
      </c>
      <c r="AU94" s="8"/>
      <c r="AV94" s="10" t="s">
        <v>54</v>
      </c>
      <c r="AW94" s="10" t="s">
        <v>51</v>
      </c>
      <c r="AX94" s="10" t="s">
        <v>95</v>
      </c>
      <c r="AY94" s="8"/>
    </row>
    <row r="95" spans="1:51" x14ac:dyDescent="0.15">
      <c r="A95" s="11" t="s">
        <v>65</v>
      </c>
      <c r="B95" s="12" t="s">
        <v>57</v>
      </c>
      <c r="C95" s="10" t="s">
        <v>62</v>
      </c>
      <c r="D95" s="10" t="s">
        <v>63</v>
      </c>
      <c r="E95" s="9">
        <v>39</v>
      </c>
      <c r="F95" s="9">
        <v>39</v>
      </c>
      <c r="G95" s="9">
        <v>0</v>
      </c>
      <c r="H95" s="10" t="s">
        <v>63</v>
      </c>
      <c r="I95" s="9">
        <v>1</v>
      </c>
      <c r="J95" s="9">
        <v>1.14916512499622</v>
      </c>
      <c r="K95" s="10" t="s">
        <v>51</v>
      </c>
      <c r="L95" s="9">
        <v>0</v>
      </c>
      <c r="M95" s="9">
        <v>39</v>
      </c>
      <c r="N95" s="9">
        <v>39</v>
      </c>
      <c r="O95" s="9">
        <v>31</v>
      </c>
      <c r="P95" s="9">
        <v>68.716845667004193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9">
        <v>68.707633167010499</v>
      </c>
      <c r="AD95" s="9">
        <v>68.716845667004193</v>
      </c>
      <c r="AE95" s="9">
        <v>69.201104834006401</v>
      </c>
      <c r="AF95" s="9">
        <v>69.201104834006401</v>
      </c>
      <c r="AG95" s="9">
        <v>69.201104834006401</v>
      </c>
      <c r="AH95" s="9">
        <v>70.353268959006499</v>
      </c>
      <c r="AI95" s="10" t="s">
        <v>63</v>
      </c>
      <c r="AJ95" s="9">
        <v>1</v>
      </c>
      <c r="AK95" s="9">
        <v>1.14916512499622</v>
      </c>
      <c r="AL95" s="10" t="s">
        <v>51</v>
      </c>
      <c r="AM95" s="8"/>
      <c r="AN95" s="8"/>
      <c r="AO95" s="8"/>
      <c r="AP95" s="8"/>
      <c r="AQ95" s="9">
        <v>3</v>
      </c>
      <c r="AR95" s="9">
        <v>1</v>
      </c>
      <c r="AS95" s="10" t="s">
        <v>94</v>
      </c>
      <c r="AT95" s="10" t="s">
        <v>53</v>
      </c>
      <c r="AU95" s="8"/>
      <c r="AV95" s="10" t="s">
        <v>54</v>
      </c>
      <c r="AW95" s="10" t="s">
        <v>51</v>
      </c>
      <c r="AX95" s="10" t="s">
        <v>95</v>
      </c>
      <c r="AY95" s="8"/>
    </row>
    <row r="96" spans="1:51" x14ac:dyDescent="0.15">
      <c r="A96" s="11" t="s">
        <v>65</v>
      </c>
      <c r="B96" s="12" t="s">
        <v>57</v>
      </c>
      <c r="C96" s="10" t="s">
        <v>62</v>
      </c>
      <c r="D96" s="10" t="s">
        <v>63</v>
      </c>
      <c r="E96" s="9">
        <v>43</v>
      </c>
      <c r="F96" s="9">
        <v>43</v>
      </c>
      <c r="G96" s="9">
        <v>1</v>
      </c>
      <c r="H96" s="10" t="s">
        <v>63</v>
      </c>
      <c r="I96" s="9">
        <v>1</v>
      </c>
      <c r="J96" s="9">
        <v>0.68804237399308499</v>
      </c>
      <c r="K96" s="10" t="s">
        <v>51</v>
      </c>
      <c r="L96" s="9">
        <v>1</v>
      </c>
      <c r="M96" s="9">
        <v>43</v>
      </c>
      <c r="N96" s="9">
        <v>43</v>
      </c>
      <c r="O96" s="9">
        <v>31</v>
      </c>
      <c r="P96" s="9">
        <v>72.923186167012304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9">
        <v>72.914022249999107</v>
      </c>
      <c r="AD96" s="9">
        <v>72.923186167012304</v>
      </c>
      <c r="AE96" s="9">
        <v>73.411092000009404</v>
      </c>
      <c r="AF96" s="9">
        <v>73.411092000009404</v>
      </c>
      <c r="AG96" s="9">
        <v>73.411092000009404</v>
      </c>
      <c r="AH96" s="9">
        <v>74.1036956250027</v>
      </c>
      <c r="AI96" s="10" t="s">
        <v>63</v>
      </c>
      <c r="AJ96" s="9">
        <v>1</v>
      </c>
      <c r="AK96" s="9">
        <v>0.68804237399308499</v>
      </c>
      <c r="AL96" s="10" t="s">
        <v>51</v>
      </c>
      <c r="AM96" s="8"/>
      <c r="AN96" s="8"/>
      <c r="AO96" s="8"/>
      <c r="AP96" s="8"/>
      <c r="AQ96" s="9">
        <v>3</v>
      </c>
      <c r="AR96" s="9">
        <v>1</v>
      </c>
      <c r="AS96" s="10" t="s">
        <v>94</v>
      </c>
      <c r="AT96" s="10" t="s">
        <v>53</v>
      </c>
      <c r="AU96" s="8"/>
      <c r="AV96" s="10" t="s">
        <v>54</v>
      </c>
      <c r="AW96" s="10" t="s">
        <v>51</v>
      </c>
      <c r="AX96" s="10" t="s">
        <v>95</v>
      </c>
      <c r="AY96" s="8"/>
    </row>
    <row r="97" spans="1:51" x14ac:dyDescent="0.15">
      <c r="A97" s="11" t="s">
        <v>71</v>
      </c>
      <c r="B97" s="12" t="s">
        <v>57</v>
      </c>
      <c r="C97" s="10" t="s">
        <v>58</v>
      </c>
      <c r="D97" s="10" t="s">
        <v>59</v>
      </c>
      <c r="E97" s="9">
        <v>45</v>
      </c>
      <c r="F97" s="9">
        <v>45</v>
      </c>
      <c r="G97" s="9">
        <v>1</v>
      </c>
      <c r="H97" s="10" t="s">
        <v>59</v>
      </c>
      <c r="I97" s="9">
        <v>1</v>
      </c>
      <c r="J97" s="9">
        <v>1.0385576249973401</v>
      </c>
      <c r="K97" s="10" t="s">
        <v>51</v>
      </c>
      <c r="L97" s="9">
        <v>1</v>
      </c>
      <c r="M97" s="9">
        <v>45</v>
      </c>
      <c r="N97" s="9">
        <v>45</v>
      </c>
      <c r="O97" s="9">
        <v>28</v>
      </c>
      <c r="P97" s="9">
        <v>75.518761917002905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9">
        <v>75.509532334006494</v>
      </c>
      <c r="AD97" s="9">
        <v>75.518761917002905</v>
      </c>
      <c r="AE97" s="9">
        <v>76.001727334005395</v>
      </c>
      <c r="AF97" s="9">
        <v>76.001727334005395</v>
      </c>
      <c r="AG97" s="9">
        <v>76.001727334005395</v>
      </c>
      <c r="AH97" s="9">
        <v>77.042524750009804</v>
      </c>
      <c r="AI97" s="10" t="s">
        <v>59</v>
      </c>
      <c r="AJ97" s="9">
        <v>1</v>
      </c>
      <c r="AK97" s="9">
        <v>1.0385576249973401</v>
      </c>
      <c r="AL97" s="10" t="s">
        <v>51</v>
      </c>
      <c r="AM97" s="8"/>
      <c r="AN97" s="8"/>
      <c r="AO97" s="8"/>
      <c r="AP97" s="8"/>
      <c r="AQ97" s="9">
        <v>3</v>
      </c>
      <c r="AR97" s="9">
        <v>1</v>
      </c>
      <c r="AS97" s="10" t="s">
        <v>94</v>
      </c>
      <c r="AT97" s="10" t="s">
        <v>53</v>
      </c>
      <c r="AU97" s="8"/>
      <c r="AV97" s="10" t="s">
        <v>54</v>
      </c>
      <c r="AW97" s="10" t="s">
        <v>51</v>
      </c>
      <c r="AX97" s="10" t="s">
        <v>95</v>
      </c>
      <c r="AY97" s="8"/>
    </row>
    <row r="98" spans="1:51" x14ac:dyDescent="0.15">
      <c r="A98" s="11" t="s">
        <v>56</v>
      </c>
      <c r="B98" s="12" t="s">
        <v>57</v>
      </c>
      <c r="C98" s="10" t="s">
        <v>58</v>
      </c>
      <c r="D98" s="10" t="s">
        <v>59</v>
      </c>
      <c r="E98" s="9">
        <v>47</v>
      </c>
      <c r="F98" s="9">
        <v>47</v>
      </c>
      <c r="G98" s="9">
        <v>0</v>
      </c>
      <c r="H98" s="10" t="s">
        <v>59</v>
      </c>
      <c r="I98" s="9">
        <v>1</v>
      </c>
      <c r="J98" s="9">
        <v>0.97224104100314401</v>
      </c>
      <c r="K98" s="10" t="s">
        <v>51</v>
      </c>
      <c r="L98" s="9">
        <v>0</v>
      </c>
      <c r="M98" s="9">
        <v>47</v>
      </c>
      <c r="N98" s="9">
        <v>47</v>
      </c>
      <c r="O98" s="9">
        <v>16</v>
      </c>
      <c r="P98" s="9">
        <v>78.273666042005104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9">
        <v>78.264348334007096</v>
      </c>
      <c r="AD98" s="9">
        <v>78.273666042005104</v>
      </c>
      <c r="AE98" s="9">
        <v>78.7603024999989</v>
      </c>
      <c r="AF98" s="9">
        <v>78.7603024999989</v>
      </c>
      <c r="AG98" s="9">
        <v>78.7603024999989</v>
      </c>
      <c r="AH98" s="9">
        <v>79.736696500011007</v>
      </c>
      <c r="AI98" s="10" t="s">
        <v>59</v>
      </c>
      <c r="AJ98" s="9">
        <v>1</v>
      </c>
      <c r="AK98" s="9">
        <v>0.97224104100314401</v>
      </c>
      <c r="AL98" s="10" t="s">
        <v>51</v>
      </c>
      <c r="AM98" s="8"/>
      <c r="AN98" s="8"/>
      <c r="AO98" s="8"/>
      <c r="AP98" s="8"/>
      <c r="AQ98" s="9">
        <v>3</v>
      </c>
      <c r="AR98" s="9">
        <v>1</v>
      </c>
      <c r="AS98" s="10" t="s">
        <v>94</v>
      </c>
      <c r="AT98" s="10" t="s">
        <v>53</v>
      </c>
      <c r="AU98" s="8"/>
      <c r="AV98" s="10" t="s">
        <v>54</v>
      </c>
      <c r="AW98" s="10" t="s">
        <v>51</v>
      </c>
      <c r="AX98" s="10" t="s">
        <v>95</v>
      </c>
      <c r="AY98" s="8"/>
    </row>
    <row r="99" spans="1:51" x14ac:dyDescent="0.15">
      <c r="A99" s="11" t="s">
        <v>84</v>
      </c>
      <c r="B99" s="12" t="s">
        <v>57</v>
      </c>
      <c r="C99" s="10" t="s">
        <v>62</v>
      </c>
      <c r="D99" s="10" t="s">
        <v>63</v>
      </c>
      <c r="E99" s="9">
        <v>49</v>
      </c>
      <c r="F99" s="9">
        <v>49</v>
      </c>
      <c r="G99" s="9">
        <v>2</v>
      </c>
      <c r="H99" s="10" t="s">
        <v>63</v>
      </c>
      <c r="I99" s="9">
        <v>1</v>
      </c>
      <c r="J99" s="9">
        <v>0.48791783300112002</v>
      </c>
      <c r="K99" s="10" t="s">
        <v>51</v>
      </c>
      <c r="L99" s="9">
        <v>2</v>
      </c>
      <c r="M99" s="9">
        <v>49</v>
      </c>
      <c r="N99" s="9">
        <v>49</v>
      </c>
      <c r="O99" s="9">
        <v>21</v>
      </c>
      <c r="P99" s="9">
        <v>80.806422959009097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9">
        <v>80.797271875009798</v>
      </c>
      <c r="AD99" s="9">
        <v>80.806422959009097</v>
      </c>
      <c r="AE99" s="9">
        <v>81.294618167012203</v>
      </c>
      <c r="AF99" s="9">
        <v>81.294618167012203</v>
      </c>
      <c r="AG99" s="9">
        <v>81.294618167012203</v>
      </c>
      <c r="AH99" s="9">
        <v>81.786706209008102</v>
      </c>
      <c r="AI99" s="10" t="s">
        <v>63</v>
      </c>
      <c r="AJ99" s="9">
        <v>1</v>
      </c>
      <c r="AK99" s="9">
        <v>0.48791783300112002</v>
      </c>
      <c r="AL99" s="10" t="s">
        <v>51</v>
      </c>
      <c r="AM99" s="8"/>
      <c r="AN99" s="8"/>
      <c r="AO99" s="8"/>
      <c r="AP99" s="8"/>
      <c r="AQ99" s="9">
        <v>3</v>
      </c>
      <c r="AR99" s="9">
        <v>1</v>
      </c>
      <c r="AS99" s="10" t="s">
        <v>94</v>
      </c>
      <c r="AT99" s="10" t="s">
        <v>53</v>
      </c>
      <c r="AU99" s="8"/>
      <c r="AV99" s="10" t="s">
        <v>54</v>
      </c>
      <c r="AW99" s="10" t="s">
        <v>51</v>
      </c>
      <c r="AX99" s="10" t="s">
        <v>95</v>
      </c>
      <c r="AY99" s="8"/>
    </row>
    <row r="100" spans="1:51" x14ac:dyDescent="0.15">
      <c r="A100" s="11" t="s">
        <v>75</v>
      </c>
      <c r="B100" s="12" t="s">
        <v>57</v>
      </c>
      <c r="C100" s="10" t="s">
        <v>62</v>
      </c>
      <c r="D100" s="10" t="s">
        <v>63</v>
      </c>
      <c r="E100" s="9">
        <v>57</v>
      </c>
      <c r="F100" s="9">
        <v>57</v>
      </c>
      <c r="G100" s="9">
        <v>0</v>
      </c>
      <c r="H100" s="10" t="s">
        <v>63</v>
      </c>
      <c r="I100" s="9">
        <v>1</v>
      </c>
      <c r="J100" s="9">
        <v>0.54694908300007195</v>
      </c>
      <c r="K100" s="10" t="s">
        <v>51</v>
      </c>
      <c r="L100" s="9">
        <v>0</v>
      </c>
      <c r="M100" s="9">
        <v>57</v>
      </c>
      <c r="N100" s="9">
        <v>57</v>
      </c>
      <c r="O100" s="9">
        <v>19</v>
      </c>
      <c r="P100" s="9">
        <v>90.540508250007406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9">
        <v>90.531089791998994</v>
      </c>
      <c r="AD100" s="9">
        <v>90.540508250007406</v>
      </c>
      <c r="AE100" s="9">
        <v>91.027614334001598</v>
      </c>
      <c r="AF100" s="9">
        <v>91.027614334001598</v>
      </c>
      <c r="AG100" s="9">
        <v>91.027614334001598</v>
      </c>
      <c r="AH100" s="9">
        <v>91.576429084001603</v>
      </c>
      <c r="AI100" s="10" t="s">
        <v>63</v>
      </c>
      <c r="AJ100" s="9">
        <v>1</v>
      </c>
      <c r="AK100" s="9">
        <v>0.54694908300007195</v>
      </c>
      <c r="AL100" s="10" t="s">
        <v>51</v>
      </c>
      <c r="AM100" s="8"/>
      <c r="AN100" s="8"/>
      <c r="AO100" s="8"/>
      <c r="AP100" s="8"/>
      <c r="AQ100" s="9">
        <v>3</v>
      </c>
      <c r="AR100" s="9">
        <v>1</v>
      </c>
      <c r="AS100" s="10" t="s">
        <v>94</v>
      </c>
      <c r="AT100" s="10" t="s">
        <v>53</v>
      </c>
      <c r="AU100" s="8"/>
      <c r="AV100" s="10" t="s">
        <v>54</v>
      </c>
      <c r="AW100" s="10" t="s">
        <v>51</v>
      </c>
      <c r="AX100" s="10" t="s">
        <v>95</v>
      </c>
      <c r="AY100" s="8"/>
    </row>
    <row r="101" spans="1:51" x14ac:dyDescent="0.15">
      <c r="A101" s="11" t="s">
        <v>65</v>
      </c>
      <c r="B101" s="12" t="s">
        <v>57</v>
      </c>
      <c r="C101" s="10" t="s">
        <v>58</v>
      </c>
      <c r="D101" s="10" t="s">
        <v>59</v>
      </c>
      <c r="E101" s="9">
        <v>59</v>
      </c>
      <c r="F101" s="9">
        <v>59</v>
      </c>
      <c r="G101" s="9">
        <v>1</v>
      </c>
      <c r="H101" s="10" t="s">
        <v>59</v>
      </c>
      <c r="I101" s="9">
        <v>1</v>
      </c>
      <c r="J101" s="9">
        <v>0.52813687500020001</v>
      </c>
      <c r="K101" s="10" t="s">
        <v>51</v>
      </c>
      <c r="L101" s="9">
        <v>1</v>
      </c>
      <c r="M101" s="9">
        <v>59</v>
      </c>
      <c r="N101" s="9">
        <v>59</v>
      </c>
      <c r="O101" s="9">
        <v>30</v>
      </c>
      <c r="P101" s="9">
        <v>92.569391375000095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9">
        <v>92.560041084012497</v>
      </c>
      <c r="AD101" s="9">
        <v>92.569391375000095</v>
      </c>
      <c r="AE101" s="9">
        <v>93.052475625008796</v>
      </c>
      <c r="AF101" s="9">
        <v>93.052475625008796</v>
      </c>
      <c r="AG101" s="9">
        <v>93.052475625008796</v>
      </c>
      <c r="AH101" s="9">
        <v>93.587207834003493</v>
      </c>
      <c r="AI101" s="10" t="s">
        <v>59</v>
      </c>
      <c r="AJ101" s="9">
        <v>1</v>
      </c>
      <c r="AK101" s="9">
        <v>0.52813687500020001</v>
      </c>
      <c r="AL101" s="10" t="s">
        <v>51</v>
      </c>
      <c r="AM101" s="8"/>
      <c r="AN101" s="8"/>
      <c r="AO101" s="8"/>
      <c r="AP101" s="8"/>
      <c r="AQ101" s="9">
        <v>3</v>
      </c>
      <c r="AR101" s="9">
        <v>1</v>
      </c>
      <c r="AS101" s="10" t="s">
        <v>94</v>
      </c>
      <c r="AT101" s="10" t="s">
        <v>53</v>
      </c>
      <c r="AU101" s="8"/>
      <c r="AV101" s="10" t="s">
        <v>54</v>
      </c>
      <c r="AW101" s="10" t="s">
        <v>51</v>
      </c>
      <c r="AX101" s="10" t="s">
        <v>95</v>
      </c>
      <c r="AY101" s="8"/>
    </row>
    <row r="102" spans="1:51" x14ac:dyDescent="0.15">
      <c r="A102" s="11" t="s">
        <v>65</v>
      </c>
      <c r="B102" s="12" t="s">
        <v>57</v>
      </c>
      <c r="C102" s="10" t="s">
        <v>58</v>
      </c>
      <c r="D102" s="10" t="s">
        <v>59</v>
      </c>
      <c r="E102" s="9">
        <v>65</v>
      </c>
      <c r="F102" s="9">
        <v>65</v>
      </c>
      <c r="G102" s="9">
        <v>2</v>
      </c>
      <c r="H102" s="10" t="s">
        <v>59</v>
      </c>
      <c r="I102" s="9">
        <v>1</v>
      </c>
      <c r="J102" s="9">
        <v>0.65460750000784196</v>
      </c>
      <c r="K102" s="10" t="s">
        <v>51</v>
      </c>
      <c r="L102" s="9">
        <v>2</v>
      </c>
      <c r="M102" s="9">
        <v>65</v>
      </c>
      <c r="N102" s="9">
        <v>65</v>
      </c>
      <c r="O102" s="9">
        <v>30</v>
      </c>
      <c r="P102" s="9">
        <v>99.616898292006198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9">
        <v>99.608173625005307</v>
      </c>
      <c r="AD102" s="9">
        <v>99.616898292006198</v>
      </c>
      <c r="AE102" s="9">
        <v>100.102079167002</v>
      </c>
      <c r="AF102" s="9">
        <v>100.102079167002</v>
      </c>
      <c r="AG102" s="9">
        <v>100.102079167002</v>
      </c>
      <c r="AH102" s="9">
        <v>100.760005209013</v>
      </c>
      <c r="AI102" s="10" t="s">
        <v>59</v>
      </c>
      <c r="AJ102" s="9">
        <v>1</v>
      </c>
      <c r="AK102" s="9">
        <v>0.65460750000784196</v>
      </c>
      <c r="AL102" s="10" t="s">
        <v>51</v>
      </c>
      <c r="AM102" s="8"/>
      <c r="AN102" s="8"/>
      <c r="AO102" s="8"/>
      <c r="AP102" s="8"/>
      <c r="AQ102" s="9">
        <v>3</v>
      </c>
      <c r="AR102" s="9">
        <v>1</v>
      </c>
      <c r="AS102" s="10" t="s">
        <v>94</v>
      </c>
      <c r="AT102" s="10" t="s">
        <v>53</v>
      </c>
      <c r="AU102" s="8"/>
      <c r="AV102" s="10" t="s">
        <v>54</v>
      </c>
      <c r="AW102" s="10" t="s">
        <v>51</v>
      </c>
      <c r="AX102" s="10" t="s">
        <v>95</v>
      </c>
      <c r="AY102" s="8"/>
    </row>
    <row r="103" spans="1:51" x14ac:dyDescent="0.15">
      <c r="A103" s="11" t="s">
        <v>71</v>
      </c>
      <c r="B103" s="12" t="s">
        <v>57</v>
      </c>
      <c r="C103" s="10" t="s">
        <v>58</v>
      </c>
      <c r="D103" s="10" t="s">
        <v>59</v>
      </c>
      <c r="E103" s="9">
        <v>72</v>
      </c>
      <c r="F103" s="9">
        <v>72</v>
      </c>
      <c r="G103" s="9">
        <v>2</v>
      </c>
      <c r="H103" s="10" t="s">
        <v>59</v>
      </c>
      <c r="I103" s="9">
        <v>1</v>
      </c>
      <c r="J103" s="9">
        <v>0.94829924999794502</v>
      </c>
      <c r="K103" s="10" t="s">
        <v>51</v>
      </c>
      <c r="L103" s="9">
        <v>2</v>
      </c>
      <c r="M103" s="9">
        <v>72</v>
      </c>
      <c r="N103" s="9">
        <v>72</v>
      </c>
      <c r="O103" s="9">
        <v>28</v>
      </c>
      <c r="P103" s="9">
        <v>110.725190459008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9">
        <v>110.71574483400001</v>
      </c>
      <c r="AD103" s="9">
        <v>110.725190459008</v>
      </c>
      <c r="AE103" s="9">
        <v>111.211588292004</v>
      </c>
      <c r="AF103" s="9">
        <v>111.211588292004</v>
      </c>
      <c r="AG103" s="9">
        <v>111.211588292004</v>
      </c>
      <c r="AH103" s="9">
        <v>112.17135379200001</v>
      </c>
      <c r="AI103" s="10" t="s">
        <v>59</v>
      </c>
      <c r="AJ103" s="9">
        <v>1</v>
      </c>
      <c r="AK103" s="9">
        <v>0.94829924999794502</v>
      </c>
      <c r="AL103" s="10" t="s">
        <v>51</v>
      </c>
      <c r="AM103" s="8"/>
      <c r="AN103" s="8"/>
      <c r="AO103" s="8"/>
      <c r="AP103" s="8"/>
      <c r="AQ103" s="9">
        <v>3</v>
      </c>
      <c r="AR103" s="9">
        <v>1</v>
      </c>
      <c r="AS103" s="10" t="s">
        <v>94</v>
      </c>
      <c r="AT103" s="10" t="s">
        <v>53</v>
      </c>
      <c r="AU103" s="8"/>
      <c r="AV103" s="10" t="s">
        <v>54</v>
      </c>
      <c r="AW103" s="10" t="s">
        <v>51</v>
      </c>
      <c r="AX103" s="10" t="s">
        <v>95</v>
      </c>
      <c r="AY103" s="8"/>
    </row>
    <row r="104" spans="1:51" x14ac:dyDescent="0.15">
      <c r="A104" s="11" t="s">
        <v>71</v>
      </c>
      <c r="B104" s="12" t="s">
        <v>57</v>
      </c>
      <c r="C104" s="10" t="s">
        <v>62</v>
      </c>
      <c r="D104" s="10" t="s">
        <v>63</v>
      </c>
      <c r="E104" s="9">
        <v>73</v>
      </c>
      <c r="F104" s="9">
        <v>73</v>
      </c>
      <c r="G104" s="9">
        <v>1</v>
      </c>
      <c r="H104" s="10" t="s">
        <v>63</v>
      </c>
      <c r="I104" s="9">
        <v>1</v>
      </c>
      <c r="J104" s="9">
        <v>0.45711529099207798</v>
      </c>
      <c r="K104" s="10" t="s">
        <v>51</v>
      </c>
      <c r="L104" s="9">
        <v>1</v>
      </c>
      <c r="M104" s="9">
        <v>73</v>
      </c>
      <c r="N104" s="9">
        <v>73</v>
      </c>
      <c r="O104" s="9">
        <v>29</v>
      </c>
      <c r="P104" s="9">
        <v>112.18181754200501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9">
        <v>112.172520250009</v>
      </c>
      <c r="AD104" s="9">
        <v>112.18181754200501</v>
      </c>
      <c r="AE104" s="9">
        <v>112.66971804200099</v>
      </c>
      <c r="AF104" s="9">
        <v>112.66971804200099</v>
      </c>
      <c r="AG104" s="9">
        <v>112.66971804200099</v>
      </c>
      <c r="AH104" s="9">
        <v>113.137805459002</v>
      </c>
      <c r="AI104" s="10" t="s">
        <v>63</v>
      </c>
      <c r="AJ104" s="9">
        <v>1</v>
      </c>
      <c r="AK104" s="9">
        <v>0.45711529099207798</v>
      </c>
      <c r="AL104" s="10" t="s">
        <v>51</v>
      </c>
      <c r="AM104" s="8"/>
      <c r="AN104" s="8"/>
      <c r="AO104" s="8"/>
      <c r="AP104" s="8"/>
      <c r="AQ104" s="9">
        <v>3</v>
      </c>
      <c r="AR104" s="9">
        <v>1</v>
      </c>
      <c r="AS104" s="10" t="s">
        <v>94</v>
      </c>
      <c r="AT104" s="10" t="s">
        <v>53</v>
      </c>
      <c r="AU104" s="8"/>
      <c r="AV104" s="10" t="s">
        <v>54</v>
      </c>
      <c r="AW104" s="10" t="s">
        <v>51</v>
      </c>
      <c r="AX104" s="10" t="s">
        <v>95</v>
      </c>
      <c r="AY104" s="8"/>
    </row>
    <row r="105" spans="1:51" x14ac:dyDescent="0.15">
      <c r="A105" s="11" t="s">
        <v>71</v>
      </c>
      <c r="B105" s="12" t="s">
        <v>57</v>
      </c>
      <c r="C105" s="10" t="s">
        <v>58</v>
      </c>
      <c r="D105" s="10" t="s">
        <v>59</v>
      </c>
      <c r="E105" s="9">
        <v>75</v>
      </c>
      <c r="F105" s="9">
        <v>75</v>
      </c>
      <c r="G105" s="9">
        <v>3</v>
      </c>
      <c r="H105" s="10" t="s">
        <v>59</v>
      </c>
      <c r="I105" s="9">
        <v>1</v>
      </c>
      <c r="J105" s="9">
        <v>1.00147124999785</v>
      </c>
      <c r="K105" s="10" t="s">
        <v>51</v>
      </c>
      <c r="L105" s="9">
        <v>3</v>
      </c>
      <c r="M105" s="9">
        <v>75</v>
      </c>
      <c r="N105" s="9">
        <v>75</v>
      </c>
      <c r="O105" s="9">
        <v>28</v>
      </c>
      <c r="P105" s="9">
        <v>114.085392749999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9">
        <v>114.07616941700699</v>
      </c>
      <c r="AD105" s="9">
        <v>114.085392749999</v>
      </c>
      <c r="AE105" s="9">
        <v>114.569460917002</v>
      </c>
      <c r="AF105" s="9">
        <v>114.569460917002</v>
      </c>
      <c r="AG105" s="9">
        <v>114.569460917002</v>
      </c>
      <c r="AH105" s="9">
        <v>115.57740054201</v>
      </c>
      <c r="AI105" s="10" t="s">
        <v>59</v>
      </c>
      <c r="AJ105" s="9">
        <v>1</v>
      </c>
      <c r="AK105" s="9">
        <v>1.00147124999785</v>
      </c>
      <c r="AL105" s="10" t="s">
        <v>51</v>
      </c>
      <c r="AM105" s="8"/>
      <c r="AN105" s="8"/>
      <c r="AO105" s="8"/>
      <c r="AP105" s="8"/>
      <c r="AQ105" s="9">
        <v>3</v>
      </c>
      <c r="AR105" s="9">
        <v>1</v>
      </c>
      <c r="AS105" s="10" t="s">
        <v>94</v>
      </c>
      <c r="AT105" s="10" t="s">
        <v>53</v>
      </c>
      <c r="AU105" s="8"/>
      <c r="AV105" s="10" t="s">
        <v>54</v>
      </c>
      <c r="AW105" s="10" t="s">
        <v>51</v>
      </c>
      <c r="AX105" s="10" t="s">
        <v>95</v>
      </c>
      <c r="AY105" s="8"/>
    </row>
    <row r="106" spans="1:51" x14ac:dyDescent="0.15">
      <c r="A106" s="11" t="s">
        <v>84</v>
      </c>
      <c r="B106" s="12" t="s">
        <v>57</v>
      </c>
      <c r="C106" s="10" t="s">
        <v>58</v>
      </c>
      <c r="D106" s="10" t="s">
        <v>59</v>
      </c>
      <c r="E106" s="9">
        <v>78</v>
      </c>
      <c r="F106" s="9">
        <v>78</v>
      </c>
      <c r="G106" s="9">
        <v>0</v>
      </c>
      <c r="H106" s="10" t="s">
        <v>59</v>
      </c>
      <c r="I106" s="9">
        <v>1</v>
      </c>
      <c r="J106" s="9">
        <v>0.52315466599247895</v>
      </c>
      <c r="K106" s="10" t="s">
        <v>51</v>
      </c>
      <c r="L106" s="9">
        <v>0</v>
      </c>
      <c r="M106" s="9">
        <v>78</v>
      </c>
      <c r="N106" s="9">
        <v>78</v>
      </c>
      <c r="O106" s="9">
        <v>20</v>
      </c>
      <c r="P106" s="9">
        <v>118.085062167011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9">
        <v>118.07623925000399</v>
      </c>
      <c r="AD106" s="9">
        <v>118.085062167011</v>
      </c>
      <c r="AE106" s="9">
        <v>118.56990458400099</v>
      </c>
      <c r="AF106" s="9">
        <v>118.56990458400099</v>
      </c>
      <c r="AG106" s="9">
        <v>118.56990458400099</v>
      </c>
      <c r="AH106" s="9">
        <v>119.104729958999</v>
      </c>
      <c r="AI106" s="10" t="s">
        <v>59</v>
      </c>
      <c r="AJ106" s="9">
        <v>1</v>
      </c>
      <c r="AK106" s="9">
        <v>0.52315466599247895</v>
      </c>
      <c r="AL106" s="10" t="s">
        <v>51</v>
      </c>
      <c r="AM106" s="8"/>
      <c r="AN106" s="8"/>
      <c r="AO106" s="8"/>
      <c r="AP106" s="8"/>
      <c r="AQ106" s="9">
        <v>3</v>
      </c>
      <c r="AR106" s="9">
        <v>1</v>
      </c>
      <c r="AS106" s="10" t="s">
        <v>94</v>
      </c>
      <c r="AT106" s="10" t="s">
        <v>53</v>
      </c>
      <c r="AU106" s="8"/>
      <c r="AV106" s="10" t="s">
        <v>54</v>
      </c>
      <c r="AW106" s="10" t="s">
        <v>51</v>
      </c>
      <c r="AX106" s="10" t="s">
        <v>95</v>
      </c>
      <c r="AY106" s="8"/>
    </row>
    <row r="107" spans="1:51" x14ac:dyDescent="0.15">
      <c r="A107" s="11" t="s">
        <v>78</v>
      </c>
      <c r="B107" s="12" t="s">
        <v>57</v>
      </c>
      <c r="C107" s="10" t="s">
        <v>58</v>
      </c>
      <c r="D107" s="10" t="s">
        <v>59</v>
      </c>
      <c r="E107" s="9">
        <v>79</v>
      </c>
      <c r="F107" s="9">
        <v>79</v>
      </c>
      <c r="G107" s="9">
        <v>1</v>
      </c>
      <c r="H107" s="10" t="s">
        <v>59</v>
      </c>
      <c r="I107" s="9">
        <v>1</v>
      </c>
      <c r="J107" s="9">
        <v>0.51629287499235899</v>
      </c>
      <c r="K107" s="10" t="s">
        <v>51</v>
      </c>
      <c r="L107" s="9">
        <v>1</v>
      </c>
      <c r="M107" s="9">
        <v>79</v>
      </c>
      <c r="N107" s="9">
        <v>79</v>
      </c>
      <c r="O107" s="9">
        <v>26</v>
      </c>
      <c r="P107" s="9">
        <v>119.117879375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9">
        <v>119.10891225001301</v>
      </c>
      <c r="AD107" s="9">
        <v>119.117879375</v>
      </c>
      <c r="AE107" s="9">
        <v>119.602801166999</v>
      </c>
      <c r="AF107" s="9">
        <v>119.602801166999</v>
      </c>
      <c r="AG107" s="9">
        <v>119.602801166999</v>
      </c>
      <c r="AH107" s="9">
        <v>120.121388959</v>
      </c>
      <c r="AI107" s="10" t="s">
        <v>59</v>
      </c>
      <c r="AJ107" s="9">
        <v>1</v>
      </c>
      <c r="AK107" s="9">
        <v>0.51629287499235899</v>
      </c>
      <c r="AL107" s="10" t="s">
        <v>51</v>
      </c>
      <c r="AM107" s="8"/>
      <c r="AN107" s="8"/>
      <c r="AO107" s="8"/>
      <c r="AP107" s="8"/>
      <c r="AQ107" s="9">
        <v>3</v>
      </c>
      <c r="AR107" s="9">
        <v>1</v>
      </c>
      <c r="AS107" s="10" t="s">
        <v>94</v>
      </c>
      <c r="AT107" s="10" t="s">
        <v>53</v>
      </c>
      <c r="AU107" s="8"/>
      <c r="AV107" s="10" t="s">
        <v>54</v>
      </c>
      <c r="AW107" s="10" t="s">
        <v>51</v>
      </c>
      <c r="AX107" s="10" t="s">
        <v>95</v>
      </c>
      <c r="AY107" s="8"/>
    </row>
    <row r="108" spans="1:51" x14ac:dyDescent="0.15">
      <c r="A108" s="11" t="s">
        <v>75</v>
      </c>
      <c r="B108" s="12" t="s">
        <v>57</v>
      </c>
      <c r="C108" s="10" t="s">
        <v>58</v>
      </c>
      <c r="D108" s="10" t="s">
        <v>59</v>
      </c>
      <c r="E108" s="9">
        <v>80</v>
      </c>
      <c r="F108" s="9">
        <v>80</v>
      </c>
      <c r="G108" s="9">
        <v>2</v>
      </c>
      <c r="H108" s="10" t="s">
        <v>59</v>
      </c>
      <c r="I108" s="9">
        <v>1</v>
      </c>
      <c r="J108" s="9">
        <v>0.44775258300069298</v>
      </c>
      <c r="K108" s="10" t="s">
        <v>51</v>
      </c>
      <c r="L108" s="9">
        <v>2</v>
      </c>
      <c r="M108" s="9">
        <v>80</v>
      </c>
      <c r="N108" s="9">
        <v>80</v>
      </c>
      <c r="O108" s="9">
        <v>18</v>
      </c>
      <c r="P108" s="9">
        <v>120.134839917009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9">
        <v>120.125689625012</v>
      </c>
      <c r="AD108" s="9">
        <v>120.134839917009</v>
      </c>
      <c r="AE108" s="9">
        <v>120.61323120900499</v>
      </c>
      <c r="AF108" s="9">
        <v>120.61323120900499</v>
      </c>
      <c r="AG108" s="9">
        <v>120.61323120900499</v>
      </c>
      <c r="AH108" s="9">
        <v>121.071790709</v>
      </c>
      <c r="AI108" s="10" t="s">
        <v>59</v>
      </c>
      <c r="AJ108" s="9">
        <v>1</v>
      </c>
      <c r="AK108" s="9">
        <v>0.44775258300069298</v>
      </c>
      <c r="AL108" s="10" t="s">
        <v>51</v>
      </c>
      <c r="AM108" s="8"/>
      <c r="AN108" s="8"/>
      <c r="AO108" s="8"/>
      <c r="AP108" s="8"/>
      <c r="AQ108" s="9">
        <v>3</v>
      </c>
      <c r="AR108" s="9">
        <v>1</v>
      </c>
      <c r="AS108" s="10" t="s">
        <v>94</v>
      </c>
      <c r="AT108" s="10" t="s">
        <v>53</v>
      </c>
      <c r="AU108" s="8"/>
      <c r="AV108" s="10" t="s">
        <v>54</v>
      </c>
      <c r="AW108" s="10" t="s">
        <v>51</v>
      </c>
      <c r="AX108" s="10" t="s">
        <v>95</v>
      </c>
      <c r="AY108" s="8"/>
    </row>
    <row r="109" spans="1:51" x14ac:dyDescent="0.15">
      <c r="A109" s="11" t="s">
        <v>72</v>
      </c>
      <c r="B109" s="12" t="s">
        <v>57</v>
      </c>
      <c r="C109" s="10" t="s">
        <v>58</v>
      </c>
      <c r="D109" s="10" t="s">
        <v>59</v>
      </c>
      <c r="E109" s="9">
        <v>85</v>
      </c>
      <c r="F109" s="9">
        <v>85</v>
      </c>
      <c r="G109" s="9">
        <v>1</v>
      </c>
      <c r="H109" s="10" t="s">
        <v>59</v>
      </c>
      <c r="I109" s="9">
        <v>1</v>
      </c>
      <c r="J109" s="9">
        <v>0.32911579099891197</v>
      </c>
      <c r="K109" s="10" t="s">
        <v>51</v>
      </c>
      <c r="L109" s="9">
        <v>1</v>
      </c>
      <c r="M109" s="9">
        <v>85</v>
      </c>
      <c r="N109" s="9">
        <v>85</v>
      </c>
      <c r="O109" s="9">
        <v>24</v>
      </c>
      <c r="P109" s="9">
        <v>124.775973292009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9">
        <v>124.76651770900899</v>
      </c>
      <c r="AD109" s="9">
        <v>124.775973292009</v>
      </c>
      <c r="AE109" s="9">
        <v>125.25311733401</v>
      </c>
      <c r="AF109" s="9">
        <v>125.25311733401</v>
      </c>
      <c r="AG109" s="9">
        <v>125.25311733401</v>
      </c>
      <c r="AH109" s="9">
        <v>125.588285584003</v>
      </c>
      <c r="AI109" s="10" t="s">
        <v>59</v>
      </c>
      <c r="AJ109" s="9">
        <v>1</v>
      </c>
      <c r="AK109" s="9">
        <v>0.32911579099891197</v>
      </c>
      <c r="AL109" s="10" t="s">
        <v>51</v>
      </c>
      <c r="AM109" s="8"/>
      <c r="AN109" s="8"/>
      <c r="AO109" s="8"/>
      <c r="AP109" s="8"/>
      <c r="AQ109" s="9">
        <v>3</v>
      </c>
      <c r="AR109" s="9">
        <v>1</v>
      </c>
      <c r="AS109" s="10" t="s">
        <v>94</v>
      </c>
      <c r="AT109" s="10" t="s">
        <v>53</v>
      </c>
      <c r="AU109" s="8"/>
      <c r="AV109" s="10" t="s">
        <v>54</v>
      </c>
      <c r="AW109" s="10" t="s">
        <v>51</v>
      </c>
      <c r="AX109" s="10" t="s">
        <v>95</v>
      </c>
      <c r="AY109" s="8"/>
    </row>
    <row r="110" spans="1:51" x14ac:dyDescent="0.15">
      <c r="A110" s="11" t="s">
        <v>56</v>
      </c>
      <c r="B110" s="12" t="s">
        <v>57</v>
      </c>
      <c r="C110" s="10" t="s">
        <v>62</v>
      </c>
      <c r="D110" s="10" t="s">
        <v>63</v>
      </c>
      <c r="E110" s="9">
        <v>89</v>
      </c>
      <c r="F110" s="9">
        <v>89</v>
      </c>
      <c r="G110" s="9">
        <v>0</v>
      </c>
      <c r="H110" s="10" t="s">
        <v>63</v>
      </c>
      <c r="I110" s="9">
        <v>1</v>
      </c>
      <c r="J110" s="9">
        <v>0.50120320799760498</v>
      </c>
      <c r="K110" s="10" t="s">
        <v>51</v>
      </c>
      <c r="L110" s="9">
        <v>0</v>
      </c>
      <c r="M110" s="9">
        <v>89</v>
      </c>
      <c r="N110" s="9">
        <v>89</v>
      </c>
      <c r="O110" s="9">
        <v>17</v>
      </c>
      <c r="P110" s="9">
        <v>128.48642312500999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9">
        <v>128.477259042003</v>
      </c>
      <c r="AD110" s="9">
        <v>128.48642312500999</v>
      </c>
      <c r="AE110" s="9">
        <v>128.97010279200899</v>
      </c>
      <c r="AF110" s="9">
        <v>128.97010279200899</v>
      </c>
      <c r="AG110" s="9">
        <v>128.97010279200899</v>
      </c>
      <c r="AH110" s="9">
        <v>129.47873029200099</v>
      </c>
      <c r="AI110" s="10" t="s">
        <v>63</v>
      </c>
      <c r="AJ110" s="9">
        <v>1</v>
      </c>
      <c r="AK110" s="9">
        <v>0.50120320799760498</v>
      </c>
      <c r="AL110" s="10" t="s">
        <v>51</v>
      </c>
      <c r="AM110" s="8"/>
      <c r="AN110" s="8"/>
      <c r="AO110" s="8"/>
      <c r="AP110" s="8"/>
      <c r="AQ110" s="9">
        <v>3</v>
      </c>
      <c r="AR110" s="9">
        <v>1</v>
      </c>
      <c r="AS110" s="10" t="s">
        <v>94</v>
      </c>
      <c r="AT110" s="10" t="s">
        <v>53</v>
      </c>
      <c r="AU110" s="8"/>
      <c r="AV110" s="10" t="s">
        <v>54</v>
      </c>
      <c r="AW110" s="10" t="s">
        <v>51</v>
      </c>
      <c r="AX110" s="10" t="s">
        <v>95</v>
      </c>
      <c r="AY110" s="8"/>
    </row>
    <row r="111" spans="1:51" x14ac:dyDescent="0.15">
      <c r="A111" s="11" t="s">
        <v>56</v>
      </c>
      <c r="B111" s="12" t="s">
        <v>57</v>
      </c>
      <c r="C111" s="10" t="s">
        <v>62</v>
      </c>
      <c r="D111" s="10" t="s">
        <v>63</v>
      </c>
      <c r="E111" s="9">
        <v>90</v>
      </c>
      <c r="F111" s="9">
        <v>90</v>
      </c>
      <c r="G111" s="9">
        <v>1</v>
      </c>
      <c r="H111" s="10" t="s">
        <v>63</v>
      </c>
      <c r="I111" s="9">
        <v>1</v>
      </c>
      <c r="J111" s="9">
        <v>0.41027929200208701</v>
      </c>
      <c r="K111" s="10" t="s">
        <v>51</v>
      </c>
      <c r="L111" s="9">
        <v>1</v>
      </c>
      <c r="M111" s="9">
        <v>90</v>
      </c>
      <c r="N111" s="9">
        <v>90</v>
      </c>
      <c r="O111" s="9">
        <v>17</v>
      </c>
      <c r="P111" s="9">
        <v>129.491718208999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9">
        <v>129.47982787500999</v>
      </c>
      <c r="AD111" s="9">
        <v>129.491718208999</v>
      </c>
      <c r="AE111" s="9">
        <v>129.97894975000199</v>
      </c>
      <c r="AF111" s="9">
        <v>129.97894975000199</v>
      </c>
      <c r="AG111" s="9">
        <v>129.97894975000199</v>
      </c>
      <c r="AH111" s="9">
        <v>130.394196875001</v>
      </c>
      <c r="AI111" s="10" t="s">
        <v>63</v>
      </c>
      <c r="AJ111" s="9">
        <v>1</v>
      </c>
      <c r="AK111" s="9">
        <v>0.41027929200208701</v>
      </c>
      <c r="AL111" s="10" t="s">
        <v>51</v>
      </c>
      <c r="AM111" s="8"/>
      <c r="AN111" s="8"/>
      <c r="AO111" s="8"/>
      <c r="AP111" s="8"/>
      <c r="AQ111" s="9">
        <v>3</v>
      </c>
      <c r="AR111" s="9">
        <v>1</v>
      </c>
      <c r="AS111" s="10" t="s">
        <v>94</v>
      </c>
      <c r="AT111" s="10" t="s">
        <v>53</v>
      </c>
      <c r="AU111" s="8"/>
      <c r="AV111" s="10" t="s">
        <v>54</v>
      </c>
      <c r="AW111" s="10" t="s">
        <v>51</v>
      </c>
      <c r="AX111" s="10" t="s">
        <v>95</v>
      </c>
      <c r="AY111" s="8"/>
    </row>
    <row r="112" spans="1:51" x14ac:dyDescent="0.15">
      <c r="A112" s="11" t="s">
        <v>78</v>
      </c>
      <c r="B112" s="12" t="s">
        <v>57</v>
      </c>
      <c r="C112" s="10" t="s">
        <v>62</v>
      </c>
      <c r="D112" s="10" t="s">
        <v>63</v>
      </c>
      <c r="E112" s="9">
        <v>93</v>
      </c>
      <c r="F112" s="9">
        <v>93</v>
      </c>
      <c r="G112" s="9">
        <v>2</v>
      </c>
      <c r="H112" s="10" t="s">
        <v>59</v>
      </c>
      <c r="I112" s="9">
        <v>0</v>
      </c>
      <c r="J112" s="9">
        <v>0.37788766701123699</v>
      </c>
      <c r="K112" s="10" t="s">
        <v>51</v>
      </c>
      <c r="L112" s="9">
        <v>2</v>
      </c>
      <c r="M112" s="9">
        <v>93</v>
      </c>
      <c r="N112" s="9">
        <v>93</v>
      </c>
      <c r="O112" s="9">
        <v>27</v>
      </c>
      <c r="P112" s="9">
        <v>132.641713709003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9">
        <v>132.63250058400399</v>
      </c>
      <c r="AD112" s="9">
        <v>132.641713709003</v>
      </c>
      <c r="AE112" s="9">
        <v>133.129386834</v>
      </c>
      <c r="AF112" s="9">
        <v>133.129386834</v>
      </c>
      <c r="AG112" s="9">
        <v>133.129386834</v>
      </c>
      <c r="AH112" s="9">
        <v>133.51138362500899</v>
      </c>
      <c r="AI112" s="10" t="s">
        <v>59</v>
      </c>
      <c r="AJ112" s="9">
        <v>0</v>
      </c>
      <c r="AK112" s="9">
        <v>0.37788766701123699</v>
      </c>
      <c r="AL112" s="10" t="s">
        <v>51</v>
      </c>
      <c r="AM112" s="8"/>
      <c r="AN112" s="8"/>
      <c r="AO112" s="8"/>
      <c r="AP112" s="8"/>
      <c r="AQ112" s="9">
        <v>3</v>
      </c>
      <c r="AR112" s="9">
        <v>1</v>
      </c>
      <c r="AS112" s="10" t="s">
        <v>94</v>
      </c>
      <c r="AT112" s="10" t="s">
        <v>53</v>
      </c>
      <c r="AU112" s="8"/>
      <c r="AV112" s="10" t="s">
        <v>54</v>
      </c>
      <c r="AW112" s="10" t="s">
        <v>51</v>
      </c>
      <c r="AX112" s="10" t="s">
        <v>95</v>
      </c>
      <c r="AY112" s="8"/>
    </row>
    <row r="113" spans="1:51" x14ac:dyDescent="0.15">
      <c r="A113" s="11" t="s">
        <v>65</v>
      </c>
      <c r="B113" s="12" t="s">
        <v>57</v>
      </c>
      <c r="C113" s="10" t="s">
        <v>62</v>
      </c>
      <c r="D113" s="10" t="s">
        <v>63</v>
      </c>
      <c r="E113" s="9">
        <v>95</v>
      </c>
      <c r="F113" s="9">
        <v>95</v>
      </c>
      <c r="G113" s="9">
        <v>2</v>
      </c>
      <c r="H113" s="10" t="s">
        <v>63</v>
      </c>
      <c r="I113" s="9">
        <v>1</v>
      </c>
      <c r="J113" s="9">
        <v>0.63620183299644895</v>
      </c>
      <c r="K113" s="10" t="s">
        <v>51</v>
      </c>
      <c r="L113" s="9">
        <v>2</v>
      </c>
      <c r="M113" s="9">
        <v>95</v>
      </c>
      <c r="N113" s="9">
        <v>95</v>
      </c>
      <c r="O113" s="9">
        <v>31</v>
      </c>
      <c r="P113" s="9">
        <v>135.95273233400101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9">
        <v>135.943502042006</v>
      </c>
      <c r="AD113" s="9">
        <v>135.95273233400101</v>
      </c>
      <c r="AE113" s="9">
        <v>136.43714541700299</v>
      </c>
      <c r="AF113" s="9">
        <v>136.43714541700299</v>
      </c>
      <c r="AG113" s="9">
        <v>136.43714541700299</v>
      </c>
      <c r="AH113" s="9">
        <v>137.07810291700301</v>
      </c>
      <c r="AI113" s="10" t="s">
        <v>63</v>
      </c>
      <c r="AJ113" s="9">
        <v>1</v>
      </c>
      <c r="AK113" s="9">
        <v>0.63620183299644895</v>
      </c>
      <c r="AL113" s="10" t="s">
        <v>51</v>
      </c>
      <c r="AM113" s="8"/>
      <c r="AN113" s="8"/>
      <c r="AO113" s="8"/>
      <c r="AP113" s="8"/>
      <c r="AQ113" s="9">
        <v>3</v>
      </c>
      <c r="AR113" s="9">
        <v>1</v>
      </c>
      <c r="AS113" s="10" t="s">
        <v>94</v>
      </c>
      <c r="AT113" s="10" t="s">
        <v>53</v>
      </c>
      <c r="AU113" s="8"/>
      <c r="AV113" s="10" t="s">
        <v>54</v>
      </c>
      <c r="AW113" s="10" t="s">
        <v>51</v>
      </c>
      <c r="AX113" s="10" t="s">
        <v>95</v>
      </c>
      <c r="AY113" s="8"/>
    </row>
    <row r="114" spans="1:51" x14ac:dyDescent="0.15">
      <c r="A114" s="11" t="s">
        <v>56</v>
      </c>
      <c r="B114" s="12" t="s">
        <v>57</v>
      </c>
      <c r="C114" s="10" t="s">
        <v>58</v>
      </c>
      <c r="D114" s="10" t="s">
        <v>59</v>
      </c>
      <c r="E114" s="9">
        <v>98</v>
      </c>
      <c r="F114" s="9">
        <v>98</v>
      </c>
      <c r="G114" s="9">
        <v>1</v>
      </c>
      <c r="H114" s="10" t="s">
        <v>59</v>
      </c>
      <c r="I114" s="9">
        <v>1</v>
      </c>
      <c r="J114" s="9">
        <v>0.55621700000483498</v>
      </c>
      <c r="K114" s="10" t="s">
        <v>51</v>
      </c>
      <c r="L114" s="9">
        <v>1</v>
      </c>
      <c r="M114" s="9">
        <v>98</v>
      </c>
      <c r="N114" s="9">
        <v>98</v>
      </c>
      <c r="O114" s="9">
        <v>16</v>
      </c>
      <c r="P114" s="9">
        <v>139.48567654201199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9">
        <v>139.47656775001099</v>
      </c>
      <c r="AD114" s="9">
        <v>139.48567654201199</v>
      </c>
      <c r="AE114" s="9">
        <v>139.970232000007</v>
      </c>
      <c r="AF114" s="9">
        <v>139.970232000007</v>
      </c>
      <c r="AG114" s="9">
        <v>139.970232000007</v>
      </c>
      <c r="AH114" s="9">
        <v>140.52802850000401</v>
      </c>
      <c r="AI114" s="10" t="s">
        <v>59</v>
      </c>
      <c r="AJ114" s="9">
        <v>1</v>
      </c>
      <c r="AK114" s="9">
        <v>0.55621700000483498</v>
      </c>
      <c r="AL114" s="10" t="s">
        <v>51</v>
      </c>
      <c r="AM114" s="8"/>
      <c r="AN114" s="8"/>
      <c r="AO114" s="8"/>
      <c r="AP114" s="8"/>
      <c r="AQ114" s="9">
        <v>3</v>
      </c>
      <c r="AR114" s="9">
        <v>1</v>
      </c>
      <c r="AS114" s="10" t="s">
        <v>94</v>
      </c>
      <c r="AT114" s="10" t="s">
        <v>53</v>
      </c>
      <c r="AU114" s="8"/>
      <c r="AV114" s="10" t="s">
        <v>54</v>
      </c>
      <c r="AW114" s="10" t="s">
        <v>51</v>
      </c>
      <c r="AX114" s="10" t="s">
        <v>95</v>
      </c>
      <c r="AY114" s="8"/>
    </row>
    <row r="115" spans="1:51" x14ac:dyDescent="0.15">
      <c r="A115" s="11" t="s">
        <v>56</v>
      </c>
      <c r="B115" s="12" t="s">
        <v>57</v>
      </c>
      <c r="C115" s="10" t="s">
        <v>58</v>
      </c>
      <c r="D115" s="10" t="s">
        <v>59</v>
      </c>
      <c r="E115" s="9">
        <v>102</v>
      </c>
      <c r="F115" s="9">
        <v>102</v>
      </c>
      <c r="G115" s="9">
        <v>2</v>
      </c>
      <c r="H115" s="10" t="s">
        <v>59</v>
      </c>
      <c r="I115" s="9">
        <v>1</v>
      </c>
      <c r="J115" s="9">
        <v>0.49226204100705201</v>
      </c>
      <c r="K115" s="10" t="s">
        <v>51</v>
      </c>
      <c r="L115" s="9">
        <v>2</v>
      </c>
      <c r="M115" s="9">
        <v>102</v>
      </c>
      <c r="N115" s="9">
        <v>102</v>
      </c>
      <c r="O115" s="9">
        <v>16</v>
      </c>
      <c r="P115" s="9">
        <v>143.90920087500101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9">
        <v>143.89916329200801</v>
      </c>
      <c r="AD115" s="9">
        <v>143.90920087500101</v>
      </c>
      <c r="AE115" s="9">
        <v>144.39621316701201</v>
      </c>
      <c r="AF115" s="9">
        <v>144.39621316701201</v>
      </c>
      <c r="AG115" s="9">
        <v>144.39621316701201</v>
      </c>
      <c r="AH115" s="9">
        <v>144.89501887500199</v>
      </c>
      <c r="AI115" s="10" t="s">
        <v>59</v>
      </c>
      <c r="AJ115" s="9">
        <v>1</v>
      </c>
      <c r="AK115" s="9">
        <v>0.49226204100705201</v>
      </c>
      <c r="AL115" s="10" t="s">
        <v>51</v>
      </c>
      <c r="AM115" s="8"/>
      <c r="AN115" s="8"/>
      <c r="AO115" s="8"/>
      <c r="AP115" s="8"/>
      <c r="AQ115" s="9">
        <v>3</v>
      </c>
      <c r="AR115" s="9">
        <v>1</v>
      </c>
      <c r="AS115" s="10" t="s">
        <v>94</v>
      </c>
      <c r="AT115" s="10" t="s">
        <v>53</v>
      </c>
      <c r="AU115" s="8"/>
      <c r="AV115" s="10" t="s">
        <v>54</v>
      </c>
      <c r="AW115" s="10" t="s">
        <v>51</v>
      </c>
      <c r="AX115" s="10" t="s">
        <v>95</v>
      </c>
      <c r="AY115" s="8"/>
    </row>
    <row r="116" spans="1:51" x14ac:dyDescent="0.15">
      <c r="A116" s="11" t="s">
        <v>65</v>
      </c>
      <c r="B116" s="12" t="s">
        <v>57</v>
      </c>
      <c r="C116" s="10" t="s">
        <v>62</v>
      </c>
      <c r="D116" s="10" t="s">
        <v>63</v>
      </c>
      <c r="E116" s="9">
        <v>103</v>
      </c>
      <c r="F116" s="9">
        <v>103</v>
      </c>
      <c r="G116" s="9">
        <v>3</v>
      </c>
      <c r="H116" s="10" t="s">
        <v>63</v>
      </c>
      <c r="I116" s="9">
        <v>1</v>
      </c>
      <c r="J116" s="9">
        <v>0.84906416600279</v>
      </c>
      <c r="K116" s="10" t="s">
        <v>51</v>
      </c>
      <c r="L116" s="9">
        <v>3</v>
      </c>
      <c r="M116" s="9">
        <v>103</v>
      </c>
      <c r="N116" s="9">
        <v>103</v>
      </c>
      <c r="O116" s="9">
        <v>31</v>
      </c>
      <c r="P116" s="9">
        <v>144.90913483400101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9">
        <v>144.89952858400599</v>
      </c>
      <c r="AD116" s="9">
        <v>144.90913483400101</v>
      </c>
      <c r="AE116" s="9">
        <v>145.396458209012</v>
      </c>
      <c r="AF116" s="9">
        <v>145.396458209012</v>
      </c>
      <c r="AG116" s="9">
        <v>145.396458209012</v>
      </c>
      <c r="AH116" s="9">
        <v>146.25598054200199</v>
      </c>
      <c r="AI116" s="10" t="s">
        <v>63</v>
      </c>
      <c r="AJ116" s="9">
        <v>1</v>
      </c>
      <c r="AK116" s="9">
        <v>0.84906416600279</v>
      </c>
      <c r="AL116" s="10" t="s">
        <v>51</v>
      </c>
      <c r="AM116" s="8"/>
      <c r="AN116" s="8"/>
      <c r="AO116" s="8"/>
      <c r="AP116" s="8"/>
      <c r="AQ116" s="9">
        <v>3</v>
      </c>
      <c r="AR116" s="9">
        <v>1</v>
      </c>
      <c r="AS116" s="10" t="s">
        <v>94</v>
      </c>
      <c r="AT116" s="10" t="s">
        <v>53</v>
      </c>
      <c r="AU116" s="8"/>
      <c r="AV116" s="10" t="s">
        <v>54</v>
      </c>
      <c r="AW116" s="10" t="s">
        <v>51</v>
      </c>
      <c r="AX116" s="10" t="s">
        <v>95</v>
      </c>
      <c r="AY116" s="8"/>
    </row>
    <row r="117" spans="1:51" x14ac:dyDescent="0.15">
      <c r="A117" s="11" t="s">
        <v>56</v>
      </c>
      <c r="B117" s="12" t="s">
        <v>57</v>
      </c>
      <c r="C117" s="10" t="s">
        <v>58</v>
      </c>
      <c r="D117" s="10" t="s">
        <v>59</v>
      </c>
      <c r="E117" s="9">
        <v>106</v>
      </c>
      <c r="F117" s="9">
        <v>106</v>
      </c>
      <c r="G117" s="9">
        <v>3</v>
      </c>
      <c r="H117" s="10" t="s">
        <v>59</v>
      </c>
      <c r="I117" s="9">
        <v>1</v>
      </c>
      <c r="J117" s="9">
        <v>0.467562083009398</v>
      </c>
      <c r="K117" s="10" t="s">
        <v>51</v>
      </c>
      <c r="L117" s="9">
        <v>3</v>
      </c>
      <c r="M117" s="9">
        <v>106</v>
      </c>
      <c r="N117" s="9">
        <v>106</v>
      </c>
      <c r="O117" s="9">
        <v>16</v>
      </c>
      <c r="P117" s="9">
        <v>148.270795208999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9">
        <v>148.26175987500801</v>
      </c>
      <c r="AD117" s="9">
        <v>148.270795208999</v>
      </c>
      <c r="AE117" s="9">
        <v>148.75407637500001</v>
      </c>
      <c r="AF117" s="9">
        <v>148.75407637500001</v>
      </c>
      <c r="AG117" s="9">
        <v>148.75407637500001</v>
      </c>
      <c r="AH117" s="9">
        <v>149.229077125012</v>
      </c>
      <c r="AI117" s="10" t="s">
        <v>59</v>
      </c>
      <c r="AJ117" s="9">
        <v>1</v>
      </c>
      <c r="AK117" s="9">
        <v>0.467562083009398</v>
      </c>
      <c r="AL117" s="10" t="s">
        <v>51</v>
      </c>
      <c r="AM117" s="8"/>
      <c r="AN117" s="8"/>
      <c r="AO117" s="8"/>
      <c r="AP117" s="8"/>
      <c r="AQ117" s="9">
        <v>3</v>
      </c>
      <c r="AR117" s="9">
        <v>1</v>
      </c>
      <c r="AS117" s="10" t="s">
        <v>94</v>
      </c>
      <c r="AT117" s="10" t="s">
        <v>53</v>
      </c>
      <c r="AU117" s="8"/>
      <c r="AV117" s="10" t="s">
        <v>54</v>
      </c>
      <c r="AW117" s="10" t="s">
        <v>51</v>
      </c>
      <c r="AX117" s="10" t="s">
        <v>95</v>
      </c>
      <c r="AY117" s="8"/>
    </row>
    <row r="118" spans="1:51" x14ac:dyDescent="0.15">
      <c r="A118" s="11" t="s">
        <v>56</v>
      </c>
      <c r="B118" s="12" t="s">
        <v>57</v>
      </c>
      <c r="C118" s="10" t="s">
        <v>62</v>
      </c>
      <c r="D118" s="10" t="s">
        <v>63</v>
      </c>
      <c r="E118" s="9">
        <v>111</v>
      </c>
      <c r="F118" s="9">
        <v>111</v>
      </c>
      <c r="G118" s="9">
        <v>2</v>
      </c>
      <c r="H118" s="10" t="s">
        <v>63</v>
      </c>
      <c r="I118" s="9">
        <v>1</v>
      </c>
      <c r="J118" s="9">
        <v>0.34054112399462599</v>
      </c>
      <c r="K118" s="10" t="s">
        <v>51</v>
      </c>
      <c r="L118" s="9">
        <v>2</v>
      </c>
      <c r="M118" s="9">
        <v>111</v>
      </c>
      <c r="N118" s="9">
        <v>111</v>
      </c>
      <c r="O118" s="9">
        <v>17</v>
      </c>
      <c r="P118" s="9">
        <v>153.36977687499899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9">
        <v>153.360906166999</v>
      </c>
      <c r="AD118" s="9">
        <v>153.36977687499899</v>
      </c>
      <c r="AE118" s="9">
        <v>153.85410650000301</v>
      </c>
      <c r="AF118" s="9">
        <v>153.85410650000301</v>
      </c>
      <c r="AG118" s="9">
        <v>153.85410650000301</v>
      </c>
      <c r="AH118" s="9">
        <v>154.20613091700901</v>
      </c>
      <c r="AI118" s="10" t="s">
        <v>63</v>
      </c>
      <c r="AJ118" s="9">
        <v>1</v>
      </c>
      <c r="AK118" s="9">
        <v>0.34054112399462599</v>
      </c>
      <c r="AL118" s="10" t="s">
        <v>51</v>
      </c>
      <c r="AM118" s="8"/>
      <c r="AN118" s="8"/>
      <c r="AO118" s="8"/>
      <c r="AP118" s="8"/>
      <c r="AQ118" s="9">
        <v>3</v>
      </c>
      <c r="AR118" s="9">
        <v>1</v>
      </c>
      <c r="AS118" s="10" t="s">
        <v>94</v>
      </c>
      <c r="AT118" s="10" t="s">
        <v>53</v>
      </c>
      <c r="AU118" s="8"/>
      <c r="AV118" s="10" t="s">
        <v>54</v>
      </c>
      <c r="AW118" s="10" t="s">
        <v>51</v>
      </c>
      <c r="AX118" s="10" t="s">
        <v>95</v>
      </c>
      <c r="AY118" s="8"/>
    </row>
    <row r="119" spans="1:51" x14ac:dyDescent="0.15">
      <c r="A119" s="11" t="s">
        <v>75</v>
      </c>
      <c r="B119" s="12" t="s">
        <v>57</v>
      </c>
      <c r="C119" s="10" t="s">
        <v>62</v>
      </c>
      <c r="D119" s="10" t="s">
        <v>63</v>
      </c>
      <c r="E119" s="9">
        <v>112</v>
      </c>
      <c r="F119" s="9">
        <v>112</v>
      </c>
      <c r="G119" s="9">
        <v>1</v>
      </c>
      <c r="H119" s="10" t="s">
        <v>63</v>
      </c>
      <c r="I119" s="9">
        <v>1</v>
      </c>
      <c r="J119" s="9">
        <v>0.37434829201083603</v>
      </c>
      <c r="K119" s="10" t="s">
        <v>51</v>
      </c>
      <c r="L119" s="9">
        <v>1</v>
      </c>
      <c r="M119" s="9">
        <v>112</v>
      </c>
      <c r="N119" s="9">
        <v>112</v>
      </c>
      <c r="O119" s="9">
        <v>19</v>
      </c>
      <c r="P119" s="9">
        <v>154.21998541700299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9">
        <v>154.21080441700201</v>
      </c>
      <c r="AD119" s="9">
        <v>154.21998541700299</v>
      </c>
      <c r="AE119" s="9">
        <v>154.70430662500399</v>
      </c>
      <c r="AF119" s="9">
        <v>154.70430662500399</v>
      </c>
      <c r="AG119" s="9">
        <v>154.70430662500399</v>
      </c>
      <c r="AH119" s="9">
        <v>155.08969958400101</v>
      </c>
      <c r="AI119" s="10" t="s">
        <v>63</v>
      </c>
      <c r="AJ119" s="9">
        <v>1</v>
      </c>
      <c r="AK119" s="9">
        <v>0.37434829201083603</v>
      </c>
      <c r="AL119" s="10" t="s">
        <v>51</v>
      </c>
      <c r="AM119" s="8"/>
      <c r="AN119" s="8"/>
      <c r="AO119" s="8"/>
      <c r="AP119" s="8"/>
      <c r="AQ119" s="9">
        <v>3</v>
      </c>
      <c r="AR119" s="9">
        <v>1</v>
      </c>
      <c r="AS119" s="10" t="s">
        <v>94</v>
      </c>
      <c r="AT119" s="10" t="s">
        <v>53</v>
      </c>
      <c r="AU119" s="8"/>
      <c r="AV119" s="10" t="s">
        <v>54</v>
      </c>
      <c r="AW119" s="10" t="s">
        <v>51</v>
      </c>
      <c r="AX119" s="10" t="s">
        <v>95</v>
      </c>
      <c r="AY119" s="8"/>
    </row>
    <row r="120" spans="1:51" x14ac:dyDescent="0.15">
      <c r="A120" s="11" t="s">
        <v>65</v>
      </c>
      <c r="B120" s="12" t="s">
        <v>57</v>
      </c>
      <c r="C120" s="10" t="s">
        <v>62</v>
      </c>
      <c r="D120" s="10" t="s">
        <v>63</v>
      </c>
      <c r="E120" s="9">
        <v>114</v>
      </c>
      <c r="F120" s="9">
        <v>114</v>
      </c>
      <c r="G120" s="9">
        <v>4</v>
      </c>
      <c r="H120" s="10" t="s">
        <v>63</v>
      </c>
      <c r="I120" s="9">
        <v>1</v>
      </c>
      <c r="J120" s="9">
        <v>0.53548179200151902</v>
      </c>
      <c r="K120" s="10" t="s">
        <v>51</v>
      </c>
      <c r="L120" s="9">
        <v>4</v>
      </c>
      <c r="M120" s="9">
        <v>114</v>
      </c>
      <c r="N120" s="9">
        <v>114</v>
      </c>
      <c r="O120" s="9">
        <v>31</v>
      </c>
      <c r="P120" s="9">
        <v>156.869803084002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9">
        <v>156.86082491700699</v>
      </c>
      <c r="AD120" s="9">
        <v>156.869803084002</v>
      </c>
      <c r="AE120" s="9">
        <v>157.35430862499899</v>
      </c>
      <c r="AF120" s="9">
        <v>157.35430862499899</v>
      </c>
      <c r="AG120" s="9">
        <v>157.35430862499899</v>
      </c>
      <c r="AH120" s="9">
        <v>157.89576525000999</v>
      </c>
      <c r="AI120" s="10" t="s">
        <v>63</v>
      </c>
      <c r="AJ120" s="9">
        <v>1</v>
      </c>
      <c r="AK120" s="9">
        <v>0.53548179200151902</v>
      </c>
      <c r="AL120" s="10" t="s">
        <v>51</v>
      </c>
      <c r="AM120" s="8"/>
      <c r="AN120" s="8"/>
      <c r="AO120" s="8"/>
      <c r="AP120" s="8"/>
      <c r="AQ120" s="9">
        <v>3</v>
      </c>
      <c r="AR120" s="9">
        <v>1</v>
      </c>
      <c r="AS120" s="10" t="s">
        <v>94</v>
      </c>
      <c r="AT120" s="10" t="s">
        <v>53</v>
      </c>
      <c r="AU120" s="8"/>
      <c r="AV120" s="10" t="s">
        <v>54</v>
      </c>
      <c r="AW120" s="10" t="s">
        <v>51</v>
      </c>
      <c r="AX120" s="10" t="s">
        <v>95</v>
      </c>
      <c r="AY120" s="8"/>
    </row>
    <row r="121" spans="1:51" x14ac:dyDescent="0.15">
      <c r="A121" s="11" t="s">
        <v>65</v>
      </c>
      <c r="B121" s="12" t="s">
        <v>57</v>
      </c>
      <c r="C121" s="10" t="s">
        <v>58</v>
      </c>
      <c r="D121" s="10" t="s">
        <v>59</v>
      </c>
      <c r="E121" s="9">
        <v>115</v>
      </c>
      <c r="F121" s="9">
        <v>115</v>
      </c>
      <c r="G121" s="9">
        <v>3</v>
      </c>
      <c r="H121" s="10" t="s">
        <v>59</v>
      </c>
      <c r="I121" s="9">
        <v>1</v>
      </c>
      <c r="J121" s="9">
        <v>1.1660996249993301</v>
      </c>
      <c r="K121" s="10" t="s">
        <v>51</v>
      </c>
      <c r="L121" s="9">
        <v>3</v>
      </c>
      <c r="M121" s="9">
        <v>115</v>
      </c>
      <c r="N121" s="9">
        <v>115</v>
      </c>
      <c r="O121" s="9">
        <v>30</v>
      </c>
      <c r="P121" s="9">
        <v>157.90583316700901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9">
        <v>157.89672816700499</v>
      </c>
      <c r="AD121" s="9">
        <v>157.90583316700901</v>
      </c>
      <c r="AE121" s="9">
        <v>158.395660042006</v>
      </c>
      <c r="AF121" s="9">
        <v>158.395660042006</v>
      </c>
      <c r="AG121" s="9">
        <v>158.395660042006</v>
      </c>
      <c r="AH121" s="9">
        <v>159.573086542005</v>
      </c>
      <c r="AI121" s="10" t="s">
        <v>59</v>
      </c>
      <c r="AJ121" s="9">
        <v>1</v>
      </c>
      <c r="AK121" s="9">
        <v>1.1660996249993301</v>
      </c>
      <c r="AL121" s="10" t="s">
        <v>51</v>
      </c>
      <c r="AM121" s="8"/>
      <c r="AN121" s="8"/>
      <c r="AO121" s="8"/>
      <c r="AP121" s="8"/>
      <c r="AQ121" s="9">
        <v>3</v>
      </c>
      <c r="AR121" s="9">
        <v>1</v>
      </c>
      <c r="AS121" s="10" t="s">
        <v>94</v>
      </c>
      <c r="AT121" s="10" t="s">
        <v>53</v>
      </c>
      <c r="AU121" s="8"/>
      <c r="AV121" s="10" t="s">
        <v>54</v>
      </c>
      <c r="AW121" s="10" t="s">
        <v>51</v>
      </c>
      <c r="AX121" s="10" t="s">
        <v>95</v>
      </c>
      <c r="AY121" s="8"/>
    </row>
    <row r="122" spans="1:51" x14ac:dyDescent="0.15">
      <c r="A122" s="11" t="s">
        <v>72</v>
      </c>
      <c r="B122" s="12" t="s">
        <v>57</v>
      </c>
      <c r="C122" s="10" t="s">
        <v>58</v>
      </c>
      <c r="D122" s="10" t="s">
        <v>59</v>
      </c>
      <c r="E122" s="9">
        <v>116</v>
      </c>
      <c r="F122" s="9">
        <v>116</v>
      </c>
      <c r="G122" s="9">
        <v>2</v>
      </c>
      <c r="H122" s="10" t="s">
        <v>59</v>
      </c>
      <c r="I122" s="9">
        <v>1</v>
      </c>
      <c r="J122" s="9">
        <v>0.68280979098926797</v>
      </c>
      <c r="K122" s="10" t="s">
        <v>51</v>
      </c>
      <c r="L122" s="9">
        <v>2</v>
      </c>
      <c r="M122" s="9">
        <v>116</v>
      </c>
      <c r="N122" s="9">
        <v>116</v>
      </c>
      <c r="O122" s="9">
        <v>24</v>
      </c>
      <c r="P122" s="9">
        <v>159.58724866701201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9">
        <v>159.57832720900501</v>
      </c>
      <c r="AD122" s="9">
        <v>159.58724866701201</v>
      </c>
      <c r="AE122" s="9">
        <v>160.071083834002</v>
      </c>
      <c r="AF122" s="9">
        <v>160.071083834002</v>
      </c>
      <c r="AG122" s="9">
        <v>160.071083834002</v>
      </c>
      <c r="AH122" s="9">
        <v>160.75647125000299</v>
      </c>
      <c r="AI122" s="10" t="s">
        <v>59</v>
      </c>
      <c r="AJ122" s="9">
        <v>1</v>
      </c>
      <c r="AK122" s="9">
        <v>0.68280979098926797</v>
      </c>
      <c r="AL122" s="10" t="s">
        <v>51</v>
      </c>
      <c r="AM122" s="8"/>
      <c r="AN122" s="8"/>
      <c r="AO122" s="8"/>
      <c r="AP122" s="8"/>
      <c r="AQ122" s="9">
        <v>3</v>
      </c>
      <c r="AR122" s="9">
        <v>1</v>
      </c>
      <c r="AS122" s="10" t="s">
        <v>94</v>
      </c>
      <c r="AT122" s="10" t="s">
        <v>53</v>
      </c>
      <c r="AU122" s="8"/>
      <c r="AV122" s="10" t="s">
        <v>54</v>
      </c>
      <c r="AW122" s="10" t="s">
        <v>51</v>
      </c>
      <c r="AX122" s="10" t="s">
        <v>95</v>
      </c>
      <c r="AY122" s="8"/>
    </row>
    <row r="123" spans="1:51" x14ac:dyDescent="0.15">
      <c r="A123" s="11" t="s">
        <v>68</v>
      </c>
      <c r="B123" s="12" t="s">
        <v>57</v>
      </c>
      <c r="C123" s="10" t="s">
        <v>58</v>
      </c>
      <c r="D123" s="10" t="s">
        <v>59</v>
      </c>
      <c r="E123" s="9">
        <v>118</v>
      </c>
      <c r="F123" s="9">
        <v>118</v>
      </c>
      <c r="G123" s="9">
        <v>1</v>
      </c>
      <c r="H123" s="10" t="s">
        <v>59</v>
      </c>
      <c r="I123" s="9">
        <v>1</v>
      </c>
      <c r="J123" s="9">
        <v>1.0602815419988501</v>
      </c>
      <c r="K123" s="10" t="s">
        <v>51</v>
      </c>
      <c r="L123" s="9">
        <v>1</v>
      </c>
      <c r="M123" s="9">
        <v>118</v>
      </c>
      <c r="N123" s="9">
        <v>118</v>
      </c>
      <c r="O123" s="9">
        <v>22</v>
      </c>
      <c r="P123" s="9">
        <v>161.75423670900599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9">
        <v>161.745280917006</v>
      </c>
      <c r="AD123" s="9">
        <v>161.75423670900599</v>
      </c>
      <c r="AE123" s="9">
        <v>162.23767575000201</v>
      </c>
      <c r="AF123" s="9">
        <v>162.23767575000201</v>
      </c>
      <c r="AG123" s="9">
        <v>162.23767575000201</v>
      </c>
      <c r="AH123" s="9">
        <v>163.30667837501099</v>
      </c>
      <c r="AI123" s="10" t="s">
        <v>59</v>
      </c>
      <c r="AJ123" s="9">
        <v>1</v>
      </c>
      <c r="AK123" s="9">
        <v>1.0602815419988501</v>
      </c>
      <c r="AL123" s="10" t="s">
        <v>51</v>
      </c>
      <c r="AM123" s="8"/>
      <c r="AN123" s="8"/>
      <c r="AO123" s="8"/>
      <c r="AP123" s="8"/>
      <c r="AQ123" s="9">
        <v>3</v>
      </c>
      <c r="AR123" s="9">
        <v>1</v>
      </c>
      <c r="AS123" s="10" t="s">
        <v>94</v>
      </c>
      <c r="AT123" s="10" t="s">
        <v>53</v>
      </c>
      <c r="AU123" s="8"/>
      <c r="AV123" s="10" t="s">
        <v>54</v>
      </c>
      <c r="AW123" s="10" t="s">
        <v>51</v>
      </c>
      <c r="AX123" s="10" t="s">
        <v>95</v>
      </c>
      <c r="AY123" s="8"/>
    </row>
    <row r="124" spans="1:51" x14ac:dyDescent="0.15">
      <c r="A124" s="11" t="s">
        <v>72</v>
      </c>
      <c r="B124" s="12" t="s">
        <v>57</v>
      </c>
      <c r="C124" s="10" t="s">
        <v>58</v>
      </c>
      <c r="D124" s="10" t="s">
        <v>59</v>
      </c>
      <c r="E124" s="9">
        <v>119</v>
      </c>
      <c r="F124" s="9">
        <v>119</v>
      </c>
      <c r="G124" s="9">
        <v>3</v>
      </c>
      <c r="H124" s="10" t="s">
        <v>59</v>
      </c>
      <c r="I124" s="9">
        <v>1</v>
      </c>
      <c r="J124" s="9">
        <v>0.70422066601167899</v>
      </c>
      <c r="K124" s="10" t="s">
        <v>51</v>
      </c>
      <c r="L124" s="9">
        <v>3</v>
      </c>
      <c r="M124" s="9">
        <v>119</v>
      </c>
      <c r="N124" s="9">
        <v>119</v>
      </c>
      <c r="O124" s="9">
        <v>24</v>
      </c>
      <c r="P124" s="9">
        <v>163.320940417005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9">
        <v>163.311892709011</v>
      </c>
      <c r="AD124" s="9">
        <v>163.320940417005</v>
      </c>
      <c r="AE124" s="9">
        <v>163.80462862500301</v>
      </c>
      <c r="AF124" s="9">
        <v>163.80462862500301</v>
      </c>
      <c r="AG124" s="9">
        <v>163.80462862500301</v>
      </c>
      <c r="AH124" s="9">
        <v>164.512589542006</v>
      </c>
      <c r="AI124" s="10" t="s">
        <v>59</v>
      </c>
      <c r="AJ124" s="9">
        <v>1</v>
      </c>
      <c r="AK124" s="9">
        <v>0.70422066601167899</v>
      </c>
      <c r="AL124" s="10" t="s">
        <v>51</v>
      </c>
      <c r="AM124" s="8"/>
      <c r="AN124" s="8"/>
      <c r="AO124" s="8"/>
      <c r="AP124" s="8"/>
      <c r="AQ124" s="9">
        <v>3</v>
      </c>
      <c r="AR124" s="9">
        <v>1</v>
      </c>
      <c r="AS124" s="10" t="s">
        <v>94</v>
      </c>
      <c r="AT124" s="10" t="s">
        <v>53</v>
      </c>
      <c r="AU124" s="8"/>
      <c r="AV124" s="10" t="s">
        <v>54</v>
      </c>
      <c r="AW124" s="10" t="s">
        <v>51</v>
      </c>
      <c r="AX124" s="10" t="s">
        <v>95</v>
      </c>
      <c r="AY124" s="8"/>
    </row>
    <row r="125" spans="1:51" x14ac:dyDescent="0.15">
      <c r="A125" s="11" t="s">
        <v>68</v>
      </c>
      <c r="B125" s="12" t="s">
        <v>57</v>
      </c>
      <c r="C125" s="10" t="s">
        <v>58</v>
      </c>
      <c r="D125" s="10" t="s">
        <v>59</v>
      </c>
      <c r="E125" s="9">
        <v>120</v>
      </c>
      <c r="F125" s="9">
        <v>120</v>
      </c>
      <c r="G125" s="9">
        <v>2</v>
      </c>
      <c r="H125" s="10" t="s">
        <v>59</v>
      </c>
      <c r="I125" s="9">
        <v>1</v>
      </c>
      <c r="J125" s="9">
        <v>0.659651042005862</v>
      </c>
      <c r="K125" s="10" t="s">
        <v>51</v>
      </c>
      <c r="L125" s="9">
        <v>2</v>
      </c>
      <c r="M125" s="9">
        <v>120</v>
      </c>
      <c r="N125" s="9">
        <v>120</v>
      </c>
      <c r="O125" s="9">
        <v>22</v>
      </c>
      <c r="P125" s="9">
        <v>164.52719229200699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9">
        <v>164.517475708999</v>
      </c>
      <c r="AD125" s="9">
        <v>164.52719229200699</v>
      </c>
      <c r="AE125" s="9">
        <v>165.014221167003</v>
      </c>
      <c r="AF125" s="9">
        <v>165.014221167003</v>
      </c>
      <c r="AG125" s="9">
        <v>165.014221167003</v>
      </c>
      <c r="AH125" s="9">
        <v>165.67895737499899</v>
      </c>
      <c r="AI125" s="10" t="s">
        <v>59</v>
      </c>
      <c r="AJ125" s="9">
        <v>1</v>
      </c>
      <c r="AK125" s="9">
        <v>0.659651042005862</v>
      </c>
      <c r="AL125" s="10" t="s">
        <v>51</v>
      </c>
      <c r="AM125" s="8"/>
      <c r="AN125" s="8"/>
      <c r="AO125" s="8"/>
      <c r="AP125" s="8"/>
      <c r="AQ125" s="9">
        <v>3</v>
      </c>
      <c r="AR125" s="9">
        <v>1</v>
      </c>
      <c r="AS125" s="10" t="s">
        <v>94</v>
      </c>
      <c r="AT125" s="10" t="s">
        <v>53</v>
      </c>
      <c r="AU125" s="8"/>
      <c r="AV125" s="10" t="s">
        <v>54</v>
      </c>
      <c r="AW125" s="10" t="s">
        <v>51</v>
      </c>
      <c r="AX125" s="10" t="s">
        <v>95</v>
      </c>
      <c r="AY125" s="8"/>
    </row>
    <row r="126" spans="1:51" x14ac:dyDescent="0.15">
      <c r="A126" s="11" t="s">
        <v>71</v>
      </c>
      <c r="B126" s="12" t="s">
        <v>57</v>
      </c>
      <c r="C126" s="10" t="s">
        <v>58</v>
      </c>
      <c r="D126" s="10" t="s">
        <v>59</v>
      </c>
      <c r="E126" s="9">
        <v>124</v>
      </c>
      <c r="F126" s="9">
        <v>124</v>
      </c>
      <c r="G126" s="9">
        <v>4</v>
      </c>
      <c r="H126" s="10" t="s">
        <v>59</v>
      </c>
      <c r="I126" s="9">
        <v>1</v>
      </c>
      <c r="J126" s="9">
        <v>0.65981141600059401</v>
      </c>
      <c r="K126" s="10" t="s">
        <v>51</v>
      </c>
      <c r="L126" s="9">
        <v>4</v>
      </c>
      <c r="M126" s="9">
        <v>124</v>
      </c>
      <c r="N126" s="9">
        <v>124</v>
      </c>
      <c r="O126" s="9">
        <v>28</v>
      </c>
      <c r="P126" s="9">
        <v>168.688006875003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9">
        <v>168.678448875013</v>
      </c>
      <c r="AD126" s="9">
        <v>168.688006875003</v>
      </c>
      <c r="AE126" s="9">
        <v>169.17126791700099</v>
      </c>
      <c r="AF126" s="9">
        <v>169.17126791700099</v>
      </c>
      <c r="AG126" s="9">
        <v>169.17126791700099</v>
      </c>
      <c r="AH126" s="9">
        <v>169.840144000002</v>
      </c>
      <c r="AI126" s="10" t="s">
        <v>59</v>
      </c>
      <c r="AJ126" s="9">
        <v>1</v>
      </c>
      <c r="AK126" s="9">
        <v>0.65981141600059401</v>
      </c>
      <c r="AL126" s="10" t="s">
        <v>51</v>
      </c>
      <c r="AM126" s="8"/>
      <c r="AN126" s="8"/>
      <c r="AO126" s="8"/>
      <c r="AP126" s="8"/>
      <c r="AQ126" s="9">
        <v>3</v>
      </c>
      <c r="AR126" s="9">
        <v>1</v>
      </c>
      <c r="AS126" s="10" t="s">
        <v>94</v>
      </c>
      <c r="AT126" s="10" t="s">
        <v>53</v>
      </c>
      <c r="AU126" s="8"/>
      <c r="AV126" s="10" t="s">
        <v>54</v>
      </c>
      <c r="AW126" s="10" t="s">
        <v>51</v>
      </c>
      <c r="AX126" s="10" t="s">
        <v>95</v>
      </c>
      <c r="AY126" s="8"/>
    </row>
    <row r="127" spans="1:51" x14ac:dyDescent="0.15">
      <c r="A127" s="11" t="s">
        <v>56</v>
      </c>
      <c r="B127" s="12" t="s">
        <v>57</v>
      </c>
      <c r="C127" s="10" t="s">
        <v>62</v>
      </c>
      <c r="D127" s="10" t="s">
        <v>63</v>
      </c>
      <c r="E127" s="9">
        <v>128</v>
      </c>
      <c r="F127" s="9">
        <v>128</v>
      </c>
      <c r="G127" s="9">
        <v>3</v>
      </c>
      <c r="H127" s="10" t="s">
        <v>63</v>
      </c>
      <c r="I127" s="9">
        <v>1</v>
      </c>
      <c r="J127" s="9">
        <v>0.44775966698944097</v>
      </c>
      <c r="K127" s="10" t="s">
        <v>51</v>
      </c>
      <c r="L127" s="9">
        <v>3</v>
      </c>
      <c r="M127" s="9">
        <v>128</v>
      </c>
      <c r="N127" s="9">
        <v>128</v>
      </c>
      <c r="O127" s="9">
        <v>17</v>
      </c>
      <c r="P127" s="9">
        <v>172.93753516700201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9">
        <v>172.928298584011</v>
      </c>
      <c r="AD127" s="9">
        <v>172.93753516700201</v>
      </c>
      <c r="AE127" s="9">
        <v>173.421558167</v>
      </c>
      <c r="AF127" s="9">
        <v>173.421558167</v>
      </c>
      <c r="AG127" s="9">
        <v>173.421558167</v>
      </c>
      <c r="AH127" s="9">
        <v>173.87365212501001</v>
      </c>
      <c r="AI127" s="10" t="s">
        <v>63</v>
      </c>
      <c r="AJ127" s="9">
        <v>1</v>
      </c>
      <c r="AK127" s="9">
        <v>0.44775966698944097</v>
      </c>
      <c r="AL127" s="10" t="s">
        <v>51</v>
      </c>
      <c r="AM127" s="8"/>
      <c r="AN127" s="8"/>
      <c r="AO127" s="8"/>
      <c r="AP127" s="8"/>
      <c r="AQ127" s="9">
        <v>3</v>
      </c>
      <c r="AR127" s="9">
        <v>1</v>
      </c>
      <c r="AS127" s="10" t="s">
        <v>94</v>
      </c>
      <c r="AT127" s="10" t="s">
        <v>53</v>
      </c>
      <c r="AU127" s="8"/>
      <c r="AV127" s="10" t="s">
        <v>54</v>
      </c>
      <c r="AW127" s="10" t="s">
        <v>51</v>
      </c>
      <c r="AX127" s="10" t="s">
        <v>95</v>
      </c>
      <c r="AY127" s="8"/>
    </row>
    <row r="128" spans="1:51" x14ac:dyDescent="0.15">
      <c r="A128" s="11" t="s">
        <v>78</v>
      </c>
      <c r="B128" s="12" t="s">
        <v>57</v>
      </c>
      <c r="C128" s="10" t="s">
        <v>62</v>
      </c>
      <c r="D128" s="10" t="s">
        <v>63</v>
      </c>
      <c r="E128" s="9">
        <v>131</v>
      </c>
      <c r="F128" s="9">
        <v>131</v>
      </c>
      <c r="G128" s="9">
        <v>3</v>
      </c>
      <c r="H128" s="10" t="s">
        <v>63</v>
      </c>
      <c r="I128" s="9">
        <v>1</v>
      </c>
      <c r="J128" s="9">
        <v>0.466775541004608</v>
      </c>
      <c r="K128" s="10" t="s">
        <v>51</v>
      </c>
      <c r="L128" s="9">
        <v>3</v>
      </c>
      <c r="M128" s="9">
        <v>131</v>
      </c>
      <c r="N128" s="9">
        <v>131</v>
      </c>
      <c r="O128" s="9">
        <v>27</v>
      </c>
      <c r="P128" s="9">
        <v>176.12079412500299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9">
        <v>176.111815417011</v>
      </c>
      <c r="AD128" s="9">
        <v>176.12079412500299</v>
      </c>
      <c r="AE128" s="9">
        <v>176.605404625006</v>
      </c>
      <c r="AF128" s="9">
        <v>176.605404625006</v>
      </c>
      <c r="AG128" s="9">
        <v>176.605404625006</v>
      </c>
      <c r="AH128" s="9">
        <v>177.07956391701001</v>
      </c>
      <c r="AI128" s="10" t="s">
        <v>63</v>
      </c>
      <c r="AJ128" s="9">
        <v>1</v>
      </c>
      <c r="AK128" s="9">
        <v>0.466775541004608</v>
      </c>
      <c r="AL128" s="10" t="s">
        <v>51</v>
      </c>
      <c r="AM128" s="8"/>
      <c r="AN128" s="8"/>
      <c r="AO128" s="8"/>
      <c r="AP128" s="8"/>
      <c r="AQ128" s="9">
        <v>3</v>
      </c>
      <c r="AR128" s="9">
        <v>1</v>
      </c>
      <c r="AS128" s="10" t="s">
        <v>94</v>
      </c>
      <c r="AT128" s="10" t="s">
        <v>53</v>
      </c>
      <c r="AU128" s="8"/>
      <c r="AV128" s="10" t="s">
        <v>54</v>
      </c>
      <c r="AW128" s="10" t="s">
        <v>51</v>
      </c>
      <c r="AX128" s="10" t="s">
        <v>95</v>
      </c>
      <c r="AY128" s="8"/>
    </row>
    <row r="129" spans="1:51" x14ac:dyDescent="0.15">
      <c r="A129" s="11" t="s">
        <v>84</v>
      </c>
      <c r="B129" s="12" t="s">
        <v>57</v>
      </c>
      <c r="C129" s="10" t="s">
        <v>58</v>
      </c>
      <c r="D129" s="10" t="s">
        <v>59</v>
      </c>
      <c r="E129" s="9">
        <v>135</v>
      </c>
      <c r="F129" s="9">
        <v>135</v>
      </c>
      <c r="G129" s="9">
        <v>1</v>
      </c>
      <c r="H129" s="10" t="s">
        <v>59</v>
      </c>
      <c r="I129" s="9">
        <v>1</v>
      </c>
      <c r="J129" s="9">
        <v>0.37367133299994798</v>
      </c>
      <c r="K129" s="10" t="s">
        <v>51</v>
      </c>
      <c r="L129" s="9">
        <v>1</v>
      </c>
      <c r="M129" s="9">
        <v>135</v>
      </c>
      <c r="N129" s="9">
        <v>135</v>
      </c>
      <c r="O129" s="9">
        <v>20</v>
      </c>
      <c r="P129" s="9">
        <v>180.104417167007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9">
        <v>180.09521983400899</v>
      </c>
      <c r="AD129" s="9">
        <v>180.104417167007</v>
      </c>
      <c r="AE129" s="9">
        <v>180.588553459005</v>
      </c>
      <c r="AF129" s="9">
        <v>180.588553459005</v>
      </c>
      <c r="AG129" s="9">
        <v>180.588553459005</v>
      </c>
      <c r="AH129" s="9">
        <v>180.97383733400801</v>
      </c>
      <c r="AI129" s="10" t="s">
        <v>59</v>
      </c>
      <c r="AJ129" s="9">
        <v>1</v>
      </c>
      <c r="AK129" s="9">
        <v>0.37367133299994798</v>
      </c>
      <c r="AL129" s="10" t="s">
        <v>51</v>
      </c>
      <c r="AM129" s="8"/>
      <c r="AN129" s="8"/>
      <c r="AO129" s="8"/>
      <c r="AP129" s="8"/>
      <c r="AQ129" s="9">
        <v>3</v>
      </c>
      <c r="AR129" s="9">
        <v>1</v>
      </c>
      <c r="AS129" s="10" t="s">
        <v>94</v>
      </c>
      <c r="AT129" s="10" t="s">
        <v>53</v>
      </c>
      <c r="AU129" s="8"/>
      <c r="AV129" s="10" t="s">
        <v>54</v>
      </c>
      <c r="AW129" s="10" t="s">
        <v>51</v>
      </c>
      <c r="AX129" s="10" t="s">
        <v>95</v>
      </c>
      <c r="AY129" s="8"/>
    </row>
    <row r="130" spans="1:51" x14ac:dyDescent="0.15">
      <c r="A130" s="11" t="s">
        <v>68</v>
      </c>
      <c r="B130" s="12" t="s">
        <v>57</v>
      </c>
      <c r="C130" s="10" t="s">
        <v>62</v>
      </c>
      <c r="D130" s="10" t="s">
        <v>63</v>
      </c>
      <c r="E130" s="9">
        <v>138</v>
      </c>
      <c r="F130" s="9">
        <v>138</v>
      </c>
      <c r="G130" s="9">
        <v>1</v>
      </c>
      <c r="H130" s="10" t="s">
        <v>63</v>
      </c>
      <c r="I130" s="9">
        <v>1</v>
      </c>
      <c r="J130" s="9">
        <v>0.74617629199929103</v>
      </c>
      <c r="K130" s="10" t="s">
        <v>51</v>
      </c>
      <c r="L130" s="9">
        <v>1</v>
      </c>
      <c r="M130" s="9">
        <v>138</v>
      </c>
      <c r="N130" s="9">
        <v>138</v>
      </c>
      <c r="O130" s="9">
        <v>23</v>
      </c>
      <c r="P130" s="9">
        <v>182.87040245901201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9">
        <v>182.86147775000401</v>
      </c>
      <c r="AD130" s="9">
        <v>182.87040245901201</v>
      </c>
      <c r="AE130" s="9">
        <v>183.355213834002</v>
      </c>
      <c r="AF130" s="9">
        <v>183.355213834002</v>
      </c>
      <c r="AG130" s="9">
        <v>183.355213834002</v>
      </c>
      <c r="AH130" s="9">
        <v>184.10761550000501</v>
      </c>
      <c r="AI130" s="10" t="s">
        <v>63</v>
      </c>
      <c r="AJ130" s="9">
        <v>1</v>
      </c>
      <c r="AK130" s="9">
        <v>0.74617629199929103</v>
      </c>
      <c r="AL130" s="10" t="s">
        <v>51</v>
      </c>
      <c r="AM130" s="8"/>
      <c r="AN130" s="8"/>
      <c r="AO130" s="8"/>
      <c r="AP130" s="8"/>
      <c r="AQ130" s="9">
        <v>3</v>
      </c>
      <c r="AR130" s="9">
        <v>1</v>
      </c>
      <c r="AS130" s="10" t="s">
        <v>94</v>
      </c>
      <c r="AT130" s="10" t="s">
        <v>53</v>
      </c>
      <c r="AU130" s="8"/>
      <c r="AV130" s="10" t="s">
        <v>54</v>
      </c>
      <c r="AW130" s="10" t="s">
        <v>51</v>
      </c>
      <c r="AX130" s="10" t="s">
        <v>95</v>
      </c>
      <c r="AY130" s="8"/>
    </row>
    <row r="131" spans="1:51" x14ac:dyDescent="0.15">
      <c r="A131" s="11" t="s">
        <v>68</v>
      </c>
      <c r="B131" s="12" t="s">
        <v>57</v>
      </c>
      <c r="C131" s="10" t="s">
        <v>58</v>
      </c>
      <c r="D131" s="10" t="s">
        <v>59</v>
      </c>
      <c r="E131" s="9">
        <v>143</v>
      </c>
      <c r="F131" s="9">
        <v>143</v>
      </c>
      <c r="G131" s="9">
        <v>3</v>
      </c>
      <c r="H131" s="10" t="s">
        <v>59</v>
      </c>
      <c r="I131" s="9">
        <v>1</v>
      </c>
      <c r="J131" s="9">
        <v>0.50421366600494399</v>
      </c>
      <c r="K131" s="10" t="s">
        <v>51</v>
      </c>
      <c r="L131" s="9">
        <v>3</v>
      </c>
      <c r="M131" s="9">
        <v>143</v>
      </c>
      <c r="N131" s="9">
        <v>143</v>
      </c>
      <c r="O131" s="9">
        <v>22</v>
      </c>
      <c r="P131" s="9">
        <v>189.46098000000299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9">
        <v>189.45143083400001</v>
      </c>
      <c r="AD131" s="9">
        <v>189.46098000000299</v>
      </c>
      <c r="AE131" s="9">
        <v>189.94832833400901</v>
      </c>
      <c r="AF131" s="9">
        <v>189.94832833400901</v>
      </c>
      <c r="AG131" s="9">
        <v>189.94832833400901</v>
      </c>
      <c r="AH131" s="9">
        <v>190.457812875</v>
      </c>
      <c r="AI131" s="10" t="s">
        <v>59</v>
      </c>
      <c r="AJ131" s="9">
        <v>1</v>
      </c>
      <c r="AK131" s="9">
        <v>0.50421366600494399</v>
      </c>
      <c r="AL131" s="10" t="s">
        <v>51</v>
      </c>
      <c r="AM131" s="8"/>
      <c r="AN131" s="8"/>
      <c r="AO131" s="8"/>
      <c r="AP131" s="8"/>
      <c r="AQ131" s="9">
        <v>3</v>
      </c>
      <c r="AR131" s="9">
        <v>1</v>
      </c>
      <c r="AS131" s="10" t="s">
        <v>94</v>
      </c>
      <c r="AT131" s="10" t="s">
        <v>53</v>
      </c>
      <c r="AU131" s="8"/>
      <c r="AV131" s="10" t="s">
        <v>54</v>
      </c>
      <c r="AW131" s="10" t="s">
        <v>51</v>
      </c>
      <c r="AX131" s="10" t="s">
        <v>95</v>
      </c>
      <c r="AY131" s="8"/>
    </row>
    <row r="132" spans="1:51" x14ac:dyDescent="0.15">
      <c r="A132" s="11" t="s">
        <v>56</v>
      </c>
      <c r="B132" s="12" t="s">
        <v>57</v>
      </c>
      <c r="C132" s="10" t="s">
        <v>62</v>
      </c>
      <c r="D132" s="10" t="s">
        <v>63</v>
      </c>
      <c r="E132" s="9">
        <v>150</v>
      </c>
      <c r="F132" s="9">
        <v>150</v>
      </c>
      <c r="G132" s="9">
        <v>4</v>
      </c>
      <c r="H132" s="10" t="s">
        <v>63</v>
      </c>
      <c r="I132" s="9">
        <v>1</v>
      </c>
      <c r="J132" s="9">
        <v>0.36398316599661501</v>
      </c>
      <c r="K132" s="10" t="s">
        <v>51</v>
      </c>
      <c r="L132" s="9">
        <v>4</v>
      </c>
      <c r="M132" s="9">
        <v>150</v>
      </c>
      <c r="N132" s="9">
        <v>150</v>
      </c>
      <c r="O132" s="9">
        <v>17</v>
      </c>
      <c r="P132" s="9">
        <v>197.189424917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9">
        <v>197.17994125001101</v>
      </c>
      <c r="AD132" s="9">
        <v>197.189424917</v>
      </c>
      <c r="AE132" s="9">
        <v>197.67277254200599</v>
      </c>
      <c r="AF132" s="9">
        <v>197.67277254200599</v>
      </c>
      <c r="AG132" s="9">
        <v>197.67277254200599</v>
      </c>
      <c r="AH132" s="9">
        <v>198.04126629199899</v>
      </c>
      <c r="AI132" s="10" t="s">
        <v>63</v>
      </c>
      <c r="AJ132" s="9">
        <v>1</v>
      </c>
      <c r="AK132" s="9">
        <v>0.36398316599661501</v>
      </c>
      <c r="AL132" s="10" t="s">
        <v>51</v>
      </c>
      <c r="AM132" s="8"/>
      <c r="AN132" s="8"/>
      <c r="AO132" s="8"/>
      <c r="AP132" s="8"/>
      <c r="AQ132" s="9">
        <v>3</v>
      </c>
      <c r="AR132" s="9">
        <v>1</v>
      </c>
      <c r="AS132" s="10" t="s">
        <v>94</v>
      </c>
      <c r="AT132" s="10" t="s">
        <v>53</v>
      </c>
      <c r="AU132" s="8"/>
      <c r="AV132" s="10" t="s">
        <v>54</v>
      </c>
      <c r="AW132" s="10" t="s">
        <v>51</v>
      </c>
      <c r="AX132" s="10" t="s">
        <v>95</v>
      </c>
      <c r="AY132" s="8"/>
    </row>
    <row r="133" spans="1:51" x14ac:dyDescent="0.15">
      <c r="A133" s="11" t="s">
        <v>84</v>
      </c>
      <c r="B133" s="12" t="s">
        <v>57</v>
      </c>
      <c r="C133" s="10" t="s">
        <v>62</v>
      </c>
      <c r="D133" s="10" t="s">
        <v>63</v>
      </c>
      <c r="E133" s="9">
        <v>154</v>
      </c>
      <c r="F133" s="9">
        <v>154</v>
      </c>
      <c r="G133" s="9">
        <v>3</v>
      </c>
      <c r="H133" s="10" t="s">
        <v>63</v>
      </c>
      <c r="I133" s="9">
        <v>1</v>
      </c>
      <c r="J133" s="9">
        <v>0.50594129199453197</v>
      </c>
      <c r="K133" s="10" t="s">
        <v>51</v>
      </c>
      <c r="L133" s="9">
        <v>3</v>
      </c>
      <c r="M133" s="9">
        <v>154</v>
      </c>
      <c r="N133" s="9">
        <v>154</v>
      </c>
      <c r="O133" s="9">
        <v>21</v>
      </c>
      <c r="P133" s="9">
        <v>201.24497704200601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9">
        <v>201.235931792005</v>
      </c>
      <c r="AD133" s="9">
        <v>201.24497704200601</v>
      </c>
      <c r="AE133" s="9">
        <v>201.73184216700599</v>
      </c>
      <c r="AF133" s="9">
        <v>201.73184216700599</v>
      </c>
      <c r="AG133" s="9">
        <v>201.73184216700599</v>
      </c>
      <c r="AH133" s="9">
        <v>202.241166709005</v>
      </c>
      <c r="AI133" s="10" t="s">
        <v>63</v>
      </c>
      <c r="AJ133" s="9">
        <v>1</v>
      </c>
      <c r="AK133" s="9">
        <v>0.50594129199453197</v>
      </c>
      <c r="AL133" s="10" t="s">
        <v>51</v>
      </c>
      <c r="AM133" s="8"/>
      <c r="AN133" s="8"/>
      <c r="AO133" s="8"/>
      <c r="AP133" s="8"/>
      <c r="AQ133" s="9">
        <v>3</v>
      </c>
      <c r="AR133" s="9">
        <v>1</v>
      </c>
      <c r="AS133" s="10" t="s">
        <v>94</v>
      </c>
      <c r="AT133" s="10" t="s">
        <v>53</v>
      </c>
      <c r="AU133" s="8"/>
      <c r="AV133" s="10" t="s">
        <v>54</v>
      </c>
      <c r="AW133" s="10" t="s">
        <v>51</v>
      </c>
      <c r="AX133" s="10" t="s">
        <v>95</v>
      </c>
      <c r="AY133" s="8"/>
    </row>
    <row r="134" spans="1:51" x14ac:dyDescent="0.15">
      <c r="A134" s="11" t="s">
        <v>65</v>
      </c>
      <c r="B134" s="12" t="s">
        <v>57</v>
      </c>
      <c r="C134" s="10" t="s">
        <v>58</v>
      </c>
      <c r="D134" s="10" t="s">
        <v>59</v>
      </c>
      <c r="E134" s="9">
        <v>155</v>
      </c>
      <c r="F134" s="9">
        <v>155</v>
      </c>
      <c r="G134" s="9">
        <v>4</v>
      </c>
      <c r="H134" s="10" t="s">
        <v>59</v>
      </c>
      <c r="I134" s="9">
        <v>1</v>
      </c>
      <c r="J134" s="9">
        <v>0.82254691699927196</v>
      </c>
      <c r="K134" s="10" t="s">
        <v>51</v>
      </c>
      <c r="L134" s="9">
        <v>4</v>
      </c>
      <c r="M134" s="9">
        <v>155</v>
      </c>
      <c r="N134" s="9">
        <v>155</v>
      </c>
      <c r="O134" s="9">
        <v>30</v>
      </c>
      <c r="P134" s="9">
        <v>202.25428037501101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9">
        <v>202.24542495900801</v>
      </c>
      <c r="AD134" s="9">
        <v>202.25428037501101</v>
      </c>
      <c r="AE134" s="9">
        <v>202.73918191700099</v>
      </c>
      <c r="AF134" s="9">
        <v>202.73918191700099</v>
      </c>
      <c r="AG134" s="9">
        <v>202.73918191700099</v>
      </c>
      <c r="AH134" s="9">
        <v>203.564107625003</v>
      </c>
      <c r="AI134" s="10" t="s">
        <v>59</v>
      </c>
      <c r="AJ134" s="9">
        <v>1</v>
      </c>
      <c r="AK134" s="9">
        <v>0.82254691699927196</v>
      </c>
      <c r="AL134" s="10" t="s">
        <v>51</v>
      </c>
      <c r="AM134" s="8"/>
      <c r="AN134" s="8"/>
      <c r="AO134" s="8"/>
      <c r="AP134" s="8"/>
      <c r="AQ134" s="9">
        <v>3</v>
      </c>
      <c r="AR134" s="9">
        <v>1</v>
      </c>
      <c r="AS134" s="10" t="s">
        <v>94</v>
      </c>
      <c r="AT134" s="10" t="s">
        <v>53</v>
      </c>
      <c r="AU134" s="8"/>
      <c r="AV134" s="10" t="s">
        <v>54</v>
      </c>
      <c r="AW134" s="10" t="s">
        <v>51</v>
      </c>
      <c r="AX134" s="10" t="s">
        <v>95</v>
      </c>
      <c r="AY134" s="8"/>
    </row>
    <row r="135" spans="1:51" x14ac:dyDescent="0.15">
      <c r="A135" s="11" t="s">
        <v>84</v>
      </c>
      <c r="B135" s="12" t="s">
        <v>57</v>
      </c>
      <c r="C135" s="10" t="s">
        <v>58</v>
      </c>
      <c r="D135" s="10" t="s">
        <v>59</v>
      </c>
      <c r="E135" s="9">
        <v>159</v>
      </c>
      <c r="F135" s="9">
        <v>159</v>
      </c>
      <c r="G135" s="9">
        <v>2</v>
      </c>
      <c r="H135" s="10" t="s">
        <v>59</v>
      </c>
      <c r="I135" s="9">
        <v>1</v>
      </c>
      <c r="J135" s="9">
        <v>0.71635200000309895</v>
      </c>
      <c r="K135" s="10" t="s">
        <v>51</v>
      </c>
      <c r="L135" s="9">
        <v>2</v>
      </c>
      <c r="M135" s="9">
        <v>159</v>
      </c>
      <c r="N135" s="9">
        <v>159</v>
      </c>
      <c r="O135" s="9">
        <v>20</v>
      </c>
      <c r="P135" s="9">
        <v>208.25447029199901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9">
        <v>208.24591345900299</v>
      </c>
      <c r="AD135" s="9">
        <v>208.25447029199901</v>
      </c>
      <c r="AE135" s="9">
        <v>208.739406292007</v>
      </c>
      <c r="AF135" s="9">
        <v>208.739406292007</v>
      </c>
      <c r="AG135" s="9">
        <v>208.739406292007</v>
      </c>
      <c r="AH135" s="9">
        <v>209.45819316701099</v>
      </c>
      <c r="AI135" s="10" t="s">
        <v>59</v>
      </c>
      <c r="AJ135" s="9">
        <v>1</v>
      </c>
      <c r="AK135" s="9">
        <v>0.71635200000309895</v>
      </c>
      <c r="AL135" s="10" t="s">
        <v>51</v>
      </c>
      <c r="AM135" s="8"/>
      <c r="AN135" s="8"/>
      <c r="AO135" s="8"/>
      <c r="AP135" s="8"/>
      <c r="AQ135" s="9">
        <v>3</v>
      </c>
      <c r="AR135" s="9">
        <v>1</v>
      </c>
      <c r="AS135" s="10" t="s">
        <v>94</v>
      </c>
      <c r="AT135" s="10" t="s">
        <v>53</v>
      </c>
      <c r="AU135" s="8"/>
      <c r="AV135" s="10" t="s">
        <v>54</v>
      </c>
      <c r="AW135" s="10" t="s">
        <v>51</v>
      </c>
      <c r="AX135" s="10" t="s">
        <v>95</v>
      </c>
      <c r="AY135" s="8"/>
    </row>
    <row r="136" spans="1:51" x14ac:dyDescent="0.15">
      <c r="A136" s="11" t="s">
        <v>72</v>
      </c>
      <c r="B136" s="12" t="s">
        <v>57</v>
      </c>
      <c r="C136" s="10" t="s">
        <v>62</v>
      </c>
      <c r="D136" s="10" t="s">
        <v>63</v>
      </c>
      <c r="E136" s="9">
        <v>161</v>
      </c>
      <c r="F136" s="9">
        <v>161</v>
      </c>
      <c r="G136" s="9">
        <v>0</v>
      </c>
      <c r="H136" s="10" t="s">
        <v>63</v>
      </c>
      <c r="I136" s="9">
        <v>1</v>
      </c>
      <c r="J136" s="9">
        <v>0.454594915994676</v>
      </c>
      <c r="K136" s="10" t="s">
        <v>51</v>
      </c>
      <c r="L136" s="9">
        <v>0</v>
      </c>
      <c r="M136" s="9">
        <v>161</v>
      </c>
      <c r="N136" s="9">
        <v>161</v>
      </c>
      <c r="O136" s="9">
        <v>25</v>
      </c>
      <c r="P136" s="9">
        <v>210.645149667005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9">
        <v>210.63440679199999</v>
      </c>
      <c r="AD136" s="9">
        <v>210.645149667005</v>
      </c>
      <c r="AE136" s="9">
        <v>211.132364459001</v>
      </c>
      <c r="AF136" s="9">
        <v>211.132364459001</v>
      </c>
      <c r="AG136" s="9">
        <v>211.132364459001</v>
      </c>
      <c r="AH136" s="9">
        <v>211.59152458400101</v>
      </c>
      <c r="AI136" s="10" t="s">
        <v>63</v>
      </c>
      <c r="AJ136" s="9">
        <v>1</v>
      </c>
      <c r="AK136" s="9">
        <v>0.454594915994676</v>
      </c>
      <c r="AL136" s="10" t="s">
        <v>51</v>
      </c>
      <c r="AM136" s="8"/>
      <c r="AN136" s="8"/>
      <c r="AO136" s="8"/>
      <c r="AP136" s="8"/>
      <c r="AQ136" s="9">
        <v>3</v>
      </c>
      <c r="AR136" s="9">
        <v>1</v>
      </c>
      <c r="AS136" s="10" t="s">
        <v>94</v>
      </c>
      <c r="AT136" s="10" t="s">
        <v>53</v>
      </c>
      <c r="AU136" s="8"/>
      <c r="AV136" s="10" t="s">
        <v>54</v>
      </c>
      <c r="AW136" s="10" t="s">
        <v>51</v>
      </c>
      <c r="AX136" s="10" t="s">
        <v>95</v>
      </c>
      <c r="AY136" s="8"/>
    </row>
    <row r="137" spans="1:51" x14ac:dyDescent="0.15">
      <c r="A137" s="11" t="s">
        <v>75</v>
      </c>
      <c r="B137" s="12" t="s">
        <v>57</v>
      </c>
      <c r="C137" s="10" t="s">
        <v>62</v>
      </c>
      <c r="D137" s="10" t="s">
        <v>63</v>
      </c>
      <c r="E137" s="9">
        <v>162</v>
      </c>
      <c r="F137" s="9">
        <v>162</v>
      </c>
      <c r="G137" s="9">
        <v>2</v>
      </c>
      <c r="H137" s="10" t="s">
        <v>63</v>
      </c>
      <c r="I137" s="9">
        <v>1</v>
      </c>
      <c r="J137" s="9">
        <v>2.1984720420005002</v>
      </c>
      <c r="K137" s="10" t="s">
        <v>51</v>
      </c>
      <c r="L137" s="9">
        <v>2</v>
      </c>
      <c r="M137" s="9">
        <v>162</v>
      </c>
      <c r="N137" s="9">
        <v>162</v>
      </c>
      <c r="O137" s="9">
        <v>19</v>
      </c>
      <c r="P137" s="9">
        <v>211.604902042003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9">
        <v>211.59615204201</v>
      </c>
      <c r="AD137" s="9">
        <v>211.604902042003</v>
      </c>
      <c r="AE137" s="9">
        <v>212.08945879200499</v>
      </c>
      <c r="AF137" s="9">
        <v>212.08945879200499</v>
      </c>
      <c r="AG137" s="9">
        <v>212.08945879200499</v>
      </c>
      <c r="AH137" s="9">
        <v>214.29181670900999</v>
      </c>
      <c r="AI137" s="10" t="s">
        <v>63</v>
      </c>
      <c r="AJ137" s="9">
        <v>1</v>
      </c>
      <c r="AK137" s="9">
        <v>2.1984720420005002</v>
      </c>
      <c r="AL137" s="10" t="s">
        <v>51</v>
      </c>
      <c r="AM137" s="8"/>
      <c r="AN137" s="8"/>
      <c r="AO137" s="8"/>
      <c r="AP137" s="8"/>
      <c r="AQ137" s="9">
        <v>3</v>
      </c>
      <c r="AR137" s="9">
        <v>1</v>
      </c>
      <c r="AS137" s="10" t="s">
        <v>94</v>
      </c>
      <c r="AT137" s="10" t="s">
        <v>53</v>
      </c>
      <c r="AU137" s="8"/>
      <c r="AV137" s="10" t="s">
        <v>54</v>
      </c>
      <c r="AW137" s="10" t="s">
        <v>51</v>
      </c>
      <c r="AX137" s="10" t="s">
        <v>95</v>
      </c>
      <c r="AY137" s="8"/>
    </row>
    <row r="138" spans="1:51" x14ac:dyDescent="0.15">
      <c r="A138" s="11" t="s">
        <v>75</v>
      </c>
      <c r="B138" s="12" t="s">
        <v>57</v>
      </c>
      <c r="C138" s="10" t="s">
        <v>58</v>
      </c>
      <c r="D138" s="10" t="s">
        <v>59</v>
      </c>
      <c r="E138" s="9">
        <v>167</v>
      </c>
      <c r="F138" s="9">
        <v>167</v>
      </c>
      <c r="G138" s="9">
        <v>3</v>
      </c>
      <c r="H138" s="10" t="s">
        <v>59</v>
      </c>
      <c r="I138" s="9">
        <v>1</v>
      </c>
      <c r="J138" s="9">
        <v>0.356289957999252</v>
      </c>
      <c r="K138" s="10" t="s">
        <v>51</v>
      </c>
      <c r="L138" s="9">
        <v>3</v>
      </c>
      <c r="M138" s="9">
        <v>167</v>
      </c>
      <c r="N138" s="9">
        <v>167</v>
      </c>
      <c r="O138" s="9">
        <v>18</v>
      </c>
      <c r="P138" s="9">
        <v>218.211562334007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9">
        <v>218.20200866700901</v>
      </c>
      <c r="AD138" s="9">
        <v>218.211562334007</v>
      </c>
      <c r="AE138" s="9">
        <v>218.698833500006</v>
      </c>
      <c r="AF138" s="9">
        <v>218.698833500006</v>
      </c>
      <c r="AG138" s="9">
        <v>218.698833500006</v>
      </c>
      <c r="AH138" s="9">
        <v>219.05872629200201</v>
      </c>
      <c r="AI138" s="10" t="s">
        <v>59</v>
      </c>
      <c r="AJ138" s="9">
        <v>1</v>
      </c>
      <c r="AK138" s="9">
        <v>0.356289957999252</v>
      </c>
      <c r="AL138" s="10" t="s">
        <v>51</v>
      </c>
      <c r="AM138" s="8"/>
      <c r="AN138" s="8"/>
      <c r="AO138" s="8"/>
      <c r="AP138" s="8"/>
      <c r="AQ138" s="9">
        <v>3</v>
      </c>
      <c r="AR138" s="9">
        <v>1</v>
      </c>
      <c r="AS138" s="10" t="s">
        <v>94</v>
      </c>
      <c r="AT138" s="10" t="s">
        <v>53</v>
      </c>
      <c r="AU138" s="8"/>
      <c r="AV138" s="10" t="s">
        <v>54</v>
      </c>
      <c r="AW138" s="10" t="s">
        <v>51</v>
      </c>
      <c r="AX138" s="10" t="s">
        <v>95</v>
      </c>
      <c r="AY138" s="8"/>
    </row>
    <row r="139" spans="1:51" x14ac:dyDescent="0.15">
      <c r="A139" s="11" t="s">
        <v>78</v>
      </c>
      <c r="B139" s="12" t="s">
        <v>57</v>
      </c>
      <c r="C139" s="10" t="s">
        <v>58</v>
      </c>
      <c r="D139" s="10" t="s">
        <v>59</v>
      </c>
      <c r="E139" s="9">
        <v>170</v>
      </c>
      <c r="F139" s="9">
        <v>170</v>
      </c>
      <c r="G139" s="9">
        <v>2</v>
      </c>
      <c r="H139" s="10" t="s">
        <v>59</v>
      </c>
      <c r="I139" s="9">
        <v>1</v>
      </c>
      <c r="J139" s="9">
        <v>0.44883329101139702</v>
      </c>
      <c r="K139" s="10" t="s">
        <v>51</v>
      </c>
      <c r="L139" s="9">
        <v>2</v>
      </c>
      <c r="M139" s="9">
        <v>170</v>
      </c>
      <c r="N139" s="9">
        <v>170</v>
      </c>
      <c r="O139" s="9">
        <v>26</v>
      </c>
      <c r="P139" s="9">
        <v>220.82879450000499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9">
        <v>220.81929883400201</v>
      </c>
      <c r="AD139" s="9">
        <v>220.82879450000499</v>
      </c>
      <c r="AE139" s="9">
        <v>221.31607804199999</v>
      </c>
      <c r="AF139" s="9">
        <v>221.31607804199999</v>
      </c>
      <c r="AG139" s="9">
        <v>221.31607804199999</v>
      </c>
      <c r="AH139" s="9">
        <v>221.77544237500101</v>
      </c>
      <c r="AI139" s="10" t="s">
        <v>59</v>
      </c>
      <c r="AJ139" s="9">
        <v>1</v>
      </c>
      <c r="AK139" s="9">
        <v>0.44883329101139702</v>
      </c>
      <c r="AL139" s="10" t="s">
        <v>51</v>
      </c>
      <c r="AM139" s="8"/>
      <c r="AN139" s="8"/>
      <c r="AO139" s="8"/>
      <c r="AP139" s="8"/>
      <c r="AQ139" s="9">
        <v>3</v>
      </c>
      <c r="AR139" s="9">
        <v>1</v>
      </c>
      <c r="AS139" s="10" t="s">
        <v>94</v>
      </c>
      <c r="AT139" s="10" t="s">
        <v>53</v>
      </c>
      <c r="AU139" s="8"/>
      <c r="AV139" s="10" t="s">
        <v>54</v>
      </c>
      <c r="AW139" s="10" t="s">
        <v>51</v>
      </c>
      <c r="AX139" s="10" t="s">
        <v>95</v>
      </c>
      <c r="AY139" s="8"/>
    </row>
    <row r="140" spans="1:51" x14ac:dyDescent="0.15">
      <c r="A140" s="11" t="s">
        <v>71</v>
      </c>
      <c r="B140" s="12" t="s">
        <v>57</v>
      </c>
      <c r="C140" s="10" t="s">
        <v>62</v>
      </c>
      <c r="D140" s="10" t="s">
        <v>63</v>
      </c>
      <c r="E140" s="9">
        <v>172</v>
      </c>
      <c r="F140" s="9">
        <v>172</v>
      </c>
      <c r="G140" s="9">
        <v>2</v>
      </c>
      <c r="H140" s="10" t="s">
        <v>63</v>
      </c>
      <c r="I140" s="9">
        <v>1</v>
      </c>
      <c r="J140" s="9">
        <v>1.6845834160049</v>
      </c>
      <c r="K140" s="10" t="s">
        <v>51</v>
      </c>
      <c r="L140" s="9">
        <v>2</v>
      </c>
      <c r="M140" s="9">
        <v>172</v>
      </c>
      <c r="N140" s="9">
        <v>172</v>
      </c>
      <c r="O140" s="9">
        <v>29</v>
      </c>
      <c r="P140" s="9">
        <v>222.84581525000999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9">
        <v>222.83614900001001</v>
      </c>
      <c r="AD140" s="9">
        <v>222.84581525000999</v>
      </c>
      <c r="AE140" s="9">
        <v>223.332524124999</v>
      </c>
      <c r="AF140" s="9">
        <v>223.332524124999</v>
      </c>
      <c r="AG140" s="9">
        <v>223.332524124999</v>
      </c>
      <c r="AH140" s="9">
        <v>225.02562020900999</v>
      </c>
      <c r="AI140" s="10" t="s">
        <v>63</v>
      </c>
      <c r="AJ140" s="9">
        <v>1</v>
      </c>
      <c r="AK140" s="9">
        <v>1.6845834160049</v>
      </c>
      <c r="AL140" s="10" t="s">
        <v>51</v>
      </c>
      <c r="AM140" s="8"/>
      <c r="AN140" s="8"/>
      <c r="AO140" s="8"/>
      <c r="AP140" s="8"/>
      <c r="AQ140" s="9">
        <v>3</v>
      </c>
      <c r="AR140" s="9">
        <v>1</v>
      </c>
      <c r="AS140" s="10" t="s">
        <v>94</v>
      </c>
      <c r="AT140" s="10" t="s">
        <v>53</v>
      </c>
      <c r="AU140" s="8"/>
      <c r="AV140" s="10" t="s">
        <v>54</v>
      </c>
      <c r="AW140" s="10" t="s">
        <v>51</v>
      </c>
      <c r="AX140" s="10" t="s">
        <v>95</v>
      </c>
      <c r="AY140" s="8"/>
    </row>
    <row r="141" spans="1:51" x14ac:dyDescent="0.15">
      <c r="A141" s="11" t="s">
        <v>78</v>
      </c>
      <c r="B141" s="12" t="s">
        <v>57</v>
      </c>
      <c r="C141" s="10" t="s">
        <v>58</v>
      </c>
      <c r="D141" s="10" t="s">
        <v>59</v>
      </c>
      <c r="E141" s="9">
        <v>178</v>
      </c>
      <c r="F141" s="9">
        <v>178</v>
      </c>
      <c r="G141" s="9">
        <v>3</v>
      </c>
      <c r="H141" s="10" t="s">
        <v>59</v>
      </c>
      <c r="I141" s="9">
        <v>1</v>
      </c>
      <c r="J141" s="9">
        <v>0.59280491700337701</v>
      </c>
      <c r="K141" s="10" t="s">
        <v>51</v>
      </c>
      <c r="L141" s="9">
        <v>3</v>
      </c>
      <c r="M141" s="9">
        <v>178</v>
      </c>
      <c r="N141" s="9">
        <v>178</v>
      </c>
      <c r="O141" s="9">
        <v>26</v>
      </c>
      <c r="P141" s="9">
        <v>229.43520337500399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9">
        <v>229.42882145900501</v>
      </c>
      <c r="AD141" s="9">
        <v>229.43520337500399</v>
      </c>
      <c r="AE141" s="9">
        <v>229.92345666700601</v>
      </c>
      <c r="AF141" s="9">
        <v>229.92345666700601</v>
      </c>
      <c r="AG141" s="9">
        <v>229.92345666700601</v>
      </c>
      <c r="AH141" s="9">
        <v>230.52554375000199</v>
      </c>
      <c r="AI141" s="10" t="s">
        <v>59</v>
      </c>
      <c r="AJ141" s="9">
        <v>1</v>
      </c>
      <c r="AK141" s="9">
        <v>0.59280491700337701</v>
      </c>
      <c r="AL141" s="10" t="s">
        <v>51</v>
      </c>
      <c r="AM141" s="8"/>
      <c r="AN141" s="8"/>
      <c r="AO141" s="8"/>
      <c r="AP141" s="8"/>
      <c r="AQ141" s="9">
        <v>3</v>
      </c>
      <c r="AR141" s="9">
        <v>1</v>
      </c>
      <c r="AS141" s="10" t="s">
        <v>94</v>
      </c>
      <c r="AT141" s="10" t="s">
        <v>53</v>
      </c>
      <c r="AU141" s="8"/>
      <c r="AV141" s="10" t="s">
        <v>54</v>
      </c>
      <c r="AW141" s="10" t="s">
        <v>51</v>
      </c>
      <c r="AX141" s="10" t="s">
        <v>95</v>
      </c>
      <c r="AY141" s="8"/>
    </row>
    <row r="142" spans="1:51" x14ac:dyDescent="0.15">
      <c r="A142" s="11" t="s">
        <v>84</v>
      </c>
      <c r="B142" s="12" t="s">
        <v>57</v>
      </c>
      <c r="C142" s="10" t="s">
        <v>62</v>
      </c>
      <c r="D142" s="10" t="s">
        <v>63</v>
      </c>
      <c r="E142" s="9">
        <v>179</v>
      </c>
      <c r="F142" s="9">
        <v>179</v>
      </c>
      <c r="G142" s="9">
        <v>4</v>
      </c>
      <c r="H142" s="10" t="s">
        <v>63</v>
      </c>
      <c r="I142" s="9">
        <v>1</v>
      </c>
      <c r="J142" s="9">
        <v>0.91167541600589197</v>
      </c>
      <c r="K142" s="10" t="s">
        <v>51</v>
      </c>
      <c r="L142" s="9">
        <v>4</v>
      </c>
      <c r="M142" s="9">
        <v>179</v>
      </c>
      <c r="N142" s="9">
        <v>179</v>
      </c>
      <c r="O142" s="9">
        <v>21</v>
      </c>
      <c r="P142" s="9">
        <v>230.53856341700899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9">
        <v>230.529527584004</v>
      </c>
      <c r="AD142" s="9">
        <v>230.53856341700899</v>
      </c>
      <c r="AE142" s="9">
        <v>231.02353875</v>
      </c>
      <c r="AF142" s="9">
        <v>231.02353875</v>
      </c>
      <c r="AG142" s="9">
        <v>231.02353875</v>
      </c>
      <c r="AH142" s="9">
        <v>231.94240966701199</v>
      </c>
      <c r="AI142" s="10" t="s">
        <v>63</v>
      </c>
      <c r="AJ142" s="9">
        <v>1</v>
      </c>
      <c r="AK142" s="9">
        <v>0.91167541600589197</v>
      </c>
      <c r="AL142" s="10" t="s">
        <v>51</v>
      </c>
      <c r="AM142" s="8"/>
      <c r="AN142" s="8"/>
      <c r="AO142" s="8"/>
      <c r="AP142" s="8"/>
      <c r="AQ142" s="9">
        <v>3</v>
      </c>
      <c r="AR142" s="9">
        <v>1</v>
      </c>
      <c r="AS142" s="10" t="s">
        <v>94</v>
      </c>
      <c r="AT142" s="10" t="s">
        <v>53</v>
      </c>
      <c r="AU142" s="8"/>
      <c r="AV142" s="10" t="s">
        <v>54</v>
      </c>
      <c r="AW142" s="10" t="s">
        <v>51</v>
      </c>
      <c r="AX142" s="10" t="s">
        <v>95</v>
      </c>
      <c r="AY142" s="8"/>
    </row>
    <row r="143" spans="1:51" x14ac:dyDescent="0.15">
      <c r="A143" s="11" t="s">
        <v>72</v>
      </c>
      <c r="B143" s="12" t="s">
        <v>57</v>
      </c>
      <c r="C143" s="10" t="s">
        <v>62</v>
      </c>
      <c r="D143" s="10" t="s">
        <v>63</v>
      </c>
      <c r="E143" s="9">
        <v>185</v>
      </c>
      <c r="F143" s="9">
        <v>185</v>
      </c>
      <c r="G143" s="9">
        <v>1</v>
      </c>
      <c r="H143" s="10" t="s">
        <v>63</v>
      </c>
      <c r="I143" s="9">
        <v>1</v>
      </c>
      <c r="J143" s="9">
        <v>0.57104879099642902</v>
      </c>
      <c r="K143" s="10" t="s">
        <v>51</v>
      </c>
      <c r="L143" s="9">
        <v>1</v>
      </c>
      <c r="M143" s="9">
        <v>185</v>
      </c>
      <c r="N143" s="9">
        <v>185</v>
      </c>
      <c r="O143" s="9">
        <v>25</v>
      </c>
      <c r="P143" s="9">
        <v>238.27252858399899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9">
        <v>238.26375962499901</v>
      </c>
      <c r="AD143" s="9">
        <v>238.27252858399899</v>
      </c>
      <c r="AE143" s="9">
        <v>238.757246209003</v>
      </c>
      <c r="AF143" s="9">
        <v>238.757246209003</v>
      </c>
      <c r="AG143" s="9">
        <v>238.757246209003</v>
      </c>
      <c r="AH143" s="9">
        <v>239.33173537500301</v>
      </c>
      <c r="AI143" s="10" t="s">
        <v>63</v>
      </c>
      <c r="AJ143" s="9">
        <v>1</v>
      </c>
      <c r="AK143" s="9">
        <v>0.57104879099642902</v>
      </c>
      <c r="AL143" s="10" t="s">
        <v>51</v>
      </c>
      <c r="AM143" s="8"/>
      <c r="AN143" s="8"/>
      <c r="AO143" s="8"/>
      <c r="AP143" s="8"/>
      <c r="AQ143" s="9">
        <v>3</v>
      </c>
      <c r="AR143" s="9">
        <v>1</v>
      </c>
      <c r="AS143" s="10" t="s">
        <v>94</v>
      </c>
      <c r="AT143" s="10" t="s">
        <v>53</v>
      </c>
      <c r="AU143" s="8"/>
      <c r="AV143" s="10" t="s">
        <v>54</v>
      </c>
      <c r="AW143" s="10" t="s">
        <v>51</v>
      </c>
      <c r="AX143" s="10" t="s">
        <v>95</v>
      </c>
      <c r="AY143" s="8"/>
    </row>
    <row r="144" spans="1:51" x14ac:dyDescent="0.15">
      <c r="A144" s="11" t="s">
        <v>78</v>
      </c>
      <c r="B144" s="12" t="s">
        <v>57</v>
      </c>
      <c r="C144" s="10" t="s">
        <v>62</v>
      </c>
      <c r="D144" s="10" t="s">
        <v>63</v>
      </c>
      <c r="E144" s="9">
        <v>187</v>
      </c>
      <c r="F144" s="9">
        <v>187</v>
      </c>
      <c r="G144" s="9">
        <v>4</v>
      </c>
      <c r="H144" s="10" t="s">
        <v>63</v>
      </c>
      <c r="I144" s="9">
        <v>1</v>
      </c>
      <c r="J144" s="9">
        <v>0.42511337400355798</v>
      </c>
      <c r="K144" s="10" t="s">
        <v>51</v>
      </c>
      <c r="L144" s="9">
        <v>4</v>
      </c>
      <c r="M144" s="9">
        <v>187</v>
      </c>
      <c r="N144" s="9">
        <v>187</v>
      </c>
      <c r="O144" s="9">
        <v>27</v>
      </c>
      <c r="P144" s="9">
        <v>240.473203250003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9">
        <v>240.46418200001099</v>
      </c>
      <c r="AD144" s="9">
        <v>240.473203250003</v>
      </c>
      <c r="AE144" s="9">
        <v>240.95717545900001</v>
      </c>
      <c r="AF144" s="9">
        <v>240.95717545900001</v>
      </c>
      <c r="AG144" s="9">
        <v>240.95717545900001</v>
      </c>
      <c r="AH144" s="9">
        <v>241.39268154201301</v>
      </c>
      <c r="AI144" s="10" t="s">
        <v>63</v>
      </c>
      <c r="AJ144" s="9">
        <v>1</v>
      </c>
      <c r="AK144" s="9">
        <v>0.42511337400355798</v>
      </c>
      <c r="AL144" s="10" t="s">
        <v>51</v>
      </c>
      <c r="AM144" s="8"/>
      <c r="AN144" s="8"/>
      <c r="AO144" s="8"/>
      <c r="AP144" s="8"/>
      <c r="AQ144" s="9">
        <v>3</v>
      </c>
      <c r="AR144" s="9">
        <v>1</v>
      </c>
      <c r="AS144" s="10" t="s">
        <v>94</v>
      </c>
      <c r="AT144" s="10" t="s">
        <v>53</v>
      </c>
      <c r="AU144" s="8"/>
      <c r="AV144" s="10" t="s">
        <v>54</v>
      </c>
      <c r="AW144" s="10" t="s">
        <v>51</v>
      </c>
      <c r="AX144" s="10" t="s">
        <v>95</v>
      </c>
      <c r="AY144" s="8"/>
    </row>
    <row r="145" spans="1:51" x14ac:dyDescent="0.15">
      <c r="A145" s="11" t="s">
        <v>71</v>
      </c>
      <c r="B145" s="12" t="s">
        <v>57</v>
      </c>
      <c r="C145" s="10" t="s">
        <v>62</v>
      </c>
      <c r="D145" s="10" t="s">
        <v>63</v>
      </c>
      <c r="E145" s="9">
        <v>189</v>
      </c>
      <c r="F145" s="9">
        <v>189</v>
      </c>
      <c r="G145" s="9">
        <v>3</v>
      </c>
      <c r="H145" s="10" t="s">
        <v>63</v>
      </c>
      <c r="I145" s="9">
        <v>1</v>
      </c>
      <c r="J145" s="9">
        <v>0.52513133300817605</v>
      </c>
      <c r="K145" s="10" t="s">
        <v>51</v>
      </c>
      <c r="L145" s="9">
        <v>3</v>
      </c>
      <c r="M145" s="9">
        <v>189</v>
      </c>
      <c r="N145" s="9">
        <v>189</v>
      </c>
      <c r="O145" s="9">
        <v>29</v>
      </c>
      <c r="P145" s="9">
        <v>242.43957637500699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9">
        <v>242.430759499999</v>
      </c>
      <c r="AD145" s="9">
        <v>242.43957637500699</v>
      </c>
      <c r="AE145" s="9">
        <v>242.92413429199999</v>
      </c>
      <c r="AF145" s="9">
        <v>242.92413429199999</v>
      </c>
      <c r="AG145" s="9">
        <v>242.92413429199999</v>
      </c>
      <c r="AH145" s="9">
        <v>243.45957691701199</v>
      </c>
      <c r="AI145" s="10" t="s">
        <v>63</v>
      </c>
      <c r="AJ145" s="9">
        <v>1</v>
      </c>
      <c r="AK145" s="9">
        <v>0.52513133300817605</v>
      </c>
      <c r="AL145" s="10" t="s">
        <v>51</v>
      </c>
      <c r="AM145" s="8"/>
      <c r="AN145" s="8"/>
      <c r="AO145" s="8"/>
      <c r="AP145" s="8"/>
      <c r="AQ145" s="9">
        <v>3</v>
      </c>
      <c r="AR145" s="9">
        <v>1</v>
      </c>
      <c r="AS145" s="10" t="s">
        <v>94</v>
      </c>
      <c r="AT145" s="10" t="s">
        <v>53</v>
      </c>
      <c r="AU145" s="8"/>
      <c r="AV145" s="10" t="s">
        <v>54</v>
      </c>
      <c r="AW145" s="10" t="s">
        <v>51</v>
      </c>
      <c r="AX145" s="10" t="s">
        <v>95</v>
      </c>
      <c r="AY145" s="8"/>
    </row>
    <row r="146" spans="1:51" x14ac:dyDescent="0.15">
      <c r="A146" s="11" t="s">
        <v>68</v>
      </c>
      <c r="B146" s="12" t="s">
        <v>57</v>
      </c>
      <c r="C146" s="10" t="s">
        <v>62</v>
      </c>
      <c r="D146" s="10" t="s">
        <v>63</v>
      </c>
      <c r="E146" s="9">
        <v>191</v>
      </c>
      <c r="F146" s="9">
        <v>191</v>
      </c>
      <c r="G146" s="9">
        <v>2</v>
      </c>
      <c r="H146" s="10" t="s">
        <v>63</v>
      </c>
      <c r="I146" s="9">
        <v>1</v>
      </c>
      <c r="J146" s="9">
        <v>0.43565020798996601</v>
      </c>
      <c r="K146" s="10" t="s">
        <v>51</v>
      </c>
      <c r="L146" s="9">
        <v>2</v>
      </c>
      <c r="M146" s="9">
        <v>191</v>
      </c>
      <c r="N146" s="9">
        <v>191</v>
      </c>
      <c r="O146" s="9">
        <v>23</v>
      </c>
      <c r="P146" s="9">
        <v>244.455070917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9">
        <v>244.44575945900601</v>
      </c>
      <c r="AD146" s="9">
        <v>244.455070917</v>
      </c>
      <c r="AE146" s="9">
        <v>244.93278100001001</v>
      </c>
      <c r="AF146" s="9">
        <v>244.93278100001001</v>
      </c>
      <c r="AG146" s="9">
        <v>244.93278100001001</v>
      </c>
      <c r="AH146" s="9">
        <v>245.376219292011</v>
      </c>
      <c r="AI146" s="10" t="s">
        <v>63</v>
      </c>
      <c r="AJ146" s="9">
        <v>1</v>
      </c>
      <c r="AK146" s="9">
        <v>0.43565020798996601</v>
      </c>
      <c r="AL146" s="10" t="s">
        <v>51</v>
      </c>
      <c r="AM146" s="8"/>
      <c r="AN146" s="8"/>
      <c r="AO146" s="8"/>
      <c r="AP146" s="8"/>
      <c r="AQ146" s="9">
        <v>3</v>
      </c>
      <c r="AR146" s="9">
        <v>1</v>
      </c>
      <c r="AS146" s="10" t="s">
        <v>94</v>
      </c>
      <c r="AT146" s="10" t="s">
        <v>53</v>
      </c>
      <c r="AU146" s="8"/>
      <c r="AV146" s="10" t="s">
        <v>54</v>
      </c>
      <c r="AW146" s="10" t="s">
        <v>51</v>
      </c>
      <c r="AX146" s="10" t="s">
        <v>95</v>
      </c>
      <c r="AY146" s="8"/>
    </row>
    <row r="147" spans="1:51" x14ac:dyDescent="0.15">
      <c r="A147" s="11" t="s">
        <v>84</v>
      </c>
      <c r="B147" s="12" t="s">
        <v>57</v>
      </c>
      <c r="C147" s="10" t="s">
        <v>58</v>
      </c>
      <c r="D147" s="10" t="s">
        <v>59</v>
      </c>
      <c r="E147" s="9">
        <v>193</v>
      </c>
      <c r="F147" s="9">
        <v>193</v>
      </c>
      <c r="G147" s="9">
        <v>3</v>
      </c>
      <c r="H147" s="10" t="s">
        <v>59</v>
      </c>
      <c r="I147" s="9">
        <v>1</v>
      </c>
      <c r="J147" s="9">
        <v>0.50895120800123606</v>
      </c>
      <c r="K147" s="10" t="s">
        <v>51</v>
      </c>
      <c r="L147" s="9">
        <v>3</v>
      </c>
      <c r="M147" s="9">
        <v>193</v>
      </c>
      <c r="N147" s="9">
        <v>193</v>
      </c>
      <c r="O147" s="9">
        <v>20</v>
      </c>
      <c r="P147" s="9">
        <v>246.47437908399999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9">
        <v>246.46496483401299</v>
      </c>
      <c r="AD147" s="9">
        <v>246.47437908399999</v>
      </c>
      <c r="AE147" s="9">
        <v>246.957502292003</v>
      </c>
      <c r="AF147" s="9">
        <v>246.957502292003</v>
      </c>
      <c r="AG147" s="9">
        <v>246.957502292003</v>
      </c>
      <c r="AH147" s="9">
        <v>247.47636820901201</v>
      </c>
      <c r="AI147" s="10" t="s">
        <v>59</v>
      </c>
      <c r="AJ147" s="9">
        <v>1</v>
      </c>
      <c r="AK147" s="9">
        <v>0.50895120800123606</v>
      </c>
      <c r="AL147" s="10" t="s">
        <v>51</v>
      </c>
      <c r="AM147" s="8"/>
      <c r="AN147" s="8"/>
      <c r="AO147" s="8"/>
      <c r="AP147" s="8"/>
      <c r="AQ147" s="9">
        <v>3</v>
      </c>
      <c r="AR147" s="9">
        <v>1</v>
      </c>
      <c r="AS147" s="10" t="s">
        <v>94</v>
      </c>
      <c r="AT147" s="10" t="s">
        <v>53</v>
      </c>
      <c r="AU147" s="8"/>
      <c r="AV147" s="10" t="s">
        <v>54</v>
      </c>
      <c r="AW147" s="10" t="s">
        <v>51</v>
      </c>
      <c r="AX147" s="10" t="s">
        <v>95</v>
      </c>
      <c r="AY147" s="8"/>
    </row>
    <row r="148" spans="1:51" x14ac:dyDescent="0.15">
      <c r="A148" s="11" t="s">
        <v>72</v>
      </c>
      <c r="B148" s="12" t="s">
        <v>57</v>
      </c>
      <c r="C148" s="10" t="s">
        <v>62</v>
      </c>
      <c r="D148" s="10" t="s">
        <v>63</v>
      </c>
      <c r="E148" s="9">
        <v>195</v>
      </c>
      <c r="F148" s="9">
        <v>195</v>
      </c>
      <c r="G148" s="9">
        <v>2</v>
      </c>
      <c r="H148" s="10" t="s">
        <v>63</v>
      </c>
      <c r="I148" s="9">
        <v>1</v>
      </c>
      <c r="J148" s="9">
        <v>0.54428583299159095</v>
      </c>
      <c r="K148" s="10" t="s">
        <v>51</v>
      </c>
      <c r="L148" s="9">
        <v>2</v>
      </c>
      <c r="M148" s="9">
        <v>195</v>
      </c>
      <c r="N148" s="9">
        <v>195</v>
      </c>
      <c r="O148" s="9">
        <v>25</v>
      </c>
      <c r="P148" s="9">
        <v>248.640011542011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9">
        <v>248.63109287500299</v>
      </c>
      <c r="AD148" s="9">
        <v>248.640011542011</v>
      </c>
      <c r="AE148" s="9">
        <v>249.124302959011</v>
      </c>
      <c r="AF148" s="9">
        <v>249.124302959011</v>
      </c>
      <c r="AG148" s="9">
        <v>249.124302959011</v>
      </c>
      <c r="AH148" s="9">
        <v>249.67640541700499</v>
      </c>
      <c r="AI148" s="10" t="s">
        <v>63</v>
      </c>
      <c r="AJ148" s="9">
        <v>1</v>
      </c>
      <c r="AK148" s="9">
        <v>0.54428583299159095</v>
      </c>
      <c r="AL148" s="10" t="s">
        <v>51</v>
      </c>
      <c r="AM148" s="8"/>
      <c r="AN148" s="8"/>
      <c r="AO148" s="8"/>
      <c r="AP148" s="8"/>
      <c r="AQ148" s="9">
        <v>3</v>
      </c>
      <c r="AR148" s="9">
        <v>1</v>
      </c>
      <c r="AS148" s="10" t="s">
        <v>94</v>
      </c>
      <c r="AT148" s="10" t="s">
        <v>53</v>
      </c>
      <c r="AU148" s="8"/>
      <c r="AV148" s="10" t="s">
        <v>54</v>
      </c>
      <c r="AW148" s="10" t="s">
        <v>51</v>
      </c>
      <c r="AX148" s="10" t="s">
        <v>95</v>
      </c>
      <c r="AY148" s="8"/>
    </row>
    <row r="149" spans="1:51" x14ac:dyDescent="0.15">
      <c r="A149" s="11" t="s">
        <v>72</v>
      </c>
      <c r="B149" s="12" t="s">
        <v>57</v>
      </c>
      <c r="C149" s="10" t="s">
        <v>62</v>
      </c>
      <c r="D149" s="10" t="s">
        <v>63</v>
      </c>
      <c r="E149" s="9">
        <v>203</v>
      </c>
      <c r="F149" s="9">
        <v>203</v>
      </c>
      <c r="G149" s="9">
        <v>3</v>
      </c>
      <c r="H149" s="10" t="s">
        <v>63</v>
      </c>
      <c r="I149" s="9">
        <v>1</v>
      </c>
      <c r="J149" s="9">
        <v>0.83318154200969696</v>
      </c>
      <c r="K149" s="10" t="s">
        <v>51</v>
      </c>
      <c r="L149" s="9">
        <v>3</v>
      </c>
      <c r="M149" s="9">
        <v>203</v>
      </c>
      <c r="N149" s="9">
        <v>203</v>
      </c>
      <c r="O149" s="9">
        <v>25</v>
      </c>
      <c r="P149" s="9">
        <v>256.94059962499898</v>
      </c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9">
        <v>256.93135391701099</v>
      </c>
      <c r="AD149" s="9">
        <v>256.94059962499898</v>
      </c>
      <c r="AE149" s="9">
        <v>257.42447383400599</v>
      </c>
      <c r="AF149" s="9">
        <v>257.42447383400599</v>
      </c>
      <c r="AG149" s="9">
        <v>257.42447383400599</v>
      </c>
      <c r="AH149" s="9">
        <v>258.25969833400501</v>
      </c>
      <c r="AI149" s="10" t="s">
        <v>63</v>
      </c>
      <c r="AJ149" s="9">
        <v>1</v>
      </c>
      <c r="AK149" s="9">
        <v>0.83318154200969696</v>
      </c>
      <c r="AL149" s="10" t="s">
        <v>51</v>
      </c>
      <c r="AM149" s="8"/>
      <c r="AN149" s="8"/>
      <c r="AO149" s="8"/>
      <c r="AP149" s="8"/>
      <c r="AQ149" s="9">
        <v>3</v>
      </c>
      <c r="AR149" s="9">
        <v>1</v>
      </c>
      <c r="AS149" s="10" t="s">
        <v>94</v>
      </c>
      <c r="AT149" s="10" t="s">
        <v>53</v>
      </c>
      <c r="AU149" s="8"/>
      <c r="AV149" s="10" t="s">
        <v>54</v>
      </c>
      <c r="AW149" s="10" t="s">
        <v>51</v>
      </c>
      <c r="AX149" s="10" t="s">
        <v>95</v>
      </c>
      <c r="AY149" s="8"/>
    </row>
    <row r="150" spans="1:51" x14ac:dyDescent="0.15">
      <c r="A150" s="11" t="s">
        <v>75</v>
      </c>
      <c r="B150" s="12" t="s">
        <v>57</v>
      </c>
      <c r="C150" s="10" t="s">
        <v>62</v>
      </c>
      <c r="D150" s="10" t="s">
        <v>63</v>
      </c>
      <c r="E150" s="9">
        <v>204</v>
      </c>
      <c r="F150" s="9">
        <v>204</v>
      </c>
      <c r="G150" s="9">
        <v>3</v>
      </c>
      <c r="H150" s="10" t="s">
        <v>63</v>
      </c>
      <c r="I150" s="9">
        <v>1</v>
      </c>
      <c r="J150" s="9">
        <v>0.33925383299356299</v>
      </c>
      <c r="K150" s="10" t="s">
        <v>51</v>
      </c>
      <c r="L150" s="9">
        <v>3</v>
      </c>
      <c r="M150" s="9">
        <v>204</v>
      </c>
      <c r="N150" s="9">
        <v>204</v>
      </c>
      <c r="O150" s="9">
        <v>19</v>
      </c>
      <c r="P150" s="9">
        <v>258.27346679200099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9">
        <v>258.26439983400599</v>
      </c>
      <c r="AD150" s="9">
        <v>258.27346679200099</v>
      </c>
      <c r="AE150" s="9">
        <v>258.883607791999</v>
      </c>
      <c r="AF150" s="9">
        <v>258.883607791999</v>
      </c>
      <c r="AG150" s="9">
        <v>258.883607791999</v>
      </c>
      <c r="AH150" s="9">
        <v>259.22641862501001</v>
      </c>
      <c r="AI150" s="10" t="s">
        <v>63</v>
      </c>
      <c r="AJ150" s="9">
        <v>1</v>
      </c>
      <c r="AK150" s="9">
        <v>0.33925383299356299</v>
      </c>
      <c r="AL150" s="10" t="s">
        <v>51</v>
      </c>
      <c r="AM150" s="8"/>
      <c r="AN150" s="8"/>
      <c r="AO150" s="8"/>
      <c r="AP150" s="8"/>
      <c r="AQ150" s="9">
        <v>3</v>
      </c>
      <c r="AR150" s="9">
        <v>1</v>
      </c>
      <c r="AS150" s="10" t="s">
        <v>94</v>
      </c>
      <c r="AT150" s="10" t="s">
        <v>53</v>
      </c>
      <c r="AU150" s="8"/>
      <c r="AV150" s="10" t="s">
        <v>54</v>
      </c>
      <c r="AW150" s="10" t="s">
        <v>51</v>
      </c>
      <c r="AX150" s="10" t="s">
        <v>95</v>
      </c>
      <c r="AY150" s="8"/>
    </row>
    <row r="151" spans="1:51" x14ac:dyDescent="0.15">
      <c r="A151" s="11" t="s">
        <v>68</v>
      </c>
      <c r="B151" s="12" t="s">
        <v>57</v>
      </c>
      <c r="C151" s="10" t="s">
        <v>62</v>
      </c>
      <c r="D151" s="10" t="s">
        <v>63</v>
      </c>
      <c r="E151" s="9">
        <v>205</v>
      </c>
      <c r="F151" s="9">
        <v>205</v>
      </c>
      <c r="G151" s="9">
        <v>3</v>
      </c>
      <c r="H151" s="10" t="s">
        <v>63</v>
      </c>
      <c r="I151" s="9">
        <v>1</v>
      </c>
      <c r="J151" s="9">
        <v>0.45906104199821102</v>
      </c>
      <c r="K151" s="10" t="s">
        <v>51</v>
      </c>
      <c r="L151" s="9">
        <v>3</v>
      </c>
      <c r="M151" s="9">
        <v>205</v>
      </c>
      <c r="N151" s="9">
        <v>205</v>
      </c>
      <c r="O151" s="9">
        <v>23</v>
      </c>
      <c r="P151" s="9">
        <v>259.24010220900499</v>
      </c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9">
        <v>259.230742875006</v>
      </c>
      <c r="AD151" s="9">
        <v>259.24010220900499</v>
      </c>
      <c r="AE151" s="9">
        <v>259.72456179201299</v>
      </c>
      <c r="AF151" s="9">
        <v>259.72456179201299</v>
      </c>
      <c r="AG151" s="9">
        <v>259.72456179201299</v>
      </c>
      <c r="AH151" s="9">
        <v>260.19362595899997</v>
      </c>
      <c r="AI151" s="10" t="s">
        <v>63</v>
      </c>
      <c r="AJ151" s="9">
        <v>1</v>
      </c>
      <c r="AK151" s="9">
        <v>0.45906104199821102</v>
      </c>
      <c r="AL151" s="10" t="s">
        <v>51</v>
      </c>
      <c r="AM151" s="8"/>
      <c r="AN151" s="8"/>
      <c r="AO151" s="8"/>
      <c r="AP151" s="8"/>
      <c r="AQ151" s="9">
        <v>3</v>
      </c>
      <c r="AR151" s="9">
        <v>1</v>
      </c>
      <c r="AS151" s="10" t="s">
        <v>94</v>
      </c>
      <c r="AT151" s="10" t="s">
        <v>53</v>
      </c>
      <c r="AU151" s="8"/>
      <c r="AV151" s="10" t="s">
        <v>54</v>
      </c>
      <c r="AW151" s="10" t="s">
        <v>51</v>
      </c>
      <c r="AX151" s="10" t="s">
        <v>95</v>
      </c>
      <c r="AY151" s="8"/>
    </row>
    <row r="152" spans="1:51" x14ac:dyDescent="0.15">
      <c r="A152" s="11" t="s">
        <v>72</v>
      </c>
      <c r="B152" s="12" t="s">
        <v>57</v>
      </c>
      <c r="C152" s="10" t="s">
        <v>58</v>
      </c>
      <c r="D152" s="10" t="s">
        <v>59</v>
      </c>
      <c r="E152" s="9">
        <v>213</v>
      </c>
      <c r="F152" s="9">
        <v>213</v>
      </c>
      <c r="G152" s="9">
        <v>4</v>
      </c>
      <c r="H152" s="10" t="s">
        <v>59</v>
      </c>
      <c r="I152" s="9">
        <v>1</v>
      </c>
      <c r="J152" s="9">
        <v>0.28528050000022598</v>
      </c>
      <c r="K152" s="10" t="s">
        <v>51</v>
      </c>
      <c r="L152" s="9">
        <v>4</v>
      </c>
      <c r="M152" s="9">
        <v>213</v>
      </c>
      <c r="N152" s="9">
        <v>213</v>
      </c>
      <c r="O152" s="9">
        <v>24</v>
      </c>
      <c r="P152" s="9">
        <v>268.757360625008</v>
      </c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9">
        <v>268.748470917009</v>
      </c>
      <c r="AD152" s="9">
        <v>268.757360625008</v>
      </c>
      <c r="AE152" s="9">
        <v>269.24154800000503</v>
      </c>
      <c r="AF152" s="9">
        <v>269.24154800000503</v>
      </c>
      <c r="AG152" s="9">
        <v>269.24154800000503</v>
      </c>
      <c r="AH152" s="9">
        <v>269.53348095899901</v>
      </c>
      <c r="AI152" s="10" t="s">
        <v>59</v>
      </c>
      <c r="AJ152" s="9">
        <v>1</v>
      </c>
      <c r="AK152" s="9">
        <v>0.28528050000022598</v>
      </c>
      <c r="AL152" s="10" t="s">
        <v>51</v>
      </c>
      <c r="AM152" s="8"/>
      <c r="AN152" s="8"/>
      <c r="AO152" s="8"/>
      <c r="AP152" s="8"/>
      <c r="AQ152" s="9">
        <v>3</v>
      </c>
      <c r="AR152" s="9">
        <v>1</v>
      </c>
      <c r="AS152" s="10" t="s">
        <v>94</v>
      </c>
      <c r="AT152" s="10" t="s">
        <v>53</v>
      </c>
      <c r="AU152" s="8"/>
      <c r="AV152" s="10" t="s">
        <v>54</v>
      </c>
      <c r="AW152" s="10" t="s">
        <v>51</v>
      </c>
      <c r="AX152" s="10" t="s">
        <v>95</v>
      </c>
      <c r="AY152" s="8"/>
    </row>
    <row r="153" spans="1:51" x14ac:dyDescent="0.15">
      <c r="A153" s="11" t="s">
        <v>84</v>
      </c>
      <c r="B153" s="12" t="s">
        <v>57</v>
      </c>
      <c r="C153" s="10" t="s">
        <v>58</v>
      </c>
      <c r="D153" s="10" t="s">
        <v>59</v>
      </c>
      <c r="E153" s="9">
        <v>214</v>
      </c>
      <c r="F153" s="9">
        <v>214</v>
      </c>
      <c r="G153" s="9">
        <v>4</v>
      </c>
      <c r="H153" s="10" t="s">
        <v>59</v>
      </c>
      <c r="I153" s="9">
        <v>1</v>
      </c>
      <c r="J153" s="9">
        <v>0.27792112500173999</v>
      </c>
      <c r="K153" s="10" t="s">
        <v>51</v>
      </c>
      <c r="L153" s="9">
        <v>4</v>
      </c>
      <c r="M153" s="9">
        <v>214</v>
      </c>
      <c r="N153" s="9">
        <v>214</v>
      </c>
      <c r="O153" s="9">
        <v>20</v>
      </c>
      <c r="P153" s="9">
        <v>269.54801241699897</v>
      </c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9">
        <v>269.538282167006</v>
      </c>
      <c r="AD153" s="9">
        <v>269.54801241699897</v>
      </c>
      <c r="AE153" s="9">
        <v>270.033842417004</v>
      </c>
      <c r="AF153" s="9">
        <v>270.033842417004</v>
      </c>
      <c r="AG153" s="9">
        <v>270.033842417004</v>
      </c>
      <c r="AH153" s="9">
        <v>270.31645875000697</v>
      </c>
      <c r="AI153" s="10" t="s">
        <v>59</v>
      </c>
      <c r="AJ153" s="9">
        <v>1</v>
      </c>
      <c r="AK153" s="9">
        <v>0.27792112500173999</v>
      </c>
      <c r="AL153" s="10" t="s">
        <v>51</v>
      </c>
      <c r="AM153" s="8"/>
      <c r="AN153" s="8"/>
      <c r="AO153" s="8"/>
      <c r="AP153" s="8"/>
      <c r="AQ153" s="9">
        <v>3</v>
      </c>
      <c r="AR153" s="9">
        <v>1</v>
      </c>
      <c r="AS153" s="10" t="s">
        <v>94</v>
      </c>
      <c r="AT153" s="10" t="s">
        <v>53</v>
      </c>
      <c r="AU153" s="8"/>
      <c r="AV153" s="10" t="s">
        <v>54</v>
      </c>
      <c r="AW153" s="10" t="s">
        <v>51</v>
      </c>
      <c r="AX153" s="10" t="s">
        <v>95</v>
      </c>
      <c r="AY153" s="8"/>
    </row>
    <row r="154" spans="1:51" x14ac:dyDescent="0.15">
      <c r="A154" s="11" t="s">
        <v>78</v>
      </c>
      <c r="B154" s="12" t="s">
        <v>57</v>
      </c>
      <c r="C154" s="10" t="s">
        <v>58</v>
      </c>
      <c r="D154" s="10" t="s">
        <v>59</v>
      </c>
      <c r="E154" s="9">
        <v>217</v>
      </c>
      <c r="F154" s="9">
        <v>217</v>
      </c>
      <c r="G154" s="9">
        <v>4</v>
      </c>
      <c r="H154" s="10" t="s">
        <v>59</v>
      </c>
      <c r="I154" s="9">
        <v>1</v>
      </c>
      <c r="J154" s="9">
        <v>0.38905349999549799</v>
      </c>
      <c r="K154" s="10" t="s">
        <v>51</v>
      </c>
      <c r="L154" s="9">
        <v>4</v>
      </c>
      <c r="M154" s="9">
        <v>217</v>
      </c>
      <c r="N154" s="9">
        <v>217</v>
      </c>
      <c r="O154" s="9">
        <v>26</v>
      </c>
      <c r="P154" s="9">
        <v>272.41342887500701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9">
        <v>272.40362412500002</v>
      </c>
      <c r="AD154" s="9">
        <v>272.41342887500701</v>
      </c>
      <c r="AE154" s="9">
        <v>272.89176708400203</v>
      </c>
      <c r="AF154" s="9">
        <v>272.89176708400203</v>
      </c>
      <c r="AG154" s="9">
        <v>272.89176708400203</v>
      </c>
      <c r="AH154" s="9">
        <v>273.28385962500801</v>
      </c>
      <c r="AI154" s="10" t="s">
        <v>59</v>
      </c>
      <c r="AJ154" s="9">
        <v>1</v>
      </c>
      <c r="AK154" s="9">
        <v>0.38905349999549799</v>
      </c>
      <c r="AL154" s="10" t="s">
        <v>51</v>
      </c>
      <c r="AM154" s="8"/>
      <c r="AN154" s="8"/>
      <c r="AO154" s="8"/>
      <c r="AP154" s="8"/>
      <c r="AQ154" s="9">
        <v>3</v>
      </c>
      <c r="AR154" s="9">
        <v>1</v>
      </c>
      <c r="AS154" s="10" t="s">
        <v>94</v>
      </c>
      <c r="AT154" s="10" t="s">
        <v>53</v>
      </c>
      <c r="AU154" s="8"/>
      <c r="AV154" s="10" t="s">
        <v>54</v>
      </c>
      <c r="AW154" s="10" t="s">
        <v>51</v>
      </c>
      <c r="AX154" s="10" t="s">
        <v>95</v>
      </c>
      <c r="AY154" s="8"/>
    </row>
    <row r="155" spans="1:51" x14ac:dyDescent="0.15">
      <c r="A155" s="11" t="s">
        <v>68</v>
      </c>
      <c r="B155" s="12" t="s">
        <v>57</v>
      </c>
      <c r="C155" s="10" t="s">
        <v>58</v>
      </c>
      <c r="D155" s="10" t="s">
        <v>59</v>
      </c>
      <c r="E155" s="9">
        <v>218</v>
      </c>
      <c r="F155" s="9">
        <v>218</v>
      </c>
      <c r="G155" s="9">
        <v>4</v>
      </c>
      <c r="H155" s="10" t="s">
        <v>59</v>
      </c>
      <c r="I155" s="9">
        <v>1</v>
      </c>
      <c r="J155" s="9">
        <v>0.33348429200123098</v>
      </c>
      <c r="K155" s="10" t="s">
        <v>51</v>
      </c>
      <c r="L155" s="9">
        <v>4</v>
      </c>
      <c r="M155" s="9">
        <v>218</v>
      </c>
      <c r="N155" s="9">
        <v>218</v>
      </c>
      <c r="O155" s="9">
        <v>22</v>
      </c>
      <c r="P155" s="9">
        <v>273.29774745900102</v>
      </c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9">
        <v>273.28818525000003</v>
      </c>
      <c r="AD155" s="9">
        <v>273.29774745900102</v>
      </c>
      <c r="AE155" s="9">
        <v>273.78334945900099</v>
      </c>
      <c r="AF155" s="9">
        <v>273.78334945900099</v>
      </c>
      <c r="AG155" s="9">
        <v>273.78334945900099</v>
      </c>
      <c r="AH155" s="9">
        <v>274.12710145900201</v>
      </c>
      <c r="AI155" s="10" t="s">
        <v>59</v>
      </c>
      <c r="AJ155" s="9">
        <v>1</v>
      </c>
      <c r="AK155" s="9">
        <v>0.33348429200123098</v>
      </c>
      <c r="AL155" s="10" t="s">
        <v>51</v>
      </c>
      <c r="AM155" s="8"/>
      <c r="AN155" s="8"/>
      <c r="AO155" s="8"/>
      <c r="AP155" s="8"/>
      <c r="AQ155" s="9">
        <v>3</v>
      </c>
      <c r="AR155" s="9">
        <v>1</v>
      </c>
      <c r="AS155" s="10" t="s">
        <v>94</v>
      </c>
      <c r="AT155" s="10" t="s">
        <v>53</v>
      </c>
      <c r="AU155" s="8"/>
      <c r="AV155" s="10" t="s">
        <v>54</v>
      </c>
      <c r="AW155" s="10" t="s">
        <v>51</v>
      </c>
      <c r="AX155" s="10" t="s">
        <v>95</v>
      </c>
      <c r="AY155" s="8"/>
    </row>
    <row r="156" spans="1:51" x14ac:dyDescent="0.15">
      <c r="A156" s="11" t="s">
        <v>75</v>
      </c>
      <c r="B156" s="12" t="s">
        <v>57</v>
      </c>
      <c r="C156" s="10" t="s">
        <v>62</v>
      </c>
      <c r="D156" s="10" t="s">
        <v>63</v>
      </c>
      <c r="E156" s="9">
        <v>221</v>
      </c>
      <c r="F156" s="9">
        <v>221</v>
      </c>
      <c r="G156" s="9">
        <v>4</v>
      </c>
      <c r="H156" s="10" t="s">
        <v>63</v>
      </c>
      <c r="I156" s="9">
        <v>1</v>
      </c>
      <c r="J156" s="9">
        <v>0.57722541599650901</v>
      </c>
      <c r="K156" s="10" t="s">
        <v>51</v>
      </c>
      <c r="L156" s="9">
        <v>4</v>
      </c>
      <c r="M156" s="9">
        <v>221</v>
      </c>
      <c r="N156" s="9">
        <v>221</v>
      </c>
      <c r="O156" s="9">
        <v>19</v>
      </c>
      <c r="P156" s="9">
        <v>276.34697208400797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9">
        <v>276.33779975000698</v>
      </c>
      <c r="AD156" s="9">
        <v>276.34697208400797</v>
      </c>
      <c r="AE156" s="9">
        <v>276.834662624999</v>
      </c>
      <c r="AF156" s="9">
        <v>276.834662624999</v>
      </c>
      <c r="AG156" s="9">
        <v>276.834662624999</v>
      </c>
      <c r="AH156" s="9">
        <v>277.41665804199903</v>
      </c>
      <c r="AI156" s="10" t="s">
        <v>63</v>
      </c>
      <c r="AJ156" s="9">
        <v>1</v>
      </c>
      <c r="AK156" s="9">
        <v>0.57722541599650901</v>
      </c>
      <c r="AL156" s="10" t="s">
        <v>51</v>
      </c>
      <c r="AM156" s="8"/>
      <c r="AN156" s="8"/>
      <c r="AO156" s="8"/>
      <c r="AP156" s="8"/>
      <c r="AQ156" s="9">
        <v>3</v>
      </c>
      <c r="AR156" s="9">
        <v>1</v>
      </c>
      <c r="AS156" s="10" t="s">
        <v>94</v>
      </c>
      <c r="AT156" s="10" t="s">
        <v>53</v>
      </c>
      <c r="AU156" s="8"/>
      <c r="AV156" s="10" t="s">
        <v>54</v>
      </c>
      <c r="AW156" s="10" t="s">
        <v>51</v>
      </c>
      <c r="AX156" s="10" t="s">
        <v>95</v>
      </c>
      <c r="AY156" s="8"/>
    </row>
    <row r="157" spans="1:51" x14ac:dyDescent="0.15">
      <c r="A157" s="11" t="s">
        <v>72</v>
      </c>
      <c r="B157" s="12" t="s">
        <v>57</v>
      </c>
      <c r="C157" s="10" t="s">
        <v>62</v>
      </c>
      <c r="D157" s="10" t="s">
        <v>63</v>
      </c>
      <c r="E157" s="9">
        <v>224</v>
      </c>
      <c r="F157" s="9">
        <v>224</v>
      </c>
      <c r="G157" s="9">
        <v>4</v>
      </c>
      <c r="H157" s="10" t="s">
        <v>63</v>
      </c>
      <c r="I157" s="9">
        <v>1</v>
      </c>
      <c r="J157" s="9">
        <v>0.45310487400274702</v>
      </c>
      <c r="K157" s="10" t="s">
        <v>51</v>
      </c>
      <c r="L157" s="9">
        <v>4</v>
      </c>
      <c r="M157" s="9">
        <v>224</v>
      </c>
      <c r="N157" s="9">
        <v>224</v>
      </c>
      <c r="O157" s="9">
        <v>25</v>
      </c>
      <c r="P157" s="9">
        <v>279.31575762500898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9">
        <v>279.30444545901298</v>
      </c>
      <c r="AD157" s="9">
        <v>279.31575762500898</v>
      </c>
      <c r="AE157" s="9">
        <v>279.80099491700798</v>
      </c>
      <c r="AF157" s="9">
        <v>279.80099491700798</v>
      </c>
      <c r="AG157" s="9">
        <v>279.80099491700798</v>
      </c>
      <c r="AH157" s="9">
        <v>280.26048175001102</v>
      </c>
      <c r="AI157" s="10" t="s">
        <v>63</v>
      </c>
      <c r="AJ157" s="9">
        <v>1</v>
      </c>
      <c r="AK157" s="9">
        <v>0.45310487400274702</v>
      </c>
      <c r="AL157" s="10" t="s">
        <v>51</v>
      </c>
      <c r="AM157" s="8"/>
      <c r="AN157" s="8"/>
      <c r="AO157" s="8"/>
      <c r="AP157" s="8"/>
      <c r="AQ157" s="9">
        <v>3</v>
      </c>
      <c r="AR157" s="9">
        <v>1</v>
      </c>
      <c r="AS157" s="10" t="s">
        <v>94</v>
      </c>
      <c r="AT157" s="10" t="s">
        <v>53</v>
      </c>
      <c r="AU157" s="8"/>
      <c r="AV157" s="10" t="s">
        <v>54</v>
      </c>
      <c r="AW157" s="10" t="s">
        <v>51</v>
      </c>
      <c r="AX157" s="10" t="s">
        <v>95</v>
      </c>
      <c r="AY157" s="8"/>
    </row>
    <row r="158" spans="1:51" x14ac:dyDescent="0.15">
      <c r="A158" s="11" t="s">
        <v>71</v>
      </c>
      <c r="B158" s="12" t="s">
        <v>57</v>
      </c>
      <c r="C158" s="10" t="s">
        <v>62</v>
      </c>
      <c r="D158" s="10" t="s">
        <v>63</v>
      </c>
      <c r="E158" s="9">
        <v>229</v>
      </c>
      <c r="F158" s="9">
        <v>229</v>
      </c>
      <c r="G158" s="9">
        <v>4</v>
      </c>
      <c r="H158" s="10" t="s">
        <v>63</v>
      </c>
      <c r="I158" s="9">
        <v>1</v>
      </c>
      <c r="J158" s="9">
        <v>0.43976245798694402</v>
      </c>
      <c r="K158" s="10" t="s">
        <v>51</v>
      </c>
      <c r="L158" s="9">
        <v>4</v>
      </c>
      <c r="M158" s="9">
        <v>229</v>
      </c>
      <c r="N158" s="9">
        <v>229</v>
      </c>
      <c r="O158" s="9">
        <v>29</v>
      </c>
      <c r="P158" s="9">
        <v>284.09864029200997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9">
        <v>284.08900745899899</v>
      </c>
      <c r="AD158" s="9">
        <v>284.09864029200997</v>
      </c>
      <c r="AE158" s="9">
        <v>284.58356983400898</v>
      </c>
      <c r="AF158" s="9">
        <v>284.58356983400898</v>
      </c>
      <c r="AG158" s="9">
        <v>284.58356983400898</v>
      </c>
      <c r="AH158" s="9">
        <v>285.02757241700601</v>
      </c>
      <c r="AI158" s="10" t="s">
        <v>63</v>
      </c>
      <c r="AJ158" s="9">
        <v>1</v>
      </c>
      <c r="AK158" s="9">
        <v>0.43976245798694402</v>
      </c>
      <c r="AL158" s="10" t="s">
        <v>51</v>
      </c>
      <c r="AM158" s="8"/>
      <c r="AN158" s="8"/>
      <c r="AO158" s="8"/>
      <c r="AP158" s="8"/>
      <c r="AQ158" s="9">
        <v>3</v>
      </c>
      <c r="AR158" s="9">
        <v>1</v>
      </c>
      <c r="AS158" s="10" t="s">
        <v>94</v>
      </c>
      <c r="AT158" s="10" t="s">
        <v>53</v>
      </c>
      <c r="AU158" s="8"/>
      <c r="AV158" s="10" t="s">
        <v>54</v>
      </c>
      <c r="AW158" s="10" t="s">
        <v>51</v>
      </c>
      <c r="AX158" s="10" t="s">
        <v>95</v>
      </c>
      <c r="AY158" s="8"/>
    </row>
    <row r="159" spans="1:51" x14ac:dyDescent="0.15">
      <c r="A159" s="11" t="s">
        <v>56</v>
      </c>
      <c r="B159" s="12" t="s">
        <v>57</v>
      </c>
      <c r="C159" s="10" t="s">
        <v>58</v>
      </c>
      <c r="D159" s="10" t="s">
        <v>59</v>
      </c>
      <c r="E159" s="9">
        <v>235</v>
      </c>
      <c r="F159" s="9">
        <v>235</v>
      </c>
      <c r="G159" s="9">
        <v>4</v>
      </c>
      <c r="H159" s="10" t="s">
        <v>59</v>
      </c>
      <c r="I159" s="9">
        <v>1</v>
      </c>
      <c r="J159" s="9">
        <v>0.30660558299860002</v>
      </c>
      <c r="K159" s="10" t="s">
        <v>51</v>
      </c>
      <c r="L159" s="9">
        <v>4</v>
      </c>
      <c r="M159" s="9">
        <v>235</v>
      </c>
      <c r="N159" s="9">
        <v>235</v>
      </c>
      <c r="O159" s="9">
        <v>16</v>
      </c>
      <c r="P159" s="9">
        <v>289.50914341700297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9">
        <v>289.499799125013</v>
      </c>
      <c r="AD159" s="9">
        <v>289.50914341700297</v>
      </c>
      <c r="AE159" s="9">
        <v>289.99261875001002</v>
      </c>
      <c r="AF159" s="9">
        <v>289.99261875001002</v>
      </c>
      <c r="AG159" s="9">
        <v>289.99261875001002</v>
      </c>
      <c r="AH159" s="9">
        <v>290.30103916701</v>
      </c>
      <c r="AI159" s="10" t="s">
        <v>59</v>
      </c>
      <c r="AJ159" s="9">
        <v>1</v>
      </c>
      <c r="AK159" s="9">
        <v>0.30660558299860002</v>
      </c>
      <c r="AL159" s="10" t="s">
        <v>51</v>
      </c>
      <c r="AM159" s="8"/>
      <c r="AN159" s="8"/>
      <c r="AO159" s="8"/>
      <c r="AP159" s="8"/>
      <c r="AQ159" s="9">
        <v>3</v>
      </c>
      <c r="AR159" s="9">
        <v>1</v>
      </c>
      <c r="AS159" s="10" t="s">
        <v>94</v>
      </c>
      <c r="AT159" s="10" t="s">
        <v>53</v>
      </c>
      <c r="AU159" s="8"/>
      <c r="AV159" s="10" t="s">
        <v>54</v>
      </c>
      <c r="AW159" s="10" t="s">
        <v>51</v>
      </c>
      <c r="AX159" s="10" t="s">
        <v>95</v>
      </c>
      <c r="AY159" s="8"/>
    </row>
    <row r="160" spans="1:51" x14ac:dyDescent="0.15">
      <c r="A160" s="11" t="s">
        <v>75</v>
      </c>
      <c r="B160" s="12" t="s">
        <v>57</v>
      </c>
      <c r="C160" s="10" t="s">
        <v>58</v>
      </c>
      <c r="D160" s="10" t="s">
        <v>59</v>
      </c>
      <c r="E160" s="9">
        <v>236</v>
      </c>
      <c r="F160" s="9">
        <v>236</v>
      </c>
      <c r="G160" s="9">
        <v>4</v>
      </c>
      <c r="H160" s="10" t="s">
        <v>59</v>
      </c>
      <c r="I160" s="9">
        <v>1</v>
      </c>
      <c r="J160" s="9">
        <v>0.30387529199651903</v>
      </c>
      <c r="K160" s="10" t="s">
        <v>51</v>
      </c>
      <c r="L160" s="9">
        <v>4</v>
      </c>
      <c r="M160" s="9">
        <v>236</v>
      </c>
      <c r="N160" s="9">
        <v>236</v>
      </c>
      <c r="O160" s="9">
        <v>18</v>
      </c>
      <c r="P160" s="9">
        <v>290.31387866700197</v>
      </c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9">
        <v>290.30480858401302</v>
      </c>
      <c r="AD160" s="9">
        <v>290.31387866700197</v>
      </c>
      <c r="AE160" s="9">
        <v>290.801432542008</v>
      </c>
      <c r="AF160" s="9">
        <v>290.801432542008</v>
      </c>
      <c r="AG160" s="9">
        <v>290.801432542008</v>
      </c>
      <c r="AH160" s="9">
        <v>291.11135150000302</v>
      </c>
      <c r="AI160" s="10" t="s">
        <v>59</v>
      </c>
      <c r="AJ160" s="9">
        <v>1</v>
      </c>
      <c r="AK160" s="9">
        <v>0.30387529199651903</v>
      </c>
      <c r="AL160" s="10" t="s">
        <v>51</v>
      </c>
      <c r="AM160" s="8"/>
      <c r="AN160" s="8"/>
      <c r="AO160" s="8"/>
      <c r="AP160" s="8"/>
      <c r="AQ160" s="9">
        <v>3</v>
      </c>
      <c r="AR160" s="9">
        <v>1</v>
      </c>
      <c r="AS160" s="10" t="s">
        <v>94</v>
      </c>
      <c r="AT160" s="10" t="s">
        <v>53</v>
      </c>
      <c r="AU160" s="8"/>
      <c r="AV160" s="10" t="s">
        <v>54</v>
      </c>
      <c r="AW160" s="10" t="s">
        <v>51</v>
      </c>
      <c r="AX160" s="10" t="s">
        <v>95</v>
      </c>
      <c r="AY160" s="8"/>
    </row>
    <row r="161" spans="1:51" x14ac:dyDescent="0.15">
      <c r="A161" s="11" t="s">
        <v>68</v>
      </c>
      <c r="B161" s="12" t="s">
        <v>57</v>
      </c>
      <c r="C161" s="10" t="s">
        <v>62</v>
      </c>
      <c r="D161" s="10" t="s">
        <v>63</v>
      </c>
      <c r="E161" s="9">
        <v>238</v>
      </c>
      <c r="F161" s="9">
        <v>238</v>
      </c>
      <c r="G161" s="9">
        <v>4</v>
      </c>
      <c r="H161" s="10" t="s">
        <v>63</v>
      </c>
      <c r="I161" s="9">
        <v>1</v>
      </c>
      <c r="J161" s="9">
        <v>0.30584849999286201</v>
      </c>
      <c r="K161" s="10" t="s">
        <v>51</v>
      </c>
      <c r="L161" s="9">
        <v>4</v>
      </c>
      <c r="M161" s="9">
        <v>238</v>
      </c>
      <c r="N161" s="9">
        <v>238</v>
      </c>
      <c r="O161" s="9">
        <v>23</v>
      </c>
      <c r="P161" s="9">
        <v>292.08166604201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9">
        <v>292.07210970899899</v>
      </c>
      <c r="AD161" s="9">
        <v>292.08166604201</v>
      </c>
      <c r="AE161" s="9">
        <v>292.56848954201303</v>
      </c>
      <c r="AF161" s="9">
        <v>292.56848954201303</v>
      </c>
      <c r="AG161" s="9">
        <v>292.56848954201303</v>
      </c>
      <c r="AH161" s="9">
        <v>292.87794033400098</v>
      </c>
      <c r="AI161" s="10" t="s">
        <v>63</v>
      </c>
      <c r="AJ161" s="9">
        <v>1</v>
      </c>
      <c r="AK161" s="9">
        <v>0.30584849999286201</v>
      </c>
      <c r="AL161" s="10" t="s">
        <v>51</v>
      </c>
      <c r="AM161" s="8"/>
      <c r="AN161" s="8"/>
      <c r="AO161" s="8"/>
      <c r="AP161" s="8"/>
      <c r="AQ161" s="9">
        <v>3</v>
      </c>
      <c r="AR161" s="9">
        <v>1</v>
      </c>
      <c r="AS161" s="10" t="s">
        <v>94</v>
      </c>
      <c r="AT161" s="10" t="s">
        <v>53</v>
      </c>
      <c r="AU161" s="8"/>
      <c r="AV161" s="10" t="s">
        <v>54</v>
      </c>
      <c r="AW161" s="10" t="s">
        <v>51</v>
      </c>
      <c r="AX161" s="10" t="s">
        <v>95</v>
      </c>
      <c r="AY161" s="8"/>
    </row>
    <row r="162" spans="1:51" x14ac:dyDescent="0.15">
      <c r="A162" s="11" t="s">
        <v>81</v>
      </c>
      <c r="B162" s="12" t="s">
        <v>67</v>
      </c>
      <c r="C162" s="10" t="s">
        <v>58</v>
      </c>
      <c r="D162" s="10" t="s">
        <v>59</v>
      </c>
      <c r="E162" s="9">
        <v>1</v>
      </c>
      <c r="F162" s="9">
        <v>1</v>
      </c>
      <c r="G162" s="9">
        <v>0</v>
      </c>
      <c r="H162" s="10" t="s">
        <v>59</v>
      </c>
      <c r="I162" s="9">
        <v>1</v>
      </c>
      <c r="J162" s="9">
        <v>1.2919505829922899</v>
      </c>
      <c r="K162" s="10" t="s">
        <v>51</v>
      </c>
      <c r="L162" s="9">
        <v>0</v>
      </c>
      <c r="M162" s="9">
        <v>1</v>
      </c>
      <c r="N162" s="9">
        <v>1</v>
      </c>
      <c r="O162" s="9">
        <v>44</v>
      </c>
      <c r="P162" s="9">
        <v>24.932759084011199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9">
        <v>24.923213417001499</v>
      </c>
      <c r="AD162" s="9">
        <v>24.932759084011199</v>
      </c>
      <c r="AE162" s="9">
        <v>25.416184292000299</v>
      </c>
      <c r="AF162" s="9">
        <v>25.416184292000299</v>
      </c>
      <c r="AG162" s="9">
        <v>25.416184292000299</v>
      </c>
      <c r="AH162" s="9">
        <v>26.7183180840075</v>
      </c>
      <c r="AI162" s="10" t="s">
        <v>59</v>
      </c>
      <c r="AJ162" s="9">
        <v>1</v>
      </c>
      <c r="AK162" s="9">
        <v>1.2919505829922899</v>
      </c>
      <c r="AL162" s="10" t="s">
        <v>51</v>
      </c>
      <c r="AM162" s="8"/>
      <c r="AN162" s="8"/>
      <c r="AO162" s="8"/>
      <c r="AP162" s="8"/>
      <c r="AQ162" s="9">
        <v>3</v>
      </c>
      <c r="AR162" s="9">
        <v>1</v>
      </c>
      <c r="AS162" s="10" t="s">
        <v>94</v>
      </c>
      <c r="AT162" s="10" t="s">
        <v>53</v>
      </c>
      <c r="AU162" s="8"/>
      <c r="AV162" s="10" t="s">
        <v>54</v>
      </c>
      <c r="AW162" s="10" t="s">
        <v>51</v>
      </c>
      <c r="AX162" s="10" t="s">
        <v>95</v>
      </c>
      <c r="AY162" s="8"/>
    </row>
    <row r="163" spans="1:51" x14ac:dyDescent="0.15">
      <c r="A163" s="11" t="s">
        <v>82</v>
      </c>
      <c r="B163" s="12" t="s">
        <v>67</v>
      </c>
      <c r="C163" s="10" t="s">
        <v>62</v>
      </c>
      <c r="D163" s="10" t="s">
        <v>63</v>
      </c>
      <c r="E163" s="9">
        <v>2</v>
      </c>
      <c r="F163" s="9">
        <v>2</v>
      </c>
      <c r="G163" s="9">
        <v>0</v>
      </c>
      <c r="H163" s="10" t="s">
        <v>63</v>
      </c>
      <c r="I163" s="9">
        <v>1</v>
      </c>
      <c r="J163" s="9">
        <v>0.73314529100025505</v>
      </c>
      <c r="K163" s="10" t="s">
        <v>51</v>
      </c>
      <c r="L163" s="9">
        <v>0</v>
      </c>
      <c r="M163" s="9">
        <v>2</v>
      </c>
      <c r="N163" s="9">
        <v>2</v>
      </c>
      <c r="O163" s="9">
        <v>37</v>
      </c>
      <c r="P163" s="9">
        <v>26.732857334005502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9">
        <v>26.723731834004901</v>
      </c>
      <c r="AD163" s="9">
        <v>26.732857334005502</v>
      </c>
      <c r="AE163" s="9">
        <v>27.216043417007299</v>
      </c>
      <c r="AF163" s="9">
        <v>27.216043417007299</v>
      </c>
      <c r="AG163" s="9">
        <v>27.216043417007299</v>
      </c>
      <c r="AH163" s="9">
        <v>27.951476458998499</v>
      </c>
      <c r="AI163" s="10" t="s">
        <v>63</v>
      </c>
      <c r="AJ163" s="9">
        <v>1</v>
      </c>
      <c r="AK163" s="9">
        <v>0.73314529100025505</v>
      </c>
      <c r="AL163" s="10" t="s">
        <v>51</v>
      </c>
      <c r="AM163" s="8"/>
      <c r="AN163" s="8"/>
      <c r="AO163" s="8"/>
      <c r="AP163" s="8"/>
      <c r="AQ163" s="9">
        <v>3</v>
      </c>
      <c r="AR163" s="9">
        <v>1</v>
      </c>
      <c r="AS163" s="10" t="s">
        <v>94</v>
      </c>
      <c r="AT163" s="10" t="s">
        <v>53</v>
      </c>
      <c r="AU163" s="8"/>
      <c r="AV163" s="10" t="s">
        <v>54</v>
      </c>
      <c r="AW163" s="10" t="s">
        <v>51</v>
      </c>
      <c r="AX163" s="10" t="s">
        <v>95</v>
      </c>
      <c r="AY163" s="8"/>
    </row>
    <row r="164" spans="1:51" x14ac:dyDescent="0.15">
      <c r="A164" s="11" t="s">
        <v>82</v>
      </c>
      <c r="B164" s="12" t="s">
        <v>67</v>
      </c>
      <c r="C164" s="10" t="s">
        <v>62</v>
      </c>
      <c r="D164" s="10" t="s">
        <v>63</v>
      </c>
      <c r="E164" s="9">
        <v>4</v>
      </c>
      <c r="F164" s="9">
        <v>4</v>
      </c>
      <c r="G164" s="9">
        <v>1</v>
      </c>
      <c r="H164" s="10" t="s">
        <v>63</v>
      </c>
      <c r="I164" s="9">
        <v>1</v>
      </c>
      <c r="J164" s="9">
        <v>0.83070745800796397</v>
      </c>
      <c r="K164" s="10" t="s">
        <v>51</v>
      </c>
      <c r="L164" s="9">
        <v>1</v>
      </c>
      <c r="M164" s="9">
        <v>4</v>
      </c>
      <c r="N164" s="9">
        <v>4</v>
      </c>
      <c r="O164" s="9">
        <v>37</v>
      </c>
      <c r="P164" s="9">
        <v>29.306813667004501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9">
        <v>29.278943292010801</v>
      </c>
      <c r="AD164" s="9">
        <v>29.306813667004501</v>
      </c>
      <c r="AE164" s="9">
        <v>29.775560000009101</v>
      </c>
      <c r="AF164" s="9">
        <v>29.775560000009101</v>
      </c>
      <c r="AG164" s="9">
        <v>29.775560000009101</v>
      </c>
      <c r="AH164" s="9">
        <v>30.6183361250005</v>
      </c>
      <c r="AI164" s="10" t="s">
        <v>63</v>
      </c>
      <c r="AJ164" s="9">
        <v>1</v>
      </c>
      <c r="AK164" s="9">
        <v>0.83070745800796397</v>
      </c>
      <c r="AL164" s="10" t="s">
        <v>51</v>
      </c>
      <c r="AM164" s="8"/>
      <c r="AN164" s="8"/>
      <c r="AO164" s="8"/>
      <c r="AP164" s="8"/>
      <c r="AQ164" s="9">
        <v>3</v>
      </c>
      <c r="AR164" s="9">
        <v>1</v>
      </c>
      <c r="AS164" s="10" t="s">
        <v>94</v>
      </c>
      <c r="AT164" s="10" t="s">
        <v>53</v>
      </c>
      <c r="AU164" s="8"/>
      <c r="AV164" s="10" t="s">
        <v>54</v>
      </c>
      <c r="AW164" s="10" t="s">
        <v>51</v>
      </c>
      <c r="AX164" s="10" t="s">
        <v>95</v>
      </c>
      <c r="AY164" s="8"/>
    </row>
    <row r="165" spans="1:51" x14ac:dyDescent="0.15">
      <c r="A165" s="11" t="s">
        <v>86</v>
      </c>
      <c r="B165" s="12" t="s">
        <v>67</v>
      </c>
      <c r="C165" s="10" t="s">
        <v>62</v>
      </c>
      <c r="D165" s="10" t="s">
        <v>63</v>
      </c>
      <c r="E165" s="9">
        <v>7</v>
      </c>
      <c r="F165" s="9">
        <v>7</v>
      </c>
      <c r="G165" s="9">
        <v>0</v>
      </c>
      <c r="H165" s="10" t="s">
        <v>63</v>
      </c>
      <c r="I165" s="9">
        <v>1</v>
      </c>
      <c r="J165" s="9">
        <v>0.74314366700127699</v>
      </c>
      <c r="K165" s="10" t="s">
        <v>51</v>
      </c>
      <c r="L165" s="9">
        <v>0</v>
      </c>
      <c r="M165" s="9">
        <v>7</v>
      </c>
      <c r="N165" s="9">
        <v>7</v>
      </c>
      <c r="O165" s="9">
        <v>35</v>
      </c>
      <c r="P165" s="9">
        <v>32.898102959006799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9">
        <v>32.889337959000798</v>
      </c>
      <c r="AD165" s="9">
        <v>32.898102959006799</v>
      </c>
      <c r="AE165" s="9">
        <v>33.383205792008098</v>
      </c>
      <c r="AF165" s="9">
        <v>33.383205792008098</v>
      </c>
      <c r="AG165" s="9">
        <v>33.383205792008098</v>
      </c>
      <c r="AH165" s="9">
        <v>34.1351940419991</v>
      </c>
      <c r="AI165" s="10" t="s">
        <v>63</v>
      </c>
      <c r="AJ165" s="9">
        <v>1</v>
      </c>
      <c r="AK165" s="9">
        <v>0.74314366700127699</v>
      </c>
      <c r="AL165" s="10" t="s">
        <v>51</v>
      </c>
      <c r="AM165" s="8"/>
      <c r="AN165" s="8"/>
      <c r="AO165" s="8"/>
      <c r="AP165" s="8"/>
      <c r="AQ165" s="9">
        <v>3</v>
      </c>
      <c r="AR165" s="9">
        <v>1</v>
      </c>
      <c r="AS165" s="10" t="s">
        <v>94</v>
      </c>
      <c r="AT165" s="10" t="s">
        <v>53</v>
      </c>
      <c r="AU165" s="8"/>
      <c r="AV165" s="10" t="s">
        <v>54</v>
      </c>
      <c r="AW165" s="10" t="s">
        <v>51</v>
      </c>
      <c r="AX165" s="10" t="s">
        <v>95</v>
      </c>
      <c r="AY165" s="8"/>
    </row>
    <row r="166" spans="1:51" x14ac:dyDescent="0.15">
      <c r="A166" s="11" t="s">
        <v>86</v>
      </c>
      <c r="B166" s="12" t="s">
        <v>67</v>
      </c>
      <c r="C166" s="10" t="s">
        <v>62</v>
      </c>
      <c r="D166" s="10" t="s">
        <v>63</v>
      </c>
      <c r="E166" s="9">
        <v>9</v>
      </c>
      <c r="F166" s="9">
        <v>9</v>
      </c>
      <c r="G166" s="9">
        <v>1</v>
      </c>
      <c r="H166" s="10" t="s">
        <v>63</v>
      </c>
      <c r="I166" s="9">
        <v>1</v>
      </c>
      <c r="J166" s="9">
        <v>0.42635304100986099</v>
      </c>
      <c r="K166" s="10" t="s">
        <v>51</v>
      </c>
      <c r="L166" s="9">
        <v>1</v>
      </c>
      <c r="M166" s="9">
        <v>9</v>
      </c>
      <c r="N166" s="9">
        <v>9</v>
      </c>
      <c r="O166" s="9">
        <v>35</v>
      </c>
      <c r="P166" s="9">
        <v>35.2998658750003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9">
        <v>35.290677417011501</v>
      </c>
      <c r="AD166" s="9">
        <v>35.2998658750003</v>
      </c>
      <c r="AE166" s="9">
        <v>35.782960667013</v>
      </c>
      <c r="AF166" s="9">
        <v>35.782960667013</v>
      </c>
      <c r="AG166" s="9">
        <v>35.782960667013</v>
      </c>
      <c r="AH166" s="9">
        <v>36.218500417002403</v>
      </c>
      <c r="AI166" s="10" t="s">
        <v>63</v>
      </c>
      <c r="AJ166" s="9">
        <v>1</v>
      </c>
      <c r="AK166" s="9">
        <v>0.42635304100986099</v>
      </c>
      <c r="AL166" s="10" t="s">
        <v>51</v>
      </c>
      <c r="AM166" s="8"/>
      <c r="AN166" s="8"/>
      <c r="AO166" s="8"/>
      <c r="AP166" s="8"/>
      <c r="AQ166" s="9">
        <v>3</v>
      </c>
      <c r="AR166" s="9">
        <v>1</v>
      </c>
      <c r="AS166" s="10" t="s">
        <v>94</v>
      </c>
      <c r="AT166" s="10" t="s">
        <v>53</v>
      </c>
      <c r="AU166" s="8"/>
      <c r="AV166" s="10" t="s">
        <v>54</v>
      </c>
      <c r="AW166" s="10" t="s">
        <v>51</v>
      </c>
      <c r="AX166" s="10" t="s">
        <v>95</v>
      </c>
      <c r="AY166" s="8"/>
    </row>
    <row r="167" spans="1:51" x14ac:dyDescent="0.15">
      <c r="A167" s="11" t="s">
        <v>66</v>
      </c>
      <c r="B167" s="12" t="s">
        <v>67</v>
      </c>
      <c r="C167" s="10" t="s">
        <v>62</v>
      </c>
      <c r="D167" s="10" t="s">
        <v>63</v>
      </c>
      <c r="E167" s="9">
        <v>10</v>
      </c>
      <c r="F167" s="9">
        <v>10</v>
      </c>
      <c r="G167" s="9">
        <v>0</v>
      </c>
      <c r="H167" s="10" t="s">
        <v>63</v>
      </c>
      <c r="I167" s="9">
        <v>1</v>
      </c>
      <c r="J167" s="9">
        <v>0.64385654199577402</v>
      </c>
      <c r="K167" s="10" t="s">
        <v>51</v>
      </c>
      <c r="L167" s="9">
        <v>0</v>
      </c>
      <c r="M167" s="9">
        <v>10</v>
      </c>
      <c r="N167" s="9">
        <v>10</v>
      </c>
      <c r="O167" s="9">
        <v>47</v>
      </c>
      <c r="P167" s="9">
        <v>36.233575792008203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9">
        <v>36.224462792000899</v>
      </c>
      <c r="AD167" s="9">
        <v>36.233575792008203</v>
      </c>
      <c r="AE167" s="9">
        <v>36.716598917002599</v>
      </c>
      <c r="AF167" s="9">
        <v>36.716598917002599</v>
      </c>
      <c r="AG167" s="9">
        <v>36.716598917002599</v>
      </c>
      <c r="AH167" s="9">
        <v>37.368663500004899</v>
      </c>
      <c r="AI167" s="10" t="s">
        <v>63</v>
      </c>
      <c r="AJ167" s="9">
        <v>1</v>
      </c>
      <c r="AK167" s="9">
        <v>0.64385654199577402</v>
      </c>
      <c r="AL167" s="10" t="s">
        <v>51</v>
      </c>
      <c r="AM167" s="8"/>
      <c r="AN167" s="8"/>
      <c r="AO167" s="8"/>
      <c r="AP167" s="8"/>
      <c r="AQ167" s="9">
        <v>3</v>
      </c>
      <c r="AR167" s="9">
        <v>1</v>
      </c>
      <c r="AS167" s="10" t="s">
        <v>94</v>
      </c>
      <c r="AT167" s="10" t="s">
        <v>53</v>
      </c>
      <c r="AU167" s="8"/>
      <c r="AV167" s="10" t="s">
        <v>54</v>
      </c>
      <c r="AW167" s="10" t="s">
        <v>51</v>
      </c>
      <c r="AX167" s="10" t="s">
        <v>95</v>
      </c>
      <c r="AY167" s="8"/>
    </row>
    <row r="168" spans="1:51" x14ac:dyDescent="0.15">
      <c r="A168" s="11" t="s">
        <v>82</v>
      </c>
      <c r="B168" s="12" t="s">
        <v>67</v>
      </c>
      <c r="C168" s="10" t="s">
        <v>58</v>
      </c>
      <c r="D168" s="10" t="s">
        <v>59</v>
      </c>
      <c r="E168" s="9">
        <v>12</v>
      </c>
      <c r="F168" s="9">
        <v>12</v>
      </c>
      <c r="G168" s="9">
        <v>0</v>
      </c>
      <c r="H168" s="10" t="s">
        <v>59</v>
      </c>
      <c r="I168" s="9">
        <v>1</v>
      </c>
      <c r="J168" s="9">
        <v>0.65306091601087302</v>
      </c>
      <c r="K168" s="10" t="s">
        <v>51</v>
      </c>
      <c r="L168" s="9">
        <v>0</v>
      </c>
      <c r="M168" s="9">
        <v>12</v>
      </c>
      <c r="N168" s="9">
        <v>12</v>
      </c>
      <c r="O168" s="9">
        <v>36</v>
      </c>
      <c r="P168" s="9">
        <v>38.398550084006303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9">
        <v>38.389466125008802</v>
      </c>
      <c r="AD168" s="9">
        <v>38.398550084006303</v>
      </c>
      <c r="AE168" s="9">
        <v>38.883304167000503</v>
      </c>
      <c r="AF168" s="9">
        <v>38.883304167000503</v>
      </c>
      <c r="AG168" s="9">
        <v>38.883304167000503</v>
      </c>
      <c r="AH168" s="9">
        <v>39.541029833999303</v>
      </c>
      <c r="AI168" s="10" t="s">
        <v>59</v>
      </c>
      <c r="AJ168" s="9">
        <v>1</v>
      </c>
      <c r="AK168" s="9">
        <v>0.65306091601087302</v>
      </c>
      <c r="AL168" s="10" t="s">
        <v>51</v>
      </c>
      <c r="AM168" s="8"/>
      <c r="AN168" s="8"/>
      <c r="AO168" s="8"/>
      <c r="AP168" s="8"/>
      <c r="AQ168" s="9">
        <v>3</v>
      </c>
      <c r="AR168" s="9">
        <v>1</v>
      </c>
      <c r="AS168" s="10" t="s">
        <v>94</v>
      </c>
      <c r="AT168" s="10" t="s">
        <v>53</v>
      </c>
      <c r="AU168" s="8"/>
      <c r="AV168" s="10" t="s">
        <v>54</v>
      </c>
      <c r="AW168" s="10" t="s">
        <v>51</v>
      </c>
      <c r="AX168" s="10" t="s">
        <v>95</v>
      </c>
      <c r="AY168" s="8"/>
    </row>
    <row r="169" spans="1:51" x14ac:dyDescent="0.15">
      <c r="A169" s="11" t="s">
        <v>86</v>
      </c>
      <c r="B169" s="12" t="s">
        <v>67</v>
      </c>
      <c r="C169" s="10" t="s">
        <v>58</v>
      </c>
      <c r="D169" s="10" t="s">
        <v>59</v>
      </c>
      <c r="E169" s="9">
        <v>17</v>
      </c>
      <c r="F169" s="9">
        <v>17</v>
      </c>
      <c r="G169" s="9">
        <v>0</v>
      </c>
      <c r="H169" s="10" t="s">
        <v>59</v>
      </c>
      <c r="I169" s="9">
        <v>1</v>
      </c>
      <c r="J169" s="9">
        <v>0.58171008300269</v>
      </c>
      <c r="K169" s="10" t="s">
        <v>51</v>
      </c>
      <c r="L169" s="9">
        <v>0</v>
      </c>
      <c r="M169" s="9">
        <v>17</v>
      </c>
      <c r="N169" s="9">
        <v>17</v>
      </c>
      <c r="O169" s="9">
        <v>34</v>
      </c>
      <c r="P169" s="9">
        <v>44.116758459000302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9">
        <v>44.107605249999303</v>
      </c>
      <c r="AD169" s="9">
        <v>44.116758459000302</v>
      </c>
      <c r="AE169" s="9">
        <v>44.600060791999603</v>
      </c>
      <c r="AF169" s="9">
        <v>44.600060791999603</v>
      </c>
      <c r="AG169" s="9">
        <v>44.600060791999603</v>
      </c>
      <c r="AH169" s="9">
        <v>45.185471208998898</v>
      </c>
      <c r="AI169" s="10" t="s">
        <v>59</v>
      </c>
      <c r="AJ169" s="9">
        <v>1</v>
      </c>
      <c r="AK169" s="9">
        <v>0.58171008300269</v>
      </c>
      <c r="AL169" s="10" t="s">
        <v>51</v>
      </c>
      <c r="AM169" s="8"/>
      <c r="AN169" s="8"/>
      <c r="AO169" s="8"/>
      <c r="AP169" s="8"/>
      <c r="AQ169" s="9">
        <v>3</v>
      </c>
      <c r="AR169" s="9">
        <v>1</v>
      </c>
      <c r="AS169" s="10" t="s">
        <v>94</v>
      </c>
      <c r="AT169" s="10" t="s">
        <v>53</v>
      </c>
      <c r="AU169" s="8"/>
      <c r="AV169" s="10" t="s">
        <v>54</v>
      </c>
      <c r="AW169" s="10" t="s">
        <v>51</v>
      </c>
      <c r="AX169" s="10" t="s">
        <v>95</v>
      </c>
      <c r="AY169" s="8"/>
    </row>
    <row r="170" spans="1:51" x14ac:dyDescent="0.15">
      <c r="A170" s="11" t="s">
        <v>81</v>
      </c>
      <c r="B170" s="12" t="s">
        <v>67</v>
      </c>
      <c r="C170" s="10" t="s">
        <v>62</v>
      </c>
      <c r="D170" s="10" t="s">
        <v>63</v>
      </c>
      <c r="E170" s="9">
        <v>20</v>
      </c>
      <c r="F170" s="9">
        <v>20</v>
      </c>
      <c r="G170" s="9">
        <v>0</v>
      </c>
      <c r="H170" s="10" t="s">
        <v>63</v>
      </c>
      <c r="I170" s="9">
        <v>1</v>
      </c>
      <c r="J170" s="9">
        <v>0.70681995800987396</v>
      </c>
      <c r="K170" s="10" t="s">
        <v>51</v>
      </c>
      <c r="L170" s="9">
        <v>0</v>
      </c>
      <c r="M170" s="9">
        <v>20</v>
      </c>
      <c r="N170" s="9">
        <v>20</v>
      </c>
      <c r="O170" s="9">
        <v>45</v>
      </c>
      <c r="P170" s="9">
        <v>47.233139500007397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9">
        <v>47.224005374999301</v>
      </c>
      <c r="AD170" s="9">
        <v>47.233139500007397</v>
      </c>
      <c r="AE170" s="9">
        <v>47.716747792001101</v>
      </c>
      <c r="AF170" s="9">
        <v>47.716747792001101</v>
      </c>
      <c r="AG170" s="9">
        <v>47.716747792001101</v>
      </c>
      <c r="AH170" s="9">
        <v>48.424838792008799</v>
      </c>
      <c r="AI170" s="10" t="s">
        <v>63</v>
      </c>
      <c r="AJ170" s="9">
        <v>1</v>
      </c>
      <c r="AK170" s="9">
        <v>0.70681995800987396</v>
      </c>
      <c r="AL170" s="10" t="s">
        <v>51</v>
      </c>
      <c r="AM170" s="8"/>
      <c r="AN170" s="8"/>
      <c r="AO170" s="8"/>
      <c r="AP170" s="8"/>
      <c r="AQ170" s="9">
        <v>3</v>
      </c>
      <c r="AR170" s="9">
        <v>1</v>
      </c>
      <c r="AS170" s="10" t="s">
        <v>94</v>
      </c>
      <c r="AT170" s="10" t="s">
        <v>53</v>
      </c>
      <c r="AU170" s="8"/>
      <c r="AV170" s="10" t="s">
        <v>54</v>
      </c>
      <c r="AW170" s="10" t="s">
        <v>51</v>
      </c>
      <c r="AX170" s="10" t="s">
        <v>95</v>
      </c>
      <c r="AY170" s="8"/>
    </row>
    <row r="171" spans="1:51" x14ac:dyDescent="0.15">
      <c r="A171" s="11" t="s">
        <v>66</v>
      </c>
      <c r="B171" s="12" t="s">
        <v>67</v>
      </c>
      <c r="C171" s="10" t="s">
        <v>62</v>
      </c>
      <c r="D171" s="10" t="s">
        <v>63</v>
      </c>
      <c r="E171" s="9">
        <v>23</v>
      </c>
      <c r="F171" s="9">
        <v>23</v>
      </c>
      <c r="G171" s="9">
        <v>1</v>
      </c>
      <c r="H171" s="10" t="s">
        <v>63</v>
      </c>
      <c r="I171" s="9">
        <v>1</v>
      </c>
      <c r="J171" s="9">
        <v>0.599865791999036</v>
      </c>
      <c r="K171" s="10" t="s">
        <v>51</v>
      </c>
      <c r="L171" s="9">
        <v>1</v>
      </c>
      <c r="M171" s="9">
        <v>23</v>
      </c>
      <c r="N171" s="9">
        <v>23</v>
      </c>
      <c r="O171" s="9">
        <v>47</v>
      </c>
      <c r="P171" s="9">
        <v>50.622250833999701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9">
        <v>50.612394584008101</v>
      </c>
      <c r="AD171" s="9">
        <v>50.622250833999701</v>
      </c>
      <c r="AE171" s="9">
        <v>51.109846375009496</v>
      </c>
      <c r="AF171" s="9">
        <v>51.109846375009496</v>
      </c>
      <c r="AG171" s="9">
        <v>51.109846375009496</v>
      </c>
      <c r="AH171" s="9">
        <v>51.719104834002799</v>
      </c>
      <c r="AI171" s="10" t="s">
        <v>63</v>
      </c>
      <c r="AJ171" s="9">
        <v>1</v>
      </c>
      <c r="AK171" s="9">
        <v>0.599865791999036</v>
      </c>
      <c r="AL171" s="10" t="s">
        <v>51</v>
      </c>
      <c r="AM171" s="8"/>
      <c r="AN171" s="8"/>
      <c r="AO171" s="8"/>
      <c r="AP171" s="8"/>
      <c r="AQ171" s="9">
        <v>3</v>
      </c>
      <c r="AR171" s="9">
        <v>1</v>
      </c>
      <c r="AS171" s="10" t="s">
        <v>94</v>
      </c>
      <c r="AT171" s="10" t="s">
        <v>53</v>
      </c>
      <c r="AU171" s="8"/>
      <c r="AV171" s="10" t="s">
        <v>54</v>
      </c>
      <c r="AW171" s="10" t="s">
        <v>51</v>
      </c>
      <c r="AX171" s="10" t="s">
        <v>95</v>
      </c>
      <c r="AY171" s="8"/>
    </row>
    <row r="172" spans="1:51" x14ac:dyDescent="0.15">
      <c r="A172" s="11" t="s">
        <v>80</v>
      </c>
      <c r="B172" s="12" t="s">
        <v>67</v>
      </c>
      <c r="C172" s="10" t="s">
        <v>58</v>
      </c>
      <c r="D172" s="10" t="s">
        <v>59</v>
      </c>
      <c r="E172" s="9">
        <v>32</v>
      </c>
      <c r="F172" s="9">
        <v>32</v>
      </c>
      <c r="G172" s="9">
        <v>0</v>
      </c>
      <c r="H172" s="10" t="s">
        <v>59</v>
      </c>
      <c r="I172" s="9">
        <v>1</v>
      </c>
      <c r="J172" s="9">
        <v>0.52799333300208695</v>
      </c>
      <c r="K172" s="10" t="s">
        <v>51</v>
      </c>
      <c r="L172" s="9">
        <v>0</v>
      </c>
      <c r="M172" s="9">
        <v>32</v>
      </c>
      <c r="N172" s="9">
        <v>32</v>
      </c>
      <c r="O172" s="9">
        <v>32</v>
      </c>
      <c r="P172" s="9">
        <v>61.568034834010199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9">
        <v>61.558821625003503</v>
      </c>
      <c r="AD172" s="9">
        <v>61.568034834010199</v>
      </c>
      <c r="AE172" s="9">
        <v>62.050836292008199</v>
      </c>
      <c r="AF172" s="9">
        <v>62.050836292008199</v>
      </c>
      <c r="AG172" s="9">
        <v>62.050836292008199</v>
      </c>
      <c r="AH172" s="9">
        <v>62.585599042009598</v>
      </c>
      <c r="AI172" s="10" t="s">
        <v>59</v>
      </c>
      <c r="AJ172" s="9">
        <v>1</v>
      </c>
      <c r="AK172" s="9">
        <v>0.52799333300208695</v>
      </c>
      <c r="AL172" s="10" t="s">
        <v>51</v>
      </c>
      <c r="AM172" s="8"/>
      <c r="AN172" s="8"/>
      <c r="AO172" s="8"/>
      <c r="AP172" s="8"/>
      <c r="AQ172" s="9">
        <v>3</v>
      </c>
      <c r="AR172" s="9">
        <v>1</v>
      </c>
      <c r="AS172" s="10" t="s">
        <v>94</v>
      </c>
      <c r="AT172" s="10" t="s">
        <v>53</v>
      </c>
      <c r="AU172" s="8"/>
      <c r="AV172" s="10" t="s">
        <v>54</v>
      </c>
      <c r="AW172" s="10" t="s">
        <v>51</v>
      </c>
      <c r="AX172" s="10" t="s">
        <v>95</v>
      </c>
      <c r="AY172" s="8"/>
    </row>
    <row r="173" spans="1:51" x14ac:dyDescent="0.15">
      <c r="A173" s="11" t="s">
        <v>77</v>
      </c>
      <c r="B173" s="12" t="s">
        <v>67</v>
      </c>
      <c r="C173" s="10" t="s">
        <v>62</v>
      </c>
      <c r="D173" s="10" t="s">
        <v>63</v>
      </c>
      <c r="E173" s="9">
        <v>42</v>
      </c>
      <c r="F173" s="9">
        <v>42</v>
      </c>
      <c r="G173" s="9">
        <v>0</v>
      </c>
      <c r="H173" s="10" t="s">
        <v>63</v>
      </c>
      <c r="I173" s="9">
        <v>1</v>
      </c>
      <c r="J173" s="9">
        <v>0.32069266699545601</v>
      </c>
      <c r="K173" s="10" t="s">
        <v>51</v>
      </c>
      <c r="L173" s="9">
        <v>0</v>
      </c>
      <c r="M173" s="9">
        <v>42</v>
      </c>
      <c r="N173" s="9">
        <v>42</v>
      </c>
      <c r="O173" s="9">
        <v>41</v>
      </c>
      <c r="P173" s="9">
        <v>72.1005709590099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9">
        <v>72.091738417002503</v>
      </c>
      <c r="AD173" s="9">
        <v>72.1005709590099</v>
      </c>
      <c r="AE173" s="9">
        <v>72.584451917005893</v>
      </c>
      <c r="AF173" s="9">
        <v>72.584451917005893</v>
      </c>
      <c r="AG173" s="9">
        <v>72.584451917005893</v>
      </c>
      <c r="AH173" s="9">
        <v>72.909541792003395</v>
      </c>
      <c r="AI173" s="10" t="s">
        <v>63</v>
      </c>
      <c r="AJ173" s="9">
        <v>1</v>
      </c>
      <c r="AK173" s="9">
        <v>0.32069266699545601</v>
      </c>
      <c r="AL173" s="10" t="s">
        <v>51</v>
      </c>
      <c r="AM173" s="8"/>
      <c r="AN173" s="8"/>
      <c r="AO173" s="8"/>
      <c r="AP173" s="8"/>
      <c r="AQ173" s="9">
        <v>3</v>
      </c>
      <c r="AR173" s="9">
        <v>1</v>
      </c>
      <c r="AS173" s="10" t="s">
        <v>94</v>
      </c>
      <c r="AT173" s="10" t="s">
        <v>53</v>
      </c>
      <c r="AU173" s="8"/>
      <c r="AV173" s="10" t="s">
        <v>54</v>
      </c>
      <c r="AW173" s="10" t="s">
        <v>51</v>
      </c>
      <c r="AX173" s="10" t="s">
        <v>95</v>
      </c>
      <c r="AY173" s="8"/>
    </row>
    <row r="174" spans="1:51" x14ac:dyDescent="0.15">
      <c r="A174" s="11" t="s">
        <v>76</v>
      </c>
      <c r="B174" s="12" t="s">
        <v>67</v>
      </c>
      <c r="C174" s="10" t="s">
        <v>62</v>
      </c>
      <c r="D174" s="10" t="s">
        <v>63</v>
      </c>
      <c r="E174" s="9">
        <v>46</v>
      </c>
      <c r="F174" s="9">
        <v>46</v>
      </c>
      <c r="G174" s="9">
        <v>0</v>
      </c>
      <c r="H174" s="10" t="s">
        <v>63</v>
      </c>
      <c r="I174" s="9">
        <v>1</v>
      </c>
      <c r="J174" s="9">
        <v>0.71318570799485304</v>
      </c>
      <c r="K174" s="10" t="s">
        <v>51</v>
      </c>
      <c r="L174" s="9">
        <v>0</v>
      </c>
      <c r="M174" s="9">
        <v>46</v>
      </c>
      <c r="N174" s="9">
        <v>46</v>
      </c>
      <c r="O174" s="9">
        <v>43</v>
      </c>
      <c r="P174" s="9">
        <v>77.056736459009699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9">
        <v>77.046748167005703</v>
      </c>
      <c r="AD174" s="9">
        <v>77.056736459009699</v>
      </c>
      <c r="AE174" s="9">
        <v>77.544072667005807</v>
      </c>
      <c r="AF174" s="9">
        <v>77.544072667005807</v>
      </c>
      <c r="AG174" s="9">
        <v>77.544072667005807</v>
      </c>
      <c r="AH174" s="9">
        <v>78.259323500009501</v>
      </c>
      <c r="AI174" s="10" t="s">
        <v>63</v>
      </c>
      <c r="AJ174" s="9">
        <v>1</v>
      </c>
      <c r="AK174" s="9">
        <v>0.71318570799485304</v>
      </c>
      <c r="AL174" s="10" t="s">
        <v>51</v>
      </c>
      <c r="AM174" s="8"/>
      <c r="AN174" s="8"/>
      <c r="AO174" s="8"/>
      <c r="AP174" s="8"/>
      <c r="AQ174" s="9">
        <v>3</v>
      </c>
      <c r="AR174" s="9">
        <v>1</v>
      </c>
      <c r="AS174" s="10" t="s">
        <v>94</v>
      </c>
      <c r="AT174" s="10" t="s">
        <v>53</v>
      </c>
      <c r="AU174" s="8"/>
      <c r="AV174" s="10" t="s">
        <v>54</v>
      </c>
      <c r="AW174" s="10" t="s">
        <v>51</v>
      </c>
      <c r="AX174" s="10" t="s">
        <v>95</v>
      </c>
      <c r="AY174" s="8"/>
    </row>
    <row r="175" spans="1:51" x14ac:dyDescent="0.15">
      <c r="A175" s="11" t="s">
        <v>81</v>
      </c>
      <c r="B175" s="12" t="s">
        <v>67</v>
      </c>
      <c r="C175" s="10" t="s">
        <v>62</v>
      </c>
      <c r="D175" s="10" t="s">
        <v>63</v>
      </c>
      <c r="E175" s="9">
        <v>56</v>
      </c>
      <c r="F175" s="9">
        <v>56</v>
      </c>
      <c r="G175" s="9">
        <v>1</v>
      </c>
      <c r="H175" s="10" t="s">
        <v>63</v>
      </c>
      <c r="I175" s="9">
        <v>1</v>
      </c>
      <c r="J175" s="9">
        <v>0.95942899999499798</v>
      </c>
      <c r="K175" s="10" t="s">
        <v>51</v>
      </c>
      <c r="L175" s="9">
        <v>1</v>
      </c>
      <c r="M175" s="9">
        <v>56</v>
      </c>
      <c r="N175" s="9">
        <v>56</v>
      </c>
      <c r="O175" s="9">
        <v>45</v>
      </c>
      <c r="P175" s="9">
        <v>89.073205459004399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9">
        <v>89.063767625004402</v>
      </c>
      <c r="AD175" s="9">
        <v>89.073205459004399</v>
      </c>
      <c r="AE175" s="9">
        <v>89.560980792011804</v>
      </c>
      <c r="AF175" s="9">
        <v>89.560980792011804</v>
      </c>
      <c r="AG175" s="9">
        <v>89.560980792011804</v>
      </c>
      <c r="AH175" s="9">
        <v>90.526443042006605</v>
      </c>
      <c r="AI175" s="10" t="s">
        <v>63</v>
      </c>
      <c r="AJ175" s="9">
        <v>1</v>
      </c>
      <c r="AK175" s="9">
        <v>0.95942899999499798</v>
      </c>
      <c r="AL175" s="10" t="s">
        <v>51</v>
      </c>
      <c r="AM175" s="8"/>
      <c r="AN175" s="8"/>
      <c r="AO175" s="8"/>
      <c r="AP175" s="8"/>
      <c r="AQ175" s="9">
        <v>3</v>
      </c>
      <c r="AR175" s="9">
        <v>1</v>
      </c>
      <c r="AS175" s="10" t="s">
        <v>94</v>
      </c>
      <c r="AT175" s="10" t="s">
        <v>53</v>
      </c>
      <c r="AU175" s="8"/>
      <c r="AV175" s="10" t="s">
        <v>54</v>
      </c>
      <c r="AW175" s="10" t="s">
        <v>51</v>
      </c>
      <c r="AX175" s="10" t="s">
        <v>95</v>
      </c>
      <c r="AY175" s="8"/>
    </row>
    <row r="176" spans="1:51" x14ac:dyDescent="0.15">
      <c r="A176" s="11" t="s">
        <v>80</v>
      </c>
      <c r="B176" s="12" t="s">
        <v>67</v>
      </c>
      <c r="C176" s="10" t="s">
        <v>62</v>
      </c>
      <c r="D176" s="10" t="s">
        <v>63</v>
      </c>
      <c r="E176" s="9">
        <v>58</v>
      </c>
      <c r="F176" s="9">
        <v>58</v>
      </c>
      <c r="G176" s="9">
        <v>0</v>
      </c>
      <c r="H176" s="10" t="s">
        <v>63</v>
      </c>
      <c r="I176" s="9">
        <v>1</v>
      </c>
      <c r="J176" s="9">
        <v>0.46565050000208402</v>
      </c>
      <c r="K176" s="10" t="s">
        <v>51</v>
      </c>
      <c r="L176" s="9">
        <v>0</v>
      </c>
      <c r="M176" s="9">
        <v>58</v>
      </c>
      <c r="N176" s="9">
        <v>58</v>
      </c>
      <c r="O176" s="9">
        <v>33</v>
      </c>
      <c r="P176" s="9">
        <v>91.590982417008505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9">
        <v>91.581606792009595</v>
      </c>
      <c r="AD176" s="9">
        <v>91.590982417008505</v>
      </c>
      <c r="AE176" s="9">
        <v>92.077826625012705</v>
      </c>
      <c r="AF176" s="9">
        <v>92.077826625012705</v>
      </c>
      <c r="AG176" s="9">
        <v>92.077826625012705</v>
      </c>
      <c r="AH176" s="9">
        <v>92.554403417001595</v>
      </c>
      <c r="AI176" s="10" t="s">
        <v>63</v>
      </c>
      <c r="AJ176" s="9">
        <v>1</v>
      </c>
      <c r="AK176" s="9">
        <v>0.46565050000208402</v>
      </c>
      <c r="AL176" s="10" t="s">
        <v>51</v>
      </c>
      <c r="AM176" s="8"/>
      <c r="AN176" s="8"/>
      <c r="AO176" s="8"/>
      <c r="AP176" s="8"/>
      <c r="AQ176" s="9">
        <v>3</v>
      </c>
      <c r="AR176" s="9">
        <v>1</v>
      </c>
      <c r="AS176" s="10" t="s">
        <v>94</v>
      </c>
      <c r="AT176" s="10" t="s">
        <v>53</v>
      </c>
      <c r="AU176" s="8"/>
      <c r="AV176" s="10" t="s">
        <v>54</v>
      </c>
      <c r="AW176" s="10" t="s">
        <v>51</v>
      </c>
      <c r="AX176" s="10" t="s">
        <v>95</v>
      </c>
      <c r="AY176" s="8"/>
    </row>
    <row r="177" spans="1:51" x14ac:dyDescent="0.15">
      <c r="A177" s="11" t="s">
        <v>76</v>
      </c>
      <c r="B177" s="12" t="s">
        <v>67</v>
      </c>
      <c r="C177" s="10" t="s">
        <v>62</v>
      </c>
      <c r="D177" s="10" t="s">
        <v>63</v>
      </c>
      <c r="E177" s="9">
        <v>60</v>
      </c>
      <c r="F177" s="9">
        <v>60</v>
      </c>
      <c r="G177" s="9">
        <v>1</v>
      </c>
      <c r="H177" s="10" t="s">
        <v>63</v>
      </c>
      <c r="I177" s="9">
        <v>1</v>
      </c>
      <c r="J177" s="9">
        <v>0.68708262399013598</v>
      </c>
      <c r="K177" s="10" t="s">
        <v>51</v>
      </c>
      <c r="L177" s="9">
        <v>1</v>
      </c>
      <c r="M177" s="9">
        <v>60</v>
      </c>
      <c r="N177" s="9">
        <v>60</v>
      </c>
      <c r="O177" s="9">
        <v>43</v>
      </c>
      <c r="P177" s="9">
        <v>93.599284709009197</v>
      </c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9">
        <v>93.590295959002106</v>
      </c>
      <c r="AD177" s="9">
        <v>93.599284709009197</v>
      </c>
      <c r="AE177" s="9">
        <v>94.085365584003696</v>
      </c>
      <c r="AF177" s="9">
        <v>94.085365584003696</v>
      </c>
      <c r="AG177" s="9">
        <v>94.085365584003696</v>
      </c>
      <c r="AH177" s="9">
        <v>94.777392500007394</v>
      </c>
      <c r="AI177" s="10" t="s">
        <v>63</v>
      </c>
      <c r="AJ177" s="9">
        <v>1</v>
      </c>
      <c r="AK177" s="9">
        <v>0.68708262399013598</v>
      </c>
      <c r="AL177" s="10" t="s">
        <v>51</v>
      </c>
      <c r="AM177" s="8"/>
      <c r="AN177" s="8"/>
      <c r="AO177" s="8"/>
      <c r="AP177" s="8"/>
      <c r="AQ177" s="9">
        <v>3</v>
      </c>
      <c r="AR177" s="9">
        <v>1</v>
      </c>
      <c r="AS177" s="10" t="s">
        <v>94</v>
      </c>
      <c r="AT177" s="10" t="s">
        <v>53</v>
      </c>
      <c r="AU177" s="8"/>
      <c r="AV177" s="10" t="s">
        <v>54</v>
      </c>
      <c r="AW177" s="10" t="s">
        <v>51</v>
      </c>
      <c r="AX177" s="10" t="s">
        <v>95</v>
      </c>
      <c r="AY177" s="8"/>
    </row>
    <row r="178" spans="1:51" x14ac:dyDescent="0.15">
      <c r="A178" s="11" t="s">
        <v>81</v>
      </c>
      <c r="B178" s="12" t="s">
        <v>67</v>
      </c>
      <c r="C178" s="10" t="s">
        <v>58</v>
      </c>
      <c r="D178" s="10" t="s">
        <v>59</v>
      </c>
      <c r="E178" s="9">
        <v>61</v>
      </c>
      <c r="F178" s="9">
        <v>61</v>
      </c>
      <c r="G178" s="9">
        <v>1</v>
      </c>
      <c r="H178" s="10" t="s">
        <v>59</v>
      </c>
      <c r="I178" s="9">
        <v>1</v>
      </c>
      <c r="J178" s="9">
        <v>0.66251187400484901</v>
      </c>
      <c r="K178" s="10" t="s">
        <v>51</v>
      </c>
      <c r="L178" s="9">
        <v>1</v>
      </c>
      <c r="M178" s="9">
        <v>61</v>
      </c>
      <c r="N178" s="9">
        <v>61</v>
      </c>
      <c r="O178" s="9">
        <v>44</v>
      </c>
      <c r="P178" s="9">
        <v>94.791678459005198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9">
        <v>94.782021209001002</v>
      </c>
      <c r="AD178" s="9">
        <v>94.791678459005198</v>
      </c>
      <c r="AE178" s="9">
        <v>95.277053750003702</v>
      </c>
      <c r="AF178" s="9">
        <v>95.277053750003702</v>
      </c>
      <c r="AG178" s="9">
        <v>95.277053750003702</v>
      </c>
      <c r="AH178" s="9">
        <v>95.9428832500125</v>
      </c>
      <c r="AI178" s="10" t="s">
        <v>59</v>
      </c>
      <c r="AJ178" s="9">
        <v>1</v>
      </c>
      <c r="AK178" s="9">
        <v>0.66251187400484901</v>
      </c>
      <c r="AL178" s="10" t="s">
        <v>51</v>
      </c>
      <c r="AM178" s="8"/>
      <c r="AN178" s="8"/>
      <c r="AO178" s="8"/>
      <c r="AP178" s="8"/>
      <c r="AQ178" s="9">
        <v>3</v>
      </c>
      <c r="AR178" s="9">
        <v>1</v>
      </c>
      <c r="AS178" s="10" t="s">
        <v>94</v>
      </c>
      <c r="AT178" s="10" t="s">
        <v>53</v>
      </c>
      <c r="AU178" s="8"/>
      <c r="AV178" s="10" t="s">
        <v>54</v>
      </c>
      <c r="AW178" s="10" t="s">
        <v>51</v>
      </c>
      <c r="AX178" s="10" t="s">
        <v>95</v>
      </c>
      <c r="AY178" s="8"/>
    </row>
    <row r="179" spans="1:51" x14ac:dyDescent="0.15">
      <c r="A179" s="11" t="s">
        <v>69</v>
      </c>
      <c r="B179" s="12" t="s">
        <v>67</v>
      </c>
      <c r="C179" s="10" t="s">
        <v>58</v>
      </c>
      <c r="D179" s="10" t="s">
        <v>59</v>
      </c>
      <c r="E179" s="9">
        <v>62</v>
      </c>
      <c r="F179" s="9">
        <v>62</v>
      </c>
      <c r="G179" s="9">
        <v>0</v>
      </c>
      <c r="H179" s="10" t="s">
        <v>59</v>
      </c>
      <c r="I179" s="9">
        <v>1</v>
      </c>
      <c r="J179" s="9">
        <v>0.85907650001172398</v>
      </c>
      <c r="K179" s="10" t="s">
        <v>51</v>
      </c>
      <c r="L179" s="9">
        <v>0</v>
      </c>
      <c r="M179" s="9">
        <v>62</v>
      </c>
      <c r="N179" s="9">
        <v>62</v>
      </c>
      <c r="O179" s="9">
        <v>38</v>
      </c>
      <c r="P179" s="9">
        <v>95.957426042004997</v>
      </c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9">
        <v>95.946665584007903</v>
      </c>
      <c r="AD179" s="9">
        <v>95.957426042004997</v>
      </c>
      <c r="AE179" s="9">
        <v>96.444472709001303</v>
      </c>
      <c r="AF179" s="9">
        <v>96.444472709001303</v>
      </c>
      <c r="AG179" s="9">
        <v>96.444472709001303</v>
      </c>
      <c r="AH179" s="9">
        <v>97.310382374998895</v>
      </c>
      <c r="AI179" s="10" t="s">
        <v>59</v>
      </c>
      <c r="AJ179" s="9">
        <v>1</v>
      </c>
      <c r="AK179" s="9">
        <v>0.85907650001172398</v>
      </c>
      <c r="AL179" s="10" t="s">
        <v>51</v>
      </c>
      <c r="AM179" s="8"/>
      <c r="AN179" s="8"/>
      <c r="AO179" s="8"/>
      <c r="AP179" s="8"/>
      <c r="AQ179" s="9">
        <v>3</v>
      </c>
      <c r="AR179" s="9">
        <v>1</v>
      </c>
      <c r="AS179" s="10" t="s">
        <v>94</v>
      </c>
      <c r="AT179" s="10" t="s">
        <v>53</v>
      </c>
      <c r="AU179" s="8"/>
      <c r="AV179" s="10" t="s">
        <v>54</v>
      </c>
      <c r="AW179" s="10" t="s">
        <v>51</v>
      </c>
      <c r="AX179" s="10" t="s">
        <v>95</v>
      </c>
      <c r="AY179" s="8"/>
    </row>
    <row r="180" spans="1:51" x14ac:dyDescent="0.15">
      <c r="A180" s="11" t="s">
        <v>66</v>
      </c>
      <c r="B180" s="12" t="s">
        <v>67</v>
      </c>
      <c r="C180" s="10" t="s">
        <v>62</v>
      </c>
      <c r="D180" s="10" t="s">
        <v>63</v>
      </c>
      <c r="E180" s="9">
        <v>64</v>
      </c>
      <c r="F180" s="9">
        <v>64</v>
      </c>
      <c r="G180" s="9">
        <v>2</v>
      </c>
      <c r="H180" s="10" t="s">
        <v>63</v>
      </c>
      <c r="I180" s="9">
        <v>1</v>
      </c>
      <c r="J180" s="9">
        <v>0.464593874989077</v>
      </c>
      <c r="K180" s="10" t="s">
        <v>51</v>
      </c>
      <c r="L180" s="9">
        <v>2</v>
      </c>
      <c r="M180" s="9">
        <v>64</v>
      </c>
      <c r="N180" s="9">
        <v>64</v>
      </c>
      <c r="O180" s="9">
        <v>47</v>
      </c>
      <c r="P180" s="9">
        <v>98.651248667010805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9">
        <v>98.642116875009407</v>
      </c>
      <c r="AD180" s="9">
        <v>98.651248667010805</v>
      </c>
      <c r="AE180" s="9">
        <v>99.135388375012596</v>
      </c>
      <c r="AF180" s="9">
        <v>99.135388375012596</v>
      </c>
      <c r="AG180" s="9">
        <v>99.135388375012596</v>
      </c>
      <c r="AH180" s="9">
        <v>99.604210875011603</v>
      </c>
      <c r="AI180" s="10" t="s">
        <v>63</v>
      </c>
      <c r="AJ180" s="9">
        <v>1</v>
      </c>
      <c r="AK180" s="9">
        <v>0.464593874989077</v>
      </c>
      <c r="AL180" s="10" t="s">
        <v>51</v>
      </c>
      <c r="AM180" s="8"/>
      <c r="AN180" s="8"/>
      <c r="AO180" s="8"/>
      <c r="AP180" s="8"/>
      <c r="AQ180" s="9">
        <v>3</v>
      </c>
      <c r="AR180" s="9">
        <v>1</v>
      </c>
      <c r="AS180" s="10" t="s">
        <v>94</v>
      </c>
      <c r="AT180" s="10" t="s">
        <v>53</v>
      </c>
      <c r="AU180" s="8"/>
      <c r="AV180" s="10" t="s">
        <v>54</v>
      </c>
      <c r="AW180" s="10" t="s">
        <v>51</v>
      </c>
      <c r="AX180" s="10" t="s">
        <v>95</v>
      </c>
      <c r="AY180" s="8"/>
    </row>
    <row r="181" spans="1:51" x14ac:dyDescent="0.15">
      <c r="A181" s="11" t="s">
        <v>77</v>
      </c>
      <c r="B181" s="12" t="s">
        <v>67</v>
      </c>
      <c r="C181" s="10" t="s">
        <v>58</v>
      </c>
      <c r="D181" s="10" t="s">
        <v>59</v>
      </c>
      <c r="E181" s="9">
        <v>67</v>
      </c>
      <c r="F181" s="9">
        <v>67</v>
      </c>
      <c r="G181" s="9">
        <v>0</v>
      </c>
      <c r="H181" s="10" t="s">
        <v>59</v>
      </c>
      <c r="I181" s="9">
        <v>1</v>
      </c>
      <c r="J181" s="9">
        <v>0.48540495800261901</v>
      </c>
      <c r="K181" s="10" t="s">
        <v>51</v>
      </c>
      <c r="L181" s="9">
        <v>0</v>
      </c>
      <c r="M181" s="9">
        <v>67</v>
      </c>
      <c r="N181" s="9">
        <v>67</v>
      </c>
      <c r="O181" s="9">
        <v>40</v>
      </c>
      <c r="P181" s="9">
        <v>101.958494625011</v>
      </c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9">
        <v>101.94888804201</v>
      </c>
      <c r="AD181" s="9">
        <v>101.958494625011</v>
      </c>
      <c r="AE181" s="9">
        <v>102.444470041999</v>
      </c>
      <c r="AF181" s="9">
        <v>102.444470041999</v>
      </c>
      <c r="AG181" s="9">
        <v>102.444470041999</v>
      </c>
      <c r="AH181" s="9">
        <v>102.93744775000999</v>
      </c>
      <c r="AI181" s="10" t="s">
        <v>59</v>
      </c>
      <c r="AJ181" s="9">
        <v>1</v>
      </c>
      <c r="AK181" s="9">
        <v>0.48540495800261901</v>
      </c>
      <c r="AL181" s="10" t="s">
        <v>51</v>
      </c>
      <c r="AM181" s="8"/>
      <c r="AN181" s="8"/>
      <c r="AO181" s="8"/>
      <c r="AP181" s="8"/>
      <c r="AQ181" s="9">
        <v>3</v>
      </c>
      <c r="AR181" s="9">
        <v>1</v>
      </c>
      <c r="AS181" s="10" t="s">
        <v>94</v>
      </c>
      <c r="AT181" s="10" t="s">
        <v>53</v>
      </c>
      <c r="AU181" s="8"/>
      <c r="AV181" s="10" t="s">
        <v>54</v>
      </c>
      <c r="AW181" s="10" t="s">
        <v>51</v>
      </c>
      <c r="AX181" s="10" t="s">
        <v>95</v>
      </c>
      <c r="AY181" s="8"/>
    </row>
    <row r="182" spans="1:51" x14ac:dyDescent="0.15">
      <c r="A182" s="11" t="s">
        <v>81</v>
      </c>
      <c r="B182" s="12" t="s">
        <v>67</v>
      </c>
      <c r="C182" s="10" t="s">
        <v>58</v>
      </c>
      <c r="D182" s="10" t="s">
        <v>59</v>
      </c>
      <c r="E182" s="9">
        <v>68</v>
      </c>
      <c r="F182" s="9">
        <v>68</v>
      </c>
      <c r="G182" s="9">
        <v>2</v>
      </c>
      <c r="H182" s="10" t="s">
        <v>59</v>
      </c>
      <c r="I182" s="9">
        <v>1</v>
      </c>
      <c r="J182" s="9">
        <v>1.0781564580102001</v>
      </c>
      <c r="K182" s="10" t="s">
        <v>51</v>
      </c>
      <c r="L182" s="9">
        <v>2</v>
      </c>
      <c r="M182" s="9">
        <v>68</v>
      </c>
      <c r="N182" s="9">
        <v>68</v>
      </c>
      <c r="O182" s="9">
        <v>44</v>
      </c>
      <c r="P182" s="9">
        <v>102.95040454200399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9">
        <v>102.941609625006</v>
      </c>
      <c r="AD182" s="9">
        <v>102.95040454200399</v>
      </c>
      <c r="AE182" s="9">
        <v>103.43571087501201</v>
      </c>
      <c r="AF182" s="9">
        <v>103.43571087501201</v>
      </c>
      <c r="AG182" s="9">
        <v>103.43571087501201</v>
      </c>
      <c r="AH182" s="9">
        <v>104.52107329201</v>
      </c>
      <c r="AI182" s="10" t="s">
        <v>59</v>
      </c>
      <c r="AJ182" s="9">
        <v>1</v>
      </c>
      <c r="AK182" s="9">
        <v>1.0781564580102001</v>
      </c>
      <c r="AL182" s="10" t="s">
        <v>51</v>
      </c>
      <c r="AM182" s="8"/>
      <c r="AN182" s="8"/>
      <c r="AO182" s="8"/>
      <c r="AP182" s="8"/>
      <c r="AQ182" s="9">
        <v>3</v>
      </c>
      <c r="AR182" s="9">
        <v>1</v>
      </c>
      <c r="AS182" s="10" t="s">
        <v>94</v>
      </c>
      <c r="AT182" s="10" t="s">
        <v>53</v>
      </c>
      <c r="AU182" s="8"/>
      <c r="AV182" s="10" t="s">
        <v>54</v>
      </c>
      <c r="AW182" s="10" t="s">
        <v>51</v>
      </c>
      <c r="AX182" s="10" t="s">
        <v>95</v>
      </c>
      <c r="AY182" s="8"/>
    </row>
    <row r="183" spans="1:51" x14ac:dyDescent="0.15">
      <c r="A183" s="11" t="s">
        <v>66</v>
      </c>
      <c r="B183" s="12" t="s">
        <v>67</v>
      </c>
      <c r="C183" s="10" t="s">
        <v>62</v>
      </c>
      <c r="D183" s="10" t="s">
        <v>63</v>
      </c>
      <c r="E183" s="9">
        <v>70</v>
      </c>
      <c r="F183" s="9">
        <v>70</v>
      </c>
      <c r="G183" s="9">
        <v>3</v>
      </c>
      <c r="H183" s="10" t="s">
        <v>63</v>
      </c>
      <c r="I183" s="9">
        <v>1</v>
      </c>
      <c r="J183" s="9">
        <v>0.59803916599776097</v>
      </c>
      <c r="K183" s="10" t="s">
        <v>51</v>
      </c>
      <c r="L183" s="9">
        <v>3</v>
      </c>
      <c r="M183" s="9">
        <v>70</v>
      </c>
      <c r="N183" s="9">
        <v>70</v>
      </c>
      <c r="O183" s="9">
        <v>47</v>
      </c>
      <c r="P183" s="9">
        <v>105.485200584008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9">
        <v>105.476194292001</v>
      </c>
      <c r="AD183" s="9">
        <v>105.485200584008</v>
      </c>
      <c r="AE183" s="9">
        <v>105.96897454200401</v>
      </c>
      <c r="AF183" s="9">
        <v>105.96897454200401</v>
      </c>
      <c r="AG183" s="9">
        <v>105.96897454200401</v>
      </c>
      <c r="AH183" s="9">
        <v>106.571182042011</v>
      </c>
      <c r="AI183" s="10" t="s">
        <v>63</v>
      </c>
      <c r="AJ183" s="9">
        <v>1</v>
      </c>
      <c r="AK183" s="9">
        <v>0.59803916599776097</v>
      </c>
      <c r="AL183" s="10" t="s">
        <v>51</v>
      </c>
      <c r="AM183" s="8"/>
      <c r="AN183" s="8"/>
      <c r="AO183" s="8"/>
      <c r="AP183" s="8"/>
      <c r="AQ183" s="9">
        <v>3</v>
      </c>
      <c r="AR183" s="9">
        <v>1</v>
      </c>
      <c r="AS183" s="10" t="s">
        <v>94</v>
      </c>
      <c r="AT183" s="10" t="s">
        <v>53</v>
      </c>
      <c r="AU183" s="8"/>
      <c r="AV183" s="10" t="s">
        <v>54</v>
      </c>
      <c r="AW183" s="10" t="s">
        <v>51</v>
      </c>
      <c r="AX183" s="10" t="s">
        <v>95</v>
      </c>
      <c r="AY183" s="8"/>
    </row>
    <row r="184" spans="1:51" x14ac:dyDescent="0.15">
      <c r="A184" s="11" t="s">
        <v>86</v>
      </c>
      <c r="B184" s="12" t="s">
        <v>67</v>
      </c>
      <c r="C184" s="10" t="s">
        <v>58</v>
      </c>
      <c r="D184" s="10" t="s">
        <v>59</v>
      </c>
      <c r="E184" s="9">
        <v>77</v>
      </c>
      <c r="F184" s="9">
        <v>77</v>
      </c>
      <c r="G184" s="9">
        <v>1</v>
      </c>
      <c r="H184" s="10" t="s">
        <v>59</v>
      </c>
      <c r="I184" s="9">
        <v>1</v>
      </c>
      <c r="J184" s="9">
        <v>0.94015975001093499</v>
      </c>
      <c r="K184" s="10" t="s">
        <v>51</v>
      </c>
      <c r="L184" s="9">
        <v>1</v>
      </c>
      <c r="M184" s="9">
        <v>77</v>
      </c>
      <c r="N184" s="9">
        <v>77</v>
      </c>
      <c r="O184" s="9">
        <v>34</v>
      </c>
      <c r="P184" s="9">
        <v>116.64207300001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9">
        <v>116.632445209005</v>
      </c>
      <c r="AD184" s="9">
        <v>116.64207300001</v>
      </c>
      <c r="AE184" s="9">
        <v>117.12883587500301</v>
      </c>
      <c r="AF184" s="9">
        <v>117.12883587500301</v>
      </c>
      <c r="AG184" s="9">
        <v>117.12883587500301</v>
      </c>
      <c r="AH184" s="9">
        <v>118.071317417009</v>
      </c>
      <c r="AI184" s="10" t="s">
        <v>59</v>
      </c>
      <c r="AJ184" s="9">
        <v>1</v>
      </c>
      <c r="AK184" s="9">
        <v>0.94015975001093499</v>
      </c>
      <c r="AL184" s="10" t="s">
        <v>51</v>
      </c>
      <c r="AM184" s="8"/>
      <c r="AN184" s="8"/>
      <c r="AO184" s="8"/>
      <c r="AP184" s="8"/>
      <c r="AQ184" s="9">
        <v>3</v>
      </c>
      <c r="AR184" s="9">
        <v>1</v>
      </c>
      <c r="AS184" s="10" t="s">
        <v>94</v>
      </c>
      <c r="AT184" s="10" t="s">
        <v>53</v>
      </c>
      <c r="AU184" s="8"/>
      <c r="AV184" s="10" t="s">
        <v>54</v>
      </c>
      <c r="AW184" s="10" t="s">
        <v>51</v>
      </c>
      <c r="AX184" s="10" t="s">
        <v>95</v>
      </c>
      <c r="AY184" s="8"/>
    </row>
    <row r="185" spans="1:51" x14ac:dyDescent="0.15">
      <c r="A185" s="11" t="s">
        <v>80</v>
      </c>
      <c r="B185" s="12" t="s">
        <v>67</v>
      </c>
      <c r="C185" s="10" t="s">
        <v>58</v>
      </c>
      <c r="D185" s="10" t="s">
        <v>59</v>
      </c>
      <c r="E185" s="9">
        <v>81</v>
      </c>
      <c r="F185" s="9">
        <v>81</v>
      </c>
      <c r="G185" s="9">
        <v>1</v>
      </c>
      <c r="H185" s="10" t="s">
        <v>59</v>
      </c>
      <c r="I185" s="9">
        <v>1</v>
      </c>
      <c r="J185" s="9">
        <v>0.45236333299544601</v>
      </c>
      <c r="K185" s="10" t="s">
        <v>51</v>
      </c>
      <c r="L185" s="9">
        <v>1</v>
      </c>
      <c r="M185" s="9">
        <v>81</v>
      </c>
      <c r="N185" s="9">
        <v>81</v>
      </c>
      <c r="O185" s="9">
        <v>32</v>
      </c>
      <c r="P185" s="9">
        <v>121.08507112501</v>
      </c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9">
        <v>121.07657429200501</v>
      </c>
      <c r="AD185" s="9">
        <v>121.08507112501</v>
      </c>
      <c r="AE185" s="9">
        <v>121.56970691701299</v>
      </c>
      <c r="AF185" s="9">
        <v>121.56970691701299</v>
      </c>
      <c r="AG185" s="9">
        <v>121.56970691701299</v>
      </c>
      <c r="AH185" s="9">
        <v>122.02798712501</v>
      </c>
      <c r="AI185" s="10" t="s">
        <v>59</v>
      </c>
      <c r="AJ185" s="9">
        <v>1</v>
      </c>
      <c r="AK185" s="9">
        <v>0.45236333299544601</v>
      </c>
      <c r="AL185" s="10" t="s">
        <v>51</v>
      </c>
      <c r="AM185" s="8"/>
      <c r="AN185" s="8"/>
      <c r="AO185" s="8"/>
      <c r="AP185" s="8"/>
      <c r="AQ185" s="9">
        <v>3</v>
      </c>
      <c r="AR185" s="9">
        <v>1</v>
      </c>
      <c r="AS185" s="10" t="s">
        <v>94</v>
      </c>
      <c r="AT185" s="10" t="s">
        <v>53</v>
      </c>
      <c r="AU185" s="8"/>
      <c r="AV185" s="10" t="s">
        <v>54</v>
      </c>
      <c r="AW185" s="10" t="s">
        <v>51</v>
      </c>
      <c r="AX185" s="10" t="s">
        <v>95</v>
      </c>
      <c r="AY185" s="8"/>
    </row>
    <row r="186" spans="1:51" x14ac:dyDescent="0.15">
      <c r="A186" s="11" t="s">
        <v>69</v>
      </c>
      <c r="B186" s="12" t="s">
        <v>67</v>
      </c>
      <c r="C186" s="10" t="s">
        <v>58</v>
      </c>
      <c r="D186" s="10" t="s">
        <v>59</v>
      </c>
      <c r="E186" s="9">
        <v>82</v>
      </c>
      <c r="F186" s="9">
        <v>82</v>
      </c>
      <c r="G186" s="9">
        <v>1</v>
      </c>
      <c r="H186" s="10" t="s">
        <v>59</v>
      </c>
      <c r="I186" s="9">
        <v>1</v>
      </c>
      <c r="J186" s="9">
        <v>0.407136166002601</v>
      </c>
      <c r="K186" s="10" t="s">
        <v>51</v>
      </c>
      <c r="L186" s="9">
        <v>1</v>
      </c>
      <c r="M186" s="9">
        <v>82</v>
      </c>
      <c r="N186" s="9">
        <v>82</v>
      </c>
      <c r="O186" s="9">
        <v>38</v>
      </c>
      <c r="P186" s="9">
        <v>122.041364917008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9">
        <v>122.032727959013</v>
      </c>
      <c r="AD186" s="9">
        <v>122.041364917008</v>
      </c>
      <c r="AE186" s="9">
        <v>122.52805108400899</v>
      </c>
      <c r="AF186" s="9">
        <v>122.52805108400899</v>
      </c>
      <c r="AG186" s="9">
        <v>122.52805108400899</v>
      </c>
      <c r="AH186" s="9">
        <v>122.938699417005</v>
      </c>
      <c r="AI186" s="10" t="s">
        <v>59</v>
      </c>
      <c r="AJ186" s="9">
        <v>1</v>
      </c>
      <c r="AK186" s="9">
        <v>0.407136166002601</v>
      </c>
      <c r="AL186" s="10" t="s">
        <v>51</v>
      </c>
      <c r="AM186" s="8"/>
      <c r="AN186" s="8"/>
      <c r="AO186" s="8"/>
      <c r="AP186" s="8"/>
      <c r="AQ186" s="9">
        <v>3</v>
      </c>
      <c r="AR186" s="9">
        <v>1</v>
      </c>
      <c r="AS186" s="10" t="s">
        <v>94</v>
      </c>
      <c r="AT186" s="10" t="s">
        <v>53</v>
      </c>
      <c r="AU186" s="8"/>
      <c r="AV186" s="10" t="s">
        <v>54</v>
      </c>
      <c r="AW186" s="10" t="s">
        <v>51</v>
      </c>
      <c r="AX186" s="10" t="s">
        <v>95</v>
      </c>
      <c r="AY186" s="8"/>
    </row>
    <row r="187" spans="1:51" x14ac:dyDescent="0.15">
      <c r="A187" s="11" t="s">
        <v>76</v>
      </c>
      <c r="B187" s="12" t="s">
        <v>67</v>
      </c>
      <c r="C187" s="10" t="s">
        <v>58</v>
      </c>
      <c r="D187" s="10" t="s">
        <v>59</v>
      </c>
      <c r="E187" s="9">
        <v>84</v>
      </c>
      <c r="F187" s="9">
        <v>84</v>
      </c>
      <c r="G187" s="9">
        <v>0</v>
      </c>
      <c r="H187" s="10" t="s">
        <v>59</v>
      </c>
      <c r="I187" s="9">
        <v>1</v>
      </c>
      <c r="J187" s="9">
        <v>0.433923832999426</v>
      </c>
      <c r="K187" s="10" t="s">
        <v>51</v>
      </c>
      <c r="L187" s="9">
        <v>0</v>
      </c>
      <c r="M187" s="9">
        <v>84</v>
      </c>
      <c r="N187" s="9">
        <v>84</v>
      </c>
      <c r="O187" s="9">
        <v>42</v>
      </c>
      <c r="P187" s="9">
        <v>123.835977417009</v>
      </c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9">
        <v>123.82672704200399</v>
      </c>
      <c r="AD187" s="9">
        <v>123.835977417009</v>
      </c>
      <c r="AE187" s="9">
        <v>124.320193750013</v>
      </c>
      <c r="AF187" s="9">
        <v>124.320193750013</v>
      </c>
      <c r="AG187" s="9">
        <v>124.320193750013</v>
      </c>
      <c r="AH187" s="9">
        <v>124.761279500002</v>
      </c>
      <c r="AI187" s="10" t="s">
        <v>59</v>
      </c>
      <c r="AJ187" s="9">
        <v>1</v>
      </c>
      <c r="AK187" s="9">
        <v>0.433923832999426</v>
      </c>
      <c r="AL187" s="10" t="s">
        <v>51</v>
      </c>
      <c r="AM187" s="8"/>
      <c r="AN187" s="8"/>
      <c r="AO187" s="8"/>
      <c r="AP187" s="8"/>
      <c r="AQ187" s="9">
        <v>3</v>
      </c>
      <c r="AR187" s="9">
        <v>1</v>
      </c>
      <c r="AS187" s="10" t="s">
        <v>94</v>
      </c>
      <c r="AT187" s="10" t="s">
        <v>53</v>
      </c>
      <c r="AU187" s="8"/>
      <c r="AV187" s="10" t="s">
        <v>54</v>
      </c>
      <c r="AW187" s="10" t="s">
        <v>51</v>
      </c>
      <c r="AX187" s="10" t="s">
        <v>95</v>
      </c>
      <c r="AY187" s="8"/>
    </row>
    <row r="188" spans="1:51" x14ac:dyDescent="0.15">
      <c r="A188" s="11" t="s">
        <v>82</v>
      </c>
      <c r="B188" s="12" t="s">
        <v>67</v>
      </c>
      <c r="C188" s="10" t="s">
        <v>58</v>
      </c>
      <c r="D188" s="10" t="s">
        <v>59</v>
      </c>
      <c r="E188" s="9">
        <v>86</v>
      </c>
      <c r="F188" s="9">
        <v>86</v>
      </c>
      <c r="G188" s="9">
        <v>1</v>
      </c>
      <c r="H188" s="10" t="s">
        <v>59</v>
      </c>
      <c r="I188" s="9">
        <v>1</v>
      </c>
      <c r="J188" s="9">
        <v>0.35724395800207298</v>
      </c>
      <c r="K188" s="10" t="s">
        <v>51</v>
      </c>
      <c r="L188" s="9">
        <v>1</v>
      </c>
      <c r="M188" s="9">
        <v>86</v>
      </c>
      <c r="N188" s="9">
        <v>86</v>
      </c>
      <c r="O188" s="9">
        <v>36</v>
      </c>
      <c r="P188" s="9">
        <v>125.600715125009</v>
      </c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9">
        <v>125.59217883400601</v>
      </c>
      <c r="AD188" s="9">
        <v>125.600715125009</v>
      </c>
      <c r="AE188" s="9">
        <v>126.086863125005</v>
      </c>
      <c r="AF188" s="9">
        <v>126.086863125005</v>
      </c>
      <c r="AG188" s="9">
        <v>126.086863125005</v>
      </c>
      <c r="AH188" s="9">
        <v>126.45539725</v>
      </c>
      <c r="AI188" s="10" t="s">
        <v>59</v>
      </c>
      <c r="AJ188" s="9">
        <v>1</v>
      </c>
      <c r="AK188" s="9">
        <v>0.35724395800207298</v>
      </c>
      <c r="AL188" s="10" t="s">
        <v>51</v>
      </c>
      <c r="AM188" s="8"/>
      <c r="AN188" s="8"/>
      <c r="AO188" s="8"/>
      <c r="AP188" s="8"/>
      <c r="AQ188" s="9">
        <v>3</v>
      </c>
      <c r="AR188" s="9">
        <v>1</v>
      </c>
      <c r="AS188" s="10" t="s">
        <v>94</v>
      </c>
      <c r="AT188" s="10" t="s">
        <v>53</v>
      </c>
      <c r="AU188" s="8"/>
      <c r="AV188" s="10" t="s">
        <v>54</v>
      </c>
      <c r="AW188" s="10" t="s">
        <v>51</v>
      </c>
      <c r="AX188" s="10" t="s">
        <v>95</v>
      </c>
      <c r="AY188" s="8"/>
    </row>
    <row r="189" spans="1:51" x14ac:dyDescent="0.15">
      <c r="A189" s="11" t="s">
        <v>76</v>
      </c>
      <c r="B189" s="12" t="s">
        <v>67</v>
      </c>
      <c r="C189" s="10" t="s">
        <v>58</v>
      </c>
      <c r="D189" s="10" t="s">
        <v>59</v>
      </c>
      <c r="E189" s="9">
        <v>87</v>
      </c>
      <c r="F189" s="9">
        <v>87</v>
      </c>
      <c r="G189" s="9">
        <v>1</v>
      </c>
      <c r="H189" s="10" t="s">
        <v>59</v>
      </c>
      <c r="I189" s="9">
        <v>1</v>
      </c>
      <c r="J189" s="9">
        <v>0.32992341699719002</v>
      </c>
      <c r="K189" s="10" t="s">
        <v>51</v>
      </c>
      <c r="L189" s="9">
        <v>1</v>
      </c>
      <c r="M189" s="9">
        <v>87</v>
      </c>
      <c r="N189" s="9">
        <v>87</v>
      </c>
      <c r="O189" s="9">
        <v>42</v>
      </c>
      <c r="P189" s="9">
        <v>126.469641417003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9">
        <v>126.460653709</v>
      </c>
      <c r="AD189" s="9">
        <v>126.469641417003</v>
      </c>
      <c r="AE189" s="9">
        <v>126.953294999999</v>
      </c>
      <c r="AF189" s="9">
        <v>126.953294999999</v>
      </c>
      <c r="AG189" s="9">
        <v>126.953294999999</v>
      </c>
      <c r="AH189" s="9">
        <v>127.288725083999</v>
      </c>
      <c r="AI189" s="10" t="s">
        <v>59</v>
      </c>
      <c r="AJ189" s="9">
        <v>1</v>
      </c>
      <c r="AK189" s="9">
        <v>0.32992341699719002</v>
      </c>
      <c r="AL189" s="10" t="s">
        <v>51</v>
      </c>
      <c r="AM189" s="8"/>
      <c r="AN189" s="8"/>
      <c r="AO189" s="8"/>
      <c r="AP189" s="8"/>
      <c r="AQ189" s="9">
        <v>3</v>
      </c>
      <c r="AR189" s="9">
        <v>1</v>
      </c>
      <c r="AS189" s="10" t="s">
        <v>94</v>
      </c>
      <c r="AT189" s="10" t="s">
        <v>53</v>
      </c>
      <c r="AU189" s="8"/>
      <c r="AV189" s="10" t="s">
        <v>54</v>
      </c>
      <c r="AW189" s="10" t="s">
        <v>51</v>
      </c>
      <c r="AX189" s="10" t="s">
        <v>95</v>
      </c>
      <c r="AY189" s="8"/>
    </row>
    <row r="190" spans="1:51" x14ac:dyDescent="0.15">
      <c r="A190" s="11" t="s">
        <v>66</v>
      </c>
      <c r="B190" s="12" t="s">
        <v>67</v>
      </c>
      <c r="C190" s="10" t="s">
        <v>58</v>
      </c>
      <c r="D190" s="10" t="s">
        <v>59</v>
      </c>
      <c r="E190" s="9">
        <v>88</v>
      </c>
      <c r="F190" s="9">
        <v>88</v>
      </c>
      <c r="G190" s="9">
        <v>0</v>
      </c>
      <c r="H190" s="10" t="s">
        <v>59</v>
      </c>
      <c r="I190" s="9">
        <v>1</v>
      </c>
      <c r="J190" s="9">
        <v>0.682948415997089</v>
      </c>
      <c r="K190" s="10" t="s">
        <v>51</v>
      </c>
      <c r="L190" s="9">
        <v>0</v>
      </c>
      <c r="M190" s="9">
        <v>88</v>
      </c>
      <c r="N190" s="9">
        <v>88</v>
      </c>
      <c r="O190" s="9">
        <v>46</v>
      </c>
      <c r="P190" s="9">
        <v>127.30154325001099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9">
        <v>127.292487584011</v>
      </c>
      <c r="AD190" s="9">
        <v>127.30154325001099</v>
      </c>
      <c r="AE190" s="9">
        <v>127.78642275001</v>
      </c>
      <c r="AF190" s="9">
        <v>127.78642275001</v>
      </c>
      <c r="AG190" s="9">
        <v>127.78642275001</v>
      </c>
      <c r="AH190" s="9">
        <v>128.472169250002</v>
      </c>
      <c r="AI190" s="10" t="s">
        <v>59</v>
      </c>
      <c r="AJ190" s="9">
        <v>1</v>
      </c>
      <c r="AK190" s="9">
        <v>0.682948415997089</v>
      </c>
      <c r="AL190" s="10" t="s">
        <v>51</v>
      </c>
      <c r="AM190" s="8"/>
      <c r="AN190" s="8"/>
      <c r="AO190" s="8"/>
      <c r="AP190" s="8"/>
      <c r="AQ190" s="9">
        <v>3</v>
      </c>
      <c r="AR190" s="9">
        <v>1</v>
      </c>
      <c r="AS190" s="10" t="s">
        <v>94</v>
      </c>
      <c r="AT190" s="10" t="s">
        <v>53</v>
      </c>
      <c r="AU190" s="8"/>
      <c r="AV190" s="10" t="s">
        <v>54</v>
      </c>
      <c r="AW190" s="10" t="s">
        <v>51</v>
      </c>
      <c r="AX190" s="10" t="s">
        <v>95</v>
      </c>
      <c r="AY190" s="8"/>
    </row>
    <row r="191" spans="1:51" x14ac:dyDescent="0.15">
      <c r="A191" s="11" t="s">
        <v>69</v>
      </c>
      <c r="B191" s="12" t="s">
        <v>67</v>
      </c>
      <c r="C191" s="10" t="s">
        <v>62</v>
      </c>
      <c r="D191" s="10" t="s">
        <v>63</v>
      </c>
      <c r="E191" s="9">
        <v>92</v>
      </c>
      <c r="F191" s="9">
        <v>92</v>
      </c>
      <c r="G191" s="9">
        <v>0</v>
      </c>
      <c r="H191" s="10" t="s">
        <v>63</v>
      </c>
      <c r="I191" s="9">
        <v>1</v>
      </c>
      <c r="J191" s="9">
        <v>0.46163754099688997</v>
      </c>
      <c r="K191" s="10" t="s">
        <v>51</v>
      </c>
      <c r="L191" s="9">
        <v>0</v>
      </c>
      <c r="M191" s="9">
        <v>92</v>
      </c>
      <c r="N191" s="9">
        <v>92</v>
      </c>
      <c r="O191" s="9">
        <v>39</v>
      </c>
      <c r="P191" s="9">
        <v>131.675539917007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9">
        <v>131.666098750007</v>
      </c>
      <c r="AD191" s="9">
        <v>131.675539917007</v>
      </c>
      <c r="AE191" s="9">
        <v>132.16265675000599</v>
      </c>
      <c r="AF191" s="9">
        <v>132.16265675000599</v>
      </c>
      <c r="AG191" s="9">
        <v>132.16265675000599</v>
      </c>
      <c r="AH191" s="9">
        <v>132.62796841700001</v>
      </c>
      <c r="AI191" s="10" t="s">
        <v>63</v>
      </c>
      <c r="AJ191" s="9">
        <v>1</v>
      </c>
      <c r="AK191" s="9">
        <v>0.46163754099688997</v>
      </c>
      <c r="AL191" s="10" t="s">
        <v>51</v>
      </c>
      <c r="AM191" s="8"/>
      <c r="AN191" s="8"/>
      <c r="AO191" s="8"/>
      <c r="AP191" s="8"/>
      <c r="AQ191" s="9">
        <v>3</v>
      </c>
      <c r="AR191" s="9">
        <v>1</v>
      </c>
      <c r="AS191" s="10" t="s">
        <v>94</v>
      </c>
      <c r="AT191" s="10" t="s">
        <v>53</v>
      </c>
      <c r="AU191" s="8"/>
      <c r="AV191" s="10" t="s">
        <v>54</v>
      </c>
      <c r="AW191" s="10" t="s">
        <v>51</v>
      </c>
      <c r="AX191" s="10" t="s">
        <v>95</v>
      </c>
      <c r="AY191" s="8"/>
    </row>
    <row r="192" spans="1:51" x14ac:dyDescent="0.15">
      <c r="A192" s="11" t="s">
        <v>69</v>
      </c>
      <c r="B192" s="12" t="s">
        <v>67</v>
      </c>
      <c r="C192" s="10" t="s">
        <v>62</v>
      </c>
      <c r="D192" s="10" t="s">
        <v>63</v>
      </c>
      <c r="E192" s="9">
        <v>99</v>
      </c>
      <c r="F192" s="9">
        <v>99</v>
      </c>
      <c r="G192" s="9">
        <v>1</v>
      </c>
      <c r="H192" s="10" t="s">
        <v>63</v>
      </c>
      <c r="I192" s="9">
        <v>1</v>
      </c>
      <c r="J192" s="9">
        <v>0.36920199998712599</v>
      </c>
      <c r="K192" s="10" t="s">
        <v>51</v>
      </c>
      <c r="L192" s="9">
        <v>1</v>
      </c>
      <c r="M192" s="9">
        <v>99</v>
      </c>
      <c r="N192" s="9">
        <v>99</v>
      </c>
      <c r="O192" s="9">
        <v>39</v>
      </c>
      <c r="P192" s="9">
        <v>140.542383209002</v>
      </c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9">
        <v>140.53289358400801</v>
      </c>
      <c r="AD192" s="9">
        <v>140.542383209002</v>
      </c>
      <c r="AE192" s="9">
        <v>141.03033824999901</v>
      </c>
      <c r="AF192" s="9">
        <v>141.03033824999901</v>
      </c>
      <c r="AG192" s="9">
        <v>141.03033824999901</v>
      </c>
      <c r="AH192" s="9">
        <v>141.40581854199999</v>
      </c>
      <c r="AI192" s="10" t="s">
        <v>63</v>
      </c>
      <c r="AJ192" s="9">
        <v>1</v>
      </c>
      <c r="AK192" s="9">
        <v>0.36920199998712599</v>
      </c>
      <c r="AL192" s="10" t="s">
        <v>51</v>
      </c>
      <c r="AM192" s="8"/>
      <c r="AN192" s="8"/>
      <c r="AO192" s="8"/>
      <c r="AP192" s="8"/>
      <c r="AQ192" s="9">
        <v>3</v>
      </c>
      <c r="AR192" s="9">
        <v>1</v>
      </c>
      <c r="AS192" s="10" t="s">
        <v>94</v>
      </c>
      <c r="AT192" s="10" t="s">
        <v>53</v>
      </c>
      <c r="AU192" s="8"/>
      <c r="AV192" s="10" t="s">
        <v>54</v>
      </c>
      <c r="AW192" s="10" t="s">
        <v>51</v>
      </c>
      <c r="AX192" s="10" t="s">
        <v>95</v>
      </c>
      <c r="AY192" s="8"/>
    </row>
    <row r="193" spans="1:51" x14ac:dyDescent="0.15">
      <c r="A193" s="11" t="s">
        <v>80</v>
      </c>
      <c r="B193" s="12" t="s">
        <v>67</v>
      </c>
      <c r="C193" s="10" t="s">
        <v>62</v>
      </c>
      <c r="D193" s="10" t="s">
        <v>63</v>
      </c>
      <c r="E193" s="9">
        <v>105</v>
      </c>
      <c r="F193" s="9">
        <v>105</v>
      </c>
      <c r="G193" s="9">
        <v>1</v>
      </c>
      <c r="H193" s="10" t="s">
        <v>63</v>
      </c>
      <c r="I193" s="9">
        <v>1</v>
      </c>
      <c r="J193" s="9">
        <v>0.56597962499654397</v>
      </c>
      <c r="K193" s="10" t="s">
        <v>51</v>
      </c>
      <c r="L193" s="9">
        <v>1</v>
      </c>
      <c r="M193" s="9">
        <v>105</v>
      </c>
      <c r="N193" s="9">
        <v>105</v>
      </c>
      <c r="O193" s="9">
        <v>33</v>
      </c>
      <c r="P193" s="9">
        <v>147.20243533400901</v>
      </c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9">
        <v>147.19377358400399</v>
      </c>
      <c r="AD193" s="9">
        <v>147.20243533400901</v>
      </c>
      <c r="AE193" s="9">
        <v>147.68769733401101</v>
      </c>
      <c r="AF193" s="9">
        <v>147.68769733401101</v>
      </c>
      <c r="AG193" s="9">
        <v>147.68769733401101</v>
      </c>
      <c r="AH193" s="9">
        <v>148.25605558400301</v>
      </c>
      <c r="AI193" s="10" t="s">
        <v>63</v>
      </c>
      <c r="AJ193" s="9">
        <v>1</v>
      </c>
      <c r="AK193" s="9">
        <v>0.56597962499654397</v>
      </c>
      <c r="AL193" s="10" t="s">
        <v>51</v>
      </c>
      <c r="AM193" s="8"/>
      <c r="AN193" s="8"/>
      <c r="AO193" s="8"/>
      <c r="AP193" s="8"/>
      <c r="AQ193" s="9">
        <v>3</v>
      </c>
      <c r="AR193" s="9">
        <v>1</v>
      </c>
      <c r="AS193" s="10" t="s">
        <v>94</v>
      </c>
      <c r="AT193" s="10" t="s">
        <v>53</v>
      </c>
      <c r="AU193" s="8"/>
      <c r="AV193" s="10" t="s">
        <v>54</v>
      </c>
      <c r="AW193" s="10" t="s">
        <v>51</v>
      </c>
      <c r="AX193" s="10" t="s">
        <v>95</v>
      </c>
      <c r="AY193" s="8"/>
    </row>
    <row r="194" spans="1:51" x14ac:dyDescent="0.15">
      <c r="A194" s="11" t="s">
        <v>69</v>
      </c>
      <c r="B194" s="12" t="s">
        <v>67</v>
      </c>
      <c r="C194" s="10" t="s">
        <v>62</v>
      </c>
      <c r="D194" s="10" t="s">
        <v>63</v>
      </c>
      <c r="E194" s="9">
        <v>110</v>
      </c>
      <c r="F194" s="9">
        <v>110</v>
      </c>
      <c r="G194" s="9">
        <v>2</v>
      </c>
      <c r="H194" s="10" t="s">
        <v>63</v>
      </c>
      <c r="I194" s="9">
        <v>1</v>
      </c>
      <c r="J194" s="9">
        <v>0.39880075000110099</v>
      </c>
      <c r="K194" s="10" t="s">
        <v>51</v>
      </c>
      <c r="L194" s="9">
        <v>2</v>
      </c>
      <c r="M194" s="9">
        <v>110</v>
      </c>
      <c r="N194" s="9">
        <v>110</v>
      </c>
      <c r="O194" s="9">
        <v>39</v>
      </c>
      <c r="P194" s="9">
        <v>152.470417375007</v>
      </c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9">
        <v>152.46145583401099</v>
      </c>
      <c r="AD194" s="9">
        <v>152.470417375007</v>
      </c>
      <c r="AE194" s="9">
        <v>152.95404833401</v>
      </c>
      <c r="AF194" s="9">
        <v>152.95404833401</v>
      </c>
      <c r="AG194" s="9">
        <v>152.95404833401</v>
      </c>
      <c r="AH194" s="9">
        <v>153.35659175000899</v>
      </c>
      <c r="AI194" s="10" t="s">
        <v>63</v>
      </c>
      <c r="AJ194" s="9">
        <v>1</v>
      </c>
      <c r="AK194" s="9">
        <v>0.39880075000110099</v>
      </c>
      <c r="AL194" s="10" t="s">
        <v>51</v>
      </c>
      <c r="AM194" s="8"/>
      <c r="AN194" s="8"/>
      <c r="AO194" s="8"/>
      <c r="AP194" s="8"/>
      <c r="AQ194" s="9">
        <v>3</v>
      </c>
      <c r="AR194" s="9">
        <v>1</v>
      </c>
      <c r="AS194" s="10" t="s">
        <v>94</v>
      </c>
      <c r="AT194" s="10" t="s">
        <v>53</v>
      </c>
      <c r="AU194" s="8"/>
      <c r="AV194" s="10" t="s">
        <v>54</v>
      </c>
      <c r="AW194" s="10" t="s">
        <v>51</v>
      </c>
      <c r="AX194" s="10" t="s">
        <v>95</v>
      </c>
      <c r="AY194" s="8"/>
    </row>
    <row r="195" spans="1:51" x14ac:dyDescent="0.15">
      <c r="A195" s="11" t="s">
        <v>82</v>
      </c>
      <c r="B195" s="12" t="s">
        <v>67</v>
      </c>
      <c r="C195" s="10" t="s">
        <v>62</v>
      </c>
      <c r="D195" s="10" t="s">
        <v>63</v>
      </c>
      <c r="E195" s="9">
        <v>121</v>
      </c>
      <c r="F195" s="9">
        <v>121</v>
      </c>
      <c r="G195" s="9">
        <v>2</v>
      </c>
      <c r="H195" s="10" t="s">
        <v>63</v>
      </c>
      <c r="I195" s="9">
        <v>1</v>
      </c>
      <c r="J195" s="9">
        <v>0.510481375007657</v>
      </c>
      <c r="K195" s="10" t="s">
        <v>51</v>
      </c>
      <c r="L195" s="9">
        <v>2</v>
      </c>
      <c r="M195" s="9">
        <v>121</v>
      </c>
      <c r="N195" s="9">
        <v>121</v>
      </c>
      <c r="O195" s="9">
        <v>37</v>
      </c>
      <c r="P195" s="9">
        <v>165.69327583401201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9">
        <v>165.682889750009</v>
      </c>
      <c r="AD195" s="9">
        <v>165.69327583401201</v>
      </c>
      <c r="AE195" s="9">
        <v>166.18045174999901</v>
      </c>
      <c r="AF195" s="9">
        <v>166.18045174999901</v>
      </c>
      <c r="AG195" s="9">
        <v>166.18045174999901</v>
      </c>
      <c r="AH195" s="9">
        <v>166.695604584005</v>
      </c>
      <c r="AI195" s="10" t="s">
        <v>63</v>
      </c>
      <c r="AJ195" s="9">
        <v>1</v>
      </c>
      <c r="AK195" s="9">
        <v>0.510481375007657</v>
      </c>
      <c r="AL195" s="10" t="s">
        <v>51</v>
      </c>
      <c r="AM195" s="8"/>
      <c r="AN195" s="8"/>
      <c r="AO195" s="8"/>
      <c r="AP195" s="8"/>
      <c r="AQ195" s="9">
        <v>3</v>
      </c>
      <c r="AR195" s="9">
        <v>1</v>
      </c>
      <c r="AS195" s="10" t="s">
        <v>94</v>
      </c>
      <c r="AT195" s="10" t="s">
        <v>53</v>
      </c>
      <c r="AU195" s="8"/>
      <c r="AV195" s="10" t="s">
        <v>54</v>
      </c>
      <c r="AW195" s="10" t="s">
        <v>51</v>
      </c>
      <c r="AX195" s="10" t="s">
        <v>95</v>
      </c>
      <c r="AY195" s="8"/>
    </row>
    <row r="196" spans="1:51" x14ac:dyDescent="0.15">
      <c r="A196" s="11" t="s">
        <v>86</v>
      </c>
      <c r="B196" s="12" t="s">
        <v>67</v>
      </c>
      <c r="C196" s="10" t="s">
        <v>58</v>
      </c>
      <c r="D196" s="10" t="s">
        <v>59</v>
      </c>
      <c r="E196" s="9">
        <v>125</v>
      </c>
      <c r="F196" s="9">
        <v>125</v>
      </c>
      <c r="G196" s="9">
        <v>2</v>
      </c>
      <c r="H196" s="10" t="s">
        <v>59</v>
      </c>
      <c r="I196" s="9">
        <v>1</v>
      </c>
      <c r="J196" s="9">
        <v>0.55747379100648697</v>
      </c>
      <c r="K196" s="10" t="s">
        <v>51</v>
      </c>
      <c r="L196" s="9">
        <v>2</v>
      </c>
      <c r="M196" s="9">
        <v>125</v>
      </c>
      <c r="N196" s="9">
        <v>125</v>
      </c>
      <c r="O196" s="9">
        <v>34</v>
      </c>
      <c r="P196" s="9">
        <v>169.85443125000199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9">
        <v>169.84537579200699</v>
      </c>
      <c r="AD196" s="9">
        <v>169.85443125000199</v>
      </c>
      <c r="AE196" s="9">
        <v>170.33852337500099</v>
      </c>
      <c r="AF196" s="9">
        <v>170.33852337500099</v>
      </c>
      <c r="AG196" s="9">
        <v>170.33852337500099</v>
      </c>
      <c r="AH196" s="9">
        <v>170.90694979199901</v>
      </c>
      <c r="AI196" s="10" t="s">
        <v>59</v>
      </c>
      <c r="AJ196" s="9">
        <v>1</v>
      </c>
      <c r="AK196" s="9">
        <v>0.55747379100648697</v>
      </c>
      <c r="AL196" s="10" t="s">
        <v>51</v>
      </c>
      <c r="AM196" s="8"/>
      <c r="AN196" s="8"/>
      <c r="AO196" s="8"/>
      <c r="AP196" s="8"/>
      <c r="AQ196" s="9">
        <v>3</v>
      </c>
      <c r="AR196" s="9">
        <v>1</v>
      </c>
      <c r="AS196" s="10" t="s">
        <v>94</v>
      </c>
      <c r="AT196" s="10" t="s">
        <v>53</v>
      </c>
      <c r="AU196" s="8"/>
      <c r="AV196" s="10" t="s">
        <v>54</v>
      </c>
      <c r="AW196" s="10" t="s">
        <v>51</v>
      </c>
      <c r="AX196" s="10" t="s">
        <v>95</v>
      </c>
      <c r="AY196" s="8"/>
    </row>
    <row r="197" spans="1:51" x14ac:dyDescent="0.15">
      <c r="A197" s="11" t="s">
        <v>81</v>
      </c>
      <c r="B197" s="12" t="s">
        <v>67</v>
      </c>
      <c r="C197" s="10" t="s">
        <v>62</v>
      </c>
      <c r="D197" s="10" t="s">
        <v>63</v>
      </c>
      <c r="E197" s="9">
        <v>130</v>
      </c>
      <c r="F197" s="9">
        <v>130</v>
      </c>
      <c r="G197" s="9">
        <v>2</v>
      </c>
      <c r="H197" s="10" t="s">
        <v>63</v>
      </c>
      <c r="I197" s="9">
        <v>1</v>
      </c>
      <c r="J197" s="9">
        <v>0.72366074999445096</v>
      </c>
      <c r="K197" s="10" t="s">
        <v>51</v>
      </c>
      <c r="L197" s="9">
        <v>2</v>
      </c>
      <c r="M197" s="9">
        <v>130</v>
      </c>
      <c r="N197" s="9">
        <v>130</v>
      </c>
      <c r="O197" s="9">
        <v>45</v>
      </c>
      <c r="P197" s="9">
        <v>174.88676800001099</v>
      </c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9">
        <v>174.87816908401101</v>
      </c>
      <c r="AD197" s="9">
        <v>174.88676800001099</v>
      </c>
      <c r="AE197" s="9">
        <v>175.371484584</v>
      </c>
      <c r="AF197" s="9">
        <v>175.371484584</v>
      </c>
      <c r="AG197" s="9">
        <v>175.371484584</v>
      </c>
      <c r="AH197" s="9">
        <v>176.107097709013</v>
      </c>
      <c r="AI197" s="10" t="s">
        <v>63</v>
      </c>
      <c r="AJ197" s="9">
        <v>1</v>
      </c>
      <c r="AK197" s="9">
        <v>0.72366074999445096</v>
      </c>
      <c r="AL197" s="10" t="s">
        <v>51</v>
      </c>
      <c r="AM197" s="8"/>
      <c r="AN197" s="8"/>
      <c r="AO197" s="8"/>
      <c r="AP197" s="8"/>
      <c r="AQ197" s="9">
        <v>3</v>
      </c>
      <c r="AR197" s="9">
        <v>1</v>
      </c>
      <c r="AS197" s="10" t="s">
        <v>94</v>
      </c>
      <c r="AT197" s="10" t="s">
        <v>53</v>
      </c>
      <c r="AU197" s="8"/>
      <c r="AV197" s="10" t="s">
        <v>54</v>
      </c>
      <c r="AW197" s="10" t="s">
        <v>51</v>
      </c>
      <c r="AX197" s="10" t="s">
        <v>95</v>
      </c>
      <c r="AY197" s="8"/>
    </row>
    <row r="198" spans="1:51" x14ac:dyDescent="0.15">
      <c r="A198" s="11" t="s">
        <v>77</v>
      </c>
      <c r="B198" s="12" t="s">
        <v>67</v>
      </c>
      <c r="C198" s="10" t="s">
        <v>58</v>
      </c>
      <c r="D198" s="10" t="s">
        <v>59</v>
      </c>
      <c r="E198" s="9">
        <v>136</v>
      </c>
      <c r="F198" s="9">
        <v>136</v>
      </c>
      <c r="G198" s="9">
        <v>1</v>
      </c>
      <c r="H198" s="10" t="s">
        <v>59</v>
      </c>
      <c r="I198" s="9">
        <v>1</v>
      </c>
      <c r="J198" s="9">
        <v>0.45804470799339497</v>
      </c>
      <c r="K198" s="10" t="s">
        <v>51</v>
      </c>
      <c r="L198" s="9">
        <v>1</v>
      </c>
      <c r="M198" s="9">
        <v>136</v>
      </c>
      <c r="N198" s="9">
        <v>136</v>
      </c>
      <c r="O198" s="9">
        <v>40</v>
      </c>
      <c r="P198" s="9">
        <v>180.988274042</v>
      </c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9">
        <v>180.97905816701001</v>
      </c>
      <c r="AD198" s="9">
        <v>180.988274042</v>
      </c>
      <c r="AE198" s="9">
        <v>181.472152209011</v>
      </c>
      <c r="AF198" s="9">
        <v>181.472152209011</v>
      </c>
      <c r="AG198" s="9">
        <v>181.472152209011</v>
      </c>
      <c r="AH198" s="9">
        <v>181.94055912501099</v>
      </c>
      <c r="AI198" s="10" t="s">
        <v>59</v>
      </c>
      <c r="AJ198" s="9">
        <v>1</v>
      </c>
      <c r="AK198" s="9">
        <v>0.45804470799339497</v>
      </c>
      <c r="AL198" s="10" t="s">
        <v>51</v>
      </c>
      <c r="AM198" s="8"/>
      <c r="AN198" s="8"/>
      <c r="AO198" s="8"/>
      <c r="AP198" s="8"/>
      <c r="AQ198" s="9">
        <v>3</v>
      </c>
      <c r="AR198" s="9">
        <v>1</v>
      </c>
      <c r="AS198" s="10" t="s">
        <v>94</v>
      </c>
      <c r="AT198" s="10" t="s">
        <v>53</v>
      </c>
      <c r="AU198" s="8"/>
      <c r="AV198" s="10" t="s">
        <v>54</v>
      </c>
      <c r="AW198" s="10" t="s">
        <v>51</v>
      </c>
      <c r="AX198" s="10" t="s">
        <v>95</v>
      </c>
      <c r="AY198" s="8"/>
    </row>
    <row r="199" spans="1:51" x14ac:dyDescent="0.15">
      <c r="A199" s="11" t="s">
        <v>69</v>
      </c>
      <c r="B199" s="12" t="s">
        <v>67</v>
      </c>
      <c r="C199" s="10" t="s">
        <v>58</v>
      </c>
      <c r="D199" s="10" t="s">
        <v>59</v>
      </c>
      <c r="E199" s="9">
        <v>137</v>
      </c>
      <c r="F199" s="9">
        <v>137</v>
      </c>
      <c r="G199" s="9">
        <v>2</v>
      </c>
      <c r="H199" s="10" t="s">
        <v>59</v>
      </c>
      <c r="I199" s="9">
        <v>1</v>
      </c>
      <c r="J199" s="9">
        <v>0.416838417004328</v>
      </c>
      <c r="K199" s="10" t="s">
        <v>51</v>
      </c>
      <c r="L199" s="9">
        <v>2</v>
      </c>
      <c r="M199" s="9">
        <v>137</v>
      </c>
      <c r="N199" s="9">
        <v>137</v>
      </c>
      <c r="O199" s="9">
        <v>38</v>
      </c>
      <c r="P199" s="9">
        <v>181.954505000002</v>
      </c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9">
        <v>181.94542166701299</v>
      </c>
      <c r="AD199" s="9">
        <v>181.954505000002</v>
      </c>
      <c r="AE199" s="9">
        <v>182.43854229200201</v>
      </c>
      <c r="AF199" s="9">
        <v>182.43854229200201</v>
      </c>
      <c r="AG199" s="9">
        <v>182.43854229200201</v>
      </c>
      <c r="AH199" s="9">
        <v>182.857207375011</v>
      </c>
      <c r="AI199" s="10" t="s">
        <v>59</v>
      </c>
      <c r="AJ199" s="9">
        <v>1</v>
      </c>
      <c r="AK199" s="9">
        <v>0.416838417004328</v>
      </c>
      <c r="AL199" s="10" t="s">
        <v>51</v>
      </c>
      <c r="AM199" s="8"/>
      <c r="AN199" s="8"/>
      <c r="AO199" s="8"/>
      <c r="AP199" s="8"/>
      <c r="AQ199" s="9">
        <v>3</v>
      </c>
      <c r="AR199" s="9">
        <v>1</v>
      </c>
      <c r="AS199" s="10" t="s">
        <v>94</v>
      </c>
      <c r="AT199" s="10" t="s">
        <v>53</v>
      </c>
      <c r="AU199" s="8"/>
      <c r="AV199" s="10" t="s">
        <v>54</v>
      </c>
      <c r="AW199" s="10" t="s">
        <v>51</v>
      </c>
      <c r="AX199" s="10" t="s">
        <v>95</v>
      </c>
      <c r="AY199" s="8"/>
    </row>
    <row r="200" spans="1:51" x14ac:dyDescent="0.15">
      <c r="A200" s="11" t="s">
        <v>76</v>
      </c>
      <c r="B200" s="12" t="s">
        <v>67</v>
      </c>
      <c r="C200" s="10" t="s">
        <v>62</v>
      </c>
      <c r="D200" s="10" t="s">
        <v>63</v>
      </c>
      <c r="E200" s="9">
        <v>139</v>
      </c>
      <c r="F200" s="9">
        <v>139</v>
      </c>
      <c r="G200" s="9">
        <v>2</v>
      </c>
      <c r="H200" s="10" t="s">
        <v>63</v>
      </c>
      <c r="I200" s="9">
        <v>1</v>
      </c>
      <c r="J200" s="9">
        <v>1.09308954200242</v>
      </c>
      <c r="K200" s="10" t="s">
        <v>51</v>
      </c>
      <c r="L200" s="9">
        <v>2</v>
      </c>
      <c r="M200" s="9">
        <v>139</v>
      </c>
      <c r="N200" s="9">
        <v>139</v>
      </c>
      <c r="O200" s="9">
        <v>43</v>
      </c>
      <c r="P200" s="9">
        <v>184.12156704200601</v>
      </c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9">
        <v>184.11244041701099</v>
      </c>
      <c r="AD200" s="9">
        <v>184.12156704200601</v>
      </c>
      <c r="AE200" s="9">
        <v>184.605309750012</v>
      </c>
      <c r="AF200" s="9">
        <v>184.605309750012</v>
      </c>
      <c r="AG200" s="9">
        <v>184.605309750012</v>
      </c>
      <c r="AH200" s="9">
        <v>185.70747475000101</v>
      </c>
      <c r="AI200" s="10" t="s">
        <v>63</v>
      </c>
      <c r="AJ200" s="9">
        <v>1</v>
      </c>
      <c r="AK200" s="9">
        <v>1.09308954200242</v>
      </c>
      <c r="AL200" s="10" t="s">
        <v>51</v>
      </c>
      <c r="AM200" s="8"/>
      <c r="AN200" s="8"/>
      <c r="AO200" s="8"/>
      <c r="AP200" s="8"/>
      <c r="AQ200" s="9">
        <v>3</v>
      </c>
      <c r="AR200" s="9">
        <v>1</v>
      </c>
      <c r="AS200" s="10" t="s">
        <v>94</v>
      </c>
      <c r="AT200" s="10" t="s">
        <v>53</v>
      </c>
      <c r="AU200" s="8"/>
      <c r="AV200" s="10" t="s">
        <v>54</v>
      </c>
      <c r="AW200" s="10" t="s">
        <v>51</v>
      </c>
      <c r="AX200" s="10" t="s">
        <v>95</v>
      </c>
      <c r="AY200" s="8"/>
    </row>
    <row r="201" spans="1:51" x14ac:dyDescent="0.15">
      <c r="A201" s="11" t="s">
        <v>86</v>
      </c>
      <c r="B201" s="12" t="s">
        <v>67</v>
      </c>
      <c r="C201" s="10" t="s">
        <v>62</v>
      </c>
      <c r="D201" s="10" t="s">
        <v>63</v>
      </c>
      <c r="E201" s="9">
        <v>144</v>
      </c>
      <c r="F201" s="9">
        <v>144</v>
      </c>
      <c r="G201" s="9">
        <v>2</v>
      </c>
      <c r="H201" s="10" t="s">
        <v>63</v>
      </c>
      <c r="I201" s="9">
        <v>1</v>
      </c>
      <c r="J201" s="9">
        <v>0.65492662400356505</v>
      </c>
      <c r="K201" s="10" t="s">
        <v>51</v>
      </c>
      <c r="L201" s="9">
        <v>2</v>
      </c>
      <c r="M201" s="9">
        <v>144</v>
      </c>
      <c r="N201" s="9">
        <v>144</v>
      </c>
      <c r="O201" s="9">
        <v>35</v>
      </c>
      <c r="P201" s="9">
        <v>190.47215662500801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9">
        <v>190.46295208401</v>
      </c>
      <c r="AD201" s="9">
        <v>190.47215662500801</v>
      </c>
      <c r="AE201" s="9">
        <v>190.955489542001</v>
      </c>
      <c r="AF201" s="9">
        <v>190.955489542001</v>
      </c>
      <c r="AG201" s="9">
        <v>190.955489542001</v>
      </c>
      <c r="AH201" s="9">
        <v>191.613555042</v>
      </c>
      <c r="AI201" s="10" t="s">
        <v>63</v>
      </c>
      <c r="AJ201" s="9">
        <v>1</v>
      </c>
      <c r="AK201" s="9">
        <v>0.65492662400356505</v>
      </c>
      <c r="AL201" s="10" t="s">
        <v>51</v>
      </c>
      <c r="AM201" s="8"/>
      <c r="AN201" s="8"/>
      <c r="AO201" s="8"/>
      <c r="AP201" s="8"/>
      <c r="AQ201" s="9">
        <v>3</v>
      </c>
      <c r="AR201" s="9">
        <v>1</v>
      </c>
      <c r="AS201" s="10" t="s">
        <v>94</v>
      </c>
      <c r="AT201" s="10" t="s">
        <v>53</v>
      </c>
      <c r="AU201" s="8"/>
      <c r="AV201" s="10" t="s">
        <v>54</v>
      </c>
      <c r="AW201" s="10" t="s">
        <v>51</v>
      </c>
      <c r="AX201" s="10" t="s">
        <v>95</v>
      </c>
      <c r="AY201" s="8"/>
    </row>
    <row r="202" spans="1:51" x14ac:dyDescent="0.15">
      <c r="A202" s="11" t="s">
        <v>76</v>
      </c>
      <c r="B202" s="12" t="s">
        <v>67</v>
      </c>
      <c r="C202" s="10" t="s">
        <v>62</v>
      </c>
      <c r="D202" s="10" t="s">
        <v>63</v>
      </c>
      <c r="E202" s="9">
        <v>145</v>
      </c>
      <c r="F202" s="9">
        <v>145</v>
      </c>
      <c r="G202" s="9">
        <v>3</v>
      </c>
      <c r="H202" s="10" t="s">
        <v>63</v>
      </c>
      <c r="I202" s="9">
        <v>1</v>
      </c>
      <c r="J202" s="9">
        <v>0.56664800000726301</v>
      </c>
      <c r="K202" s="10" t="s">
        <v>51</v>
      </c>
      <c r="L202" s="9">
        <v>3</v>
      </c>
      <c r="M202" s="9">
        <v>145</v>
      </c>
      <c r="N202" s="9">
        <v>145</v>
      </c>
      <c r="O202" s="9">
        <v>43</v>
      </c>
      <c r="P202" s="9">
        <v>191.62673991700299</v>
      </c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9">
        <v>191.61750162500499</v>
      </c>
      <c r="AD202" s="9">
        <v>191.62673991700299</v>
      </c>
      <c r="AE202" s="9">
        <v>192.11584137500901</v>
      </c>
      <c r="AF202" s="9">
        <v>192.11584137500901</v>
      </c>
      <c r="AG202" s="9">
        <v>192.11584137500901</v>
      </c>
      <c r="AH202" s="9">
        <v>192.690807084</v>
      </c>
      <c r="AI202" s="10" t="s">
        <v>63</v>
      </c>
      <c r="AJ202" s="9">
        <v>1</v>
      </c>
      <c r="AK202" s="9">
        <v>0.56664800000726301</v>
      </c>
      <c r="AL202" s="10" t="s">
        <v>51</v>
      </c>
      <c r="AM202" s="8"/>
      <c r="AN202" s="8"/>
      <c r="AO202" s="8"/>
      <c r="AP202" s="8"/>
      <c r="AQ202" s="9">
        <v>3</v>
      </c>
      <c r="AR202" s="9">
        <v>1</v>
      </c>
      <c r="AS202" s="10" t="s">
        <v>94</v>
      </c>
      <c r="AT202" s="10" t="s">
        <v>53</v>
      </c>
      <c r="AU202" s="8"/>
      <c r="AV202" s="10" t="s">
        <v>54</v>
      </c>
      <c r="AW202" s="10" t="s">
        <v>51</v>
      </c>
      <c r="AX202" s="10" t="s">
        <v>95</v>
      </c>
      <c r="AY202" s="8"/>
    </row>
    <row r="203" spans="1:51" x14ac:dyDescent="0.15">
      <c r="A203" s="11" t="s">
        <v>76</v>
      </c>
      <c r="B203" s="12" t="s">
        <v>67</v>
      </c>
      <c r="C203" s="10" t="s">
        <v>58</v>
      </c>
      <c r="D203" s="10" t="s">
        <v>59</v>
      </c>
      <c r="E203" s="9">
        <v>146</v>
      </c>
      <c r="F203" s="9">
        <v>146</v>
      </c>
      <c r="G203" s="9">
        <v>2</v>
      </c>
      <c r="H203" s="10" t="s">
        <v>59</v>
      </c>
      <c r="I203" s="9">
        <v>1</v>
      </c>
      <c r="J203" s="9">
        <v>0.43044954200740898</v>
      </c>
      <c r="K203" s="10" t="s">
        <v>51</v>
      </c>
      <c r="L203" s="9">
        <v>2</v>
      </c>
      <c r="M203" s="9">
        <v>146</v>
      </c>
      <c r="N203" s="9">
        <v>146</v>
      </c>
      <c r="O203" s="9">
        <v>42</v>
      </c>
      <c r="P203" s="9">
        <v>192.701171000008</v>
      </c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9">
        <v>192.691794375001</v>
      </c>
      <c r="AD203" s="9">
        <v>192.701171000008</v>
      </c>
      <c r="AE203" s="9">
        <v>193.18928837501201</v>
      </c>
      <c r="AF203" s="9">
        <v>193.18928837501201</v>
      </c>
      <c r="AG203" s="9">
        <v>193.18928837501201</v>
      </c>
      <c r="AH203" s="9">
        <v>193.62434620900601</v>
      </c>
      <c r="AI203" s="10" t="s">
        <v>59</v>
      </c>
      <c r="AJ203" s="9">
        <v>1</v>
      </c>
      <c r="AK203" s="9">
        <v>0.43044954200740898</v>
      </c>
      <c r="AL203" s="10" t="s">
        <v>51</v>
      </c>
      <c r="AM203" s="8"/>
      <c r="AN203" s="8"/>
      <c r="AO203" s="8"/>
      <c r="AP203" s="8"/>
      <c r="AQ203" s="9">
        <v>3</v>
      </c>
      <c r="AR203" s="9">
        <v>1</v>
      </c>
      <c r="AS203" s="10" t="s">
        <v>94</v>
      </c>
      <c r="AT203" s="10" t="s">
        <v>53</v>
      </c>
      <c r="AU203" s="8"/>
      <c r="AV203" s="10" t="s">
        <v>54</v>
      </c>
      <c r="AW203" s="10" t="s">
        <v>51</v>
      </c>
      <c r="AX203" s="10" t="s">
        <v>95</v>
      </c>
      <c r="AY203" s="8"/>
    </row>
    <row r="204" spans="1:51" x14ac:dyDescent="0.15">
      <c r="A204" s="11" t="s">
        <v>80</v>
      </c>
      <c r="B204" s="12" t="s">
        <v>67</v>
      </c>
      <c r="C204" s="10" t="s">
        <v>58</v>
      </c>
      <c r="D204" s="10" t="s">
        <v>59</v>
      </c>
      <c r="E204" s="9">
        <v>147</v>
      </c>
      <c r="F204" s="9">
        <v>147</v>
      </c>
      <c r="G204" s="9">
        <v>2</v>
      </c>
      <c r="H204" s="10" t="s">
        <v>59</v>
      </c>
      <c r="I204" s="9">
        <v>1</v>
      </c>
      <c r="J204" s="9">
        <v>0.51342666700657003</v>
      </c>
      <c r="K204" s="10" t="s">
        <v>51</v>
      </c>
      <c r="L204" s="9">
        <v>2</v>
      </c>
      <c r="M204" s="9">
        <v>147</v>
      </c>
      <c r="N204" s="9">
        <v>147</v>
      </c>
      <c r="O204" s="9">
        <v>32</v>
      </c>
      <c r="P204" s="9">
        <v>193.63918554200799</v>
      </c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9">
        <v>193.629715125004</v>
      </c>
      <c r="AD204" s="9">
        <v>193.63918554200799</v>
      </c>
      <c r="AE204" s="9">
        <v>194.12216083401299</v>
      </c>
      <c r="AF204" s="9">
        <v>194.12216083401299</v>
      </c>
      <c r="AG204" s="9">
        <v>194.12216083401299</v>
      </c>
      <c r="AH204" s="9">
        <v>194.64107404201101</v>
      </c>
      <c r="AI204" s="10" t="s">
        <v>59</v>
      </c>
      <c r="AJ204" s="9">
        <v>1</v>
      </c>
      <c r="AK204" s="9">
        <v>0.51342666700657003</v>
      </c>
      <c r="AL204" s="10" t="s">
        <v>51</v>
      </c>
      <c r="AM204" s="8"/>
      <c r="AN204" s="8"/>
      <c r="AO204" s="8"/>
      <c r="AP204" s="8"/>
      <c r="AQ204" s="9">
        <v>3</v>
      </c>
      <c r="AR204" s="9">
        <v>1</v>
      </c>
      <c r="AS204" s="10" t="s">
        <v>94</v>
      </c>
      <c r="AT204" s="10" t="s">
        <v>53</v>
      </c>
      <c r="AU204" s="8"/>
      <c r="AV204" s="10" t="s">
        <v>54</v>
      </c>
      <c r="AW204" s="10" t="s">
        <v>51</v>
      </c>
      <c r="AX204" s="10" t="s">
        <v>95</v>
      </c>
      <c r="AY204" s="8"/>
    </row>
    <row r="205" spans="1:51" x14ac:dyDescent="0.15">
      <c r="A205" s="11" t="s">
        <v>80</v>
      </c>
      <c r="B205" s="12" t="s">
        <v>67</v>
      </c>
      <c r="C205" s="10" t="s">
        <v>62</v>
      </c>
      <c r="D205" s="10" t="s">
        <v>63</v>
      </c>
      <c r="E205" s="9">
        <v>149</v>
      </c>
      <c r="F205" s="9">
        <v>149</v>
      </c>
      <c r="G205" s="9">
        <v>2</v>
      </c>
      <c r="H205" s="10" t="s">
        <v>63</v>
      </c>
      <c r="I205" s="9">
        <v>1</v>
      </c>
      <c r="J205" s="9">
        <v>0.99507637500937596</v>
      </c>
      <c r="K205" s="10" t="s">
        <v>51</v>
      </c>
      <c r="L205" s="9">
        <v>2</v>
      </c>
      <c r="M205" s="9">
        <v>149</v>
      </c>
      <c r="N205" s="9">
        <v>149</v>
      </c>
      <c r="O205" s="9">
        <v>33</v>
      </c>
      <c r="P205" s="9">
        <v>195.68745070901099</v>
      </c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9">
        <v>195.67845845900601</v>
      </c>
      <c r="AD205" s="9">
        <v>195.68745070901099</v>
      </c>
      <c r="AE205" s="9">
        <v>196.17247050000901</v>
      </c>
      <c r="AF205" s="9">
        <v>196.17247050000901</v>
      </c>
      <c r="AG205" s="9">
        <v>196.17247050000901</v>
      </c>
      <c r="AH205" s="9">
        <v>197.17447900000801</v>
      </c>
      <c r="AI205" s="10" t="s">
        <v>63</v>
      </c>
      <c r="AJ205" s="9">
        <v>1</v>
      </c>
      <c r="AK205" s="9">
        <v>0.99507637500937596</v>
      </c>
      <c r="AL205" s="10" t="s">
        <v>51</v>
      </c>
      <c r="AM205" s="8"/>
      <c r="AN205" s="8"/>
      <c r="AO205" s="8"/>
      <c r="AP205" s="8"/>
      <c r="AQ205" s="9">
        <v>3</v>
      </c>
      <c r="AR205" s="9">
        <v>1</v>
      </c>
      <c r="AS205" s="10" t="s">
        <v>94</v>
      </c>
      <c r="AT205" s="10" t="s">
        <v>53</v>
      </c>
      <c r="AU205" s="8"/>
      <c r="AV205" s="10" t="s">
        <v>54</v>
      </c>
      <c r="AW205" s="10" t="s">
        <v>51</v>
      </c>
      <c r="AX205" s="10" t="s">
        <v>95</v>
      </c>
      <c r="AY205" s="8"/>
    </row>
    <row r="206" spans="1:51" x14ac:dyDescent="0.15">
      <c r="A206" s="11" t="s">
        <v>66</v>
      </c>
      <c r="B206" s="12" t="s">
        <v>67</v>
      </c>
      <c r="C206" s="10" t="s">
        <v>58</v>
      </c>
      <c r="D206" s="10" t="s">
        <v>59</v>
      </c>
      <c r="E206" s="9">
        <v>151</v>
      </c>
      <c r="F206" s="9">
        <v>151</v>
      </c>
      <c r="G206" s="9">
        <v>1</v>
      </c>
      <c r="H206" s="10" t="s">
        <v>59</v>
      </c>
      <c r="I206" s="9">
        <v>1</v>
      </c>
      <c r="J206" s="9">
        <v>0.72348808299284395</v>
      </c>
      <c r="K206" s="10" t="s">
        <v>51</v>
      </c>
      <c r="L206" s="9">
        <v>1</v>
      </c>
      <c r="M206" s="9">
        <v>151</v>
      </c>
      <c r="N206" s="9">
        <v>151</v>
      </c>
      <c r="O206" s="9">
        <v>46</v>
      </c>
      <c r="P206" s="9">
        <v>198.05419583400399</v>
      </c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9">
        <v>198.04529366700399</v>
      </c>
      <c r="AD206" s="9">
        <v>198.05419583400399</v>
      </c>
      <c r="AE206" s="9">
        <v>198.539129084005</v>
      </c>
      <c r="AF206" s="9">
        <v>198.539129084005</v>
      </c>
      <c r="AG206" s="9">
        <v>198.539129084005</v>
      </c>
      <c r="AH206" s="9">
        <v>199.27467508400201</v>
      </c>
      <c r="AI206" s="10" t="s">
        <v>59</v>
      </c>
      <c r="AJ206" s="9">
        <v>1</v>
      </c>
      <c r="AK206" s="9">
        <v>0.72348808299284395</v>
      </c>
      <c r="AL206" s="10" t="s">
        <v>51</v>
      </c>
      <c r="AM206" s="8"/>
      <c r="AN206" s="8"/>
      <c r="AO206" s="8"/>
      <c r="AP206" s="8"/>
      <c r="AQ206" s="9">
        <v>3</v>
      </c>
      <c r="AR206" s="9">
        <v>1</v>
      </c>
      <c r="AS206" s="10" t="s">
        <v>94</v>
      </c>
      <c r="AT206" s="10" t="s">
        <v>53</v>
      </c>
      <c r="AU206" s="8"/>
      <c r="AV206" s="10" t="s">
        <v>54</v>
      </c>
      <c r="AW206" s="10" t="s">
        <v>51</v>
      </c>
      <c r="AX206" s="10" t="s">
        <v>95</v>
      </c>
      <c r="AY206" s="8"/>
    </row>
    <row r="207" spans="1:51" x14ac:dyDescent="0.15">
      <c r="A207" s="11" t="s">
        <v>80</v>
      </c>
      <c r="B207" s="12" t="s">
        <v>67</v>
      </c>
      <c r="C207" s="10" t="s">
        <v>58</v>
      </c>
      <c r="D207" s="10" t="s">
        <v>59</v>
      </c>
      <c r="E207" s="9">
        <v>152</v>
      </c>
      <c r="F207" s="9">
        <v>152</v>
      </c>
      <c r="G207" s="9">
        <v>3</v>
      </c>
      <c r="H207" s="10" t="s">
        <v>59</v>
      </c>
      <c r="I207" s="9">
        <v>1</v>
      </c>
      <c r="J207" s="9">
        <v>0.54304987400246296</v>
      </c>
      <c r="K207" s="10" t="s">
        <v>51</v>
      </c>
      <c r="L207" s="9">
        <v>3</v>
      </c>
      <c r="M207" s="9">
        <v>152</v>
      </c>
      <c r="N207" s="9">
        <v>152</v>
      </c>
      <c r="O207" s="9">
        <v>32</v>
      </c>
      <c r="P207" s="9">
        <v>199.28564000000199</v>
      </c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9">
        <v>199.27928250000701</v>
      </c>
      <c r="AD207" s="9">
        <v>199.28564000000199</v>
      </c>
      <c r="AE207" s="9">
        <v>199.77269175001101</v>
      </c>
      <c r="AF207" s="9">
        <v>199.77269175001101</v>
      </c>
      <c r="AG207" s="9">
        <v>199.77269175001101</v>
      </c>
      <c r="AH207" s="9">
        <v>200.324718459</v>
      </c>
      <c r="AI207" s="10" t="s">
        <v>59</v>
      </c>
      <c r="AJ207" s="9">
        <v>1</v>
      </c>
      <c r="AK207" s="9">
        <v>0.54304987400246296</v>
      </c>
      <c r="AL207" s="10" t="s">
        <v>51</v>
      </c>
      <c r="AM207" s="8"/>
      <c r="AN207" s="8"/>
      <c r="AO207" s="8"/>
      <c r="AP207" s="8"/>
      <c r="AQ207" s="9">
        <v>3</v>
      </c>
      <c r="AR207" s="9">
        <v>1</v>
      </c>
      <c r="AS207" s="10" t="s">
        <v>94</v>
      </c>
      <c r="AT207" s="10" t="s">
        <v>53</v>
      </c>
      <c r="AU207" s="8"/>
      <c r="AV207" s="10" t="s">
        <v>54</v>
      </c>
      <c r="AW207" s="10" t="s">
        <v>51</v>
      </c>
      <c r="AX207" s="10" t="s">
        <v>95</v>
      </c>
      <c r="AY207" s="8"/>
    </row>
    <row r="208" spans="1:51" x14ac:dyDescent="0.15">
      <c r="A208" s="11" t="s">
        <v>77</v>
      </c>
      <c r="B208" s="12" t="s">
        <v>67</v>
      </c>
      <c r="C208" s="10" t="s">
        <v>58</v>
      </c>
      <c r="D208" s="10" t="s">
        <v>59</v>
      </c>
      <c r="E208" s="9">
        <v>153</v>
      </c>
      <c r="F208" s="9">
        <v>153</v>
      </c>
      <c r="G208" s="9">
        <v>2</v>
      </c>
      <c r="H208" s="10" t="s">
        <v>59</v>
      </c>
      <c r="I208" s="9">
        <v>1</v>
      </c>
      <c r="J208" s="9">
        <v>0.40518454099947099</v>
      </c>
      <c r="K208" s="10" t="s">
        <v>51</v>
      </c>
      <c r="L208" s="9">
        <v>2</v>
      </c>
      <c r="M208" s="9">
        <v>153</v>
      </c>
      <c r="N208" s="9">
        <v>153</v>
      </c>
      <c r="O208" s="9">
        <v>40</v>
      </c>
      <c r="P208" s="9">
        <v>200.33890683400401</v>
      </c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9">
        <v>200.32989354200299</v>
      </c>
      <c r="AD208" s="9">
        <v>200.33890683400401</v>
      </c>
      <c r="AE208" s="9">
        <v>200.82241829200899</v>
      </c>
      <c r="AF208" s="9">
        <v>200.82241829200899</v>
      </c>
      <c r="AG208" s="9">
        <v>200.82241829200899</v>
      </c>
      <c r="AH208" s="9">
        <v>201.23102329199901</v>
      </c>
      <c r="AI208" s="10" t="s">
        <v>59</v>
      </c>
      <c r="AJ208" s="9">
        <v>1</v>
      </c>
      <c r="AK208" s="9">
        <v>0.40518454099947099</v>
      </c>
      <c r="AL208" s="10" t="s">
        <v>51</v>
      </c>
      <c r="AM208" s="8"/>
      <c r="AN208" s="8"/>
      <c r="AO208" s="8"/>
      <c r="AP208" s="8"/>
      <c r="AQ208" s="9">
        <v>3</v>
      </c>
      <c r="AR208" s="9">
        <v>1</v>
      </c>
      <c r="AS208" s="10" t="s">
        <v>94</v>
      </c>
      <c r="AT208" s="10" t="s">
        <v>53</v>
      </c>
      <c r="AU208" s="8"/>
      <c r="AV208" s="10" t="s">
        <v>54</v>
      </c>
      <c r="AW208" s="10" t="s">
        <v>51</v>
      </c>
      <c r="AX208" s="10" t="s">
        <v>95</v>
      </c>
      <c r="AY208" s="8"/>
    </row>
    <row r="209" spans="1:51" x14ac:dyDescent="0.15">
      <c r="A209" s="11" t="s">
        <v>82</v>
      </c>
      <c r="B209" s="12" t="s">
        <v>67</v>
      </c>
      <c r="C209" s="10" t="s">
        <v>62</v>
      </c>
      <c r="D209" s="10" t="s">
        <v>63</v>
      </c>
      <c r="E209" s="9">
        <v>158</v>
      </c>
      <c r="F209" s="9">
        <v>158</v>
      </c>
      <c r="G209" s="9">
        <v>3</v>
      </c>
      <c r="H209" s="10" t="s">
        <v>63</v>
      </c>
      <c r="I209" s="9">
        <v>1</v>
      </c>
      <c r="J209" s="9">
        <v>1.8901020830089701</v>
      </c>
      <c r="K209" s="10" t="s">
        <v>51</v>
      </c>
      <c r="L209" s="9">
        <v>3</v>
      </c>
      <c r="M209" s="9">
        <v>158</v>
      </c>
      <c r="N209" s="9">
        <v>158</v>
      </c>
      <c r="O209" s="9">
        <v>37</v>
      </c>
      <c r="P209" s="9">
        <v>205.86116687500899</v>
      </c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9">
        <v>205.85127908400301</v>
      </c>
      <c r="AD209" s="9">
        <v>205.86116687500899</v>
      </c>
      <c r="AE209" s="9">
        <v>206.34869466700201</v>
      </c>
      <c r="AF209" s="9">
        <v>206.34869466700201</v>
      </c>
      <c r="AG209" s="9">
        <v>206.34869466700201</v>
      </c>
      <c r="AH209" s="9">
        <v>208.24129883400701</v>
      </c>
      <c r="AI209" s="10" t="s">
        <v>63</v>
      </c>
      <c r="AJ209" s="9">
        <v>1</v>
      </c>
      <c r="AK209" s="9">
        <v>1.8901020830089701</v>
      </c>
      <c r="AL209" s="10" t="s">
        <v>51</v>
      </c>
      <c r="AM209" s="8"/>
      <c r="AN209" s="8"/>
      <c r="AO209" s="8"/>
      <c r="AP209" s="8"/>
      <c r="AQ209" s="9">
        <v>3</v>
      </c>
      <c r="AR209" s="9">
        <v>1</v>
      </c>
      <c r="AS209" s="10" t="s">
        <v>94</v>
      </c>
      <c r="AT209" s="10" t="s">
        <v>53</v>
      </c>
      <c r="AU209" s="8"/>
      <c r="AV209" s="10" t="s">
        <v>54</v>
      </c>
      <c r="AW209" s="10" t="s">
        <v>51</v>
      </c>
      <c r="AX209" s="10" t="s">
        <v>95</v>
      </c>
      <c r="AY209" s="8"/>
    </row>
    <row r="210" spans="1:51" x14ac:dyDescent="0.15">
      <c r="A210" s="11" t="s">
        <v>86</v>
      </c>
      <c r="B210" s="12" t="s">
        <v>67</v>
      </c>
      <c r="C210" s="10" t="s">
        <v>58</v>
      </c>
      <c r="D210" s="10" t="s">
        <v>59</v>
      </c>
      <c r="E210" s="9">
        <v>163</v>
      </c>
      <c r="F210" s="9">
        <v>163</v>
      </c>
      <c r="G210" s="9">
        <v>3</v>
      </c>
      <c r="H210" s="10" t="s">
        <v>59</v>
      </c>
      <c r="I210" s="9">
        <v>1</v>
      </c>
      <c r="J210" s="9">
        <v>0.45877808300429002</v>
      </c>
      <c r="K210" s="10" t="s">
        <v>51</v>
      </c>
      <c r="L210" s="9">
        <v>3</v>
      </c>
      <c r="M210" s="9">
        <v>163</v>
      </c>
      <c r="N210" s="9">
        <v>163</v>
      </c>
      <c r="O210" s="9">
        <v>34</v>
      </c>
      <c r="P210" s="9">
        <v>214.30571058401301</v>
      </c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9">
        <v>214.29644329201301</v>
      </c>
      <c r="AD210" s="9">
        <v>214.30571058401301</v>
      </c>
      <c r="AE210" s="9">
        <v>214.79011037500501</v>
      </c>
      <c r="AF210" s="9">
        <v>214.79011037500501</v>
      </c>
      <c r="AG210" s="9">
        <v>214.79011037500501</v>
      </c>
      <c r="AH210" s="9">
        <v>215.258467125008</v>
      </c>
      <c r="AI210" s="10" t="s">
        <v>59</v>
      </c>
      <c r="AJ210" s="9">
        <v>1</v>
      </c>
      <c r="AK210" s="9">
        <v>0.45877808300429002</v>
      </c>
      <c r="AL210" s="10" t="s">
        <v>51</v>
      </c>
      <c r="AM210" s="8"/>
      <c r="AN210" s="8"/>
      <c r="AO210" s="8"/>
      <c r="AP210" s="8"/>
      <c r="AQ210" s="9">
        <v>3</v>
      </c>
      <c r="AR210" s="9">
        <v>1</v>
      </c>
      <c r="AS210" s="10" t="s">
        <v>94</v>
      </c>
      <c r="AT210" s="10" t="s">
        <v>53</v>
      </c>
      <c r="AU210" s="8"/>
      <c r="AV210" s="10" t="s">
        <v>54</v>
      </c>
      <c r="AW210" s="10" t="s">
        <v>51</v>
      </c>
      <c r="AX210" s="10" t="s">
        <v>95</v>
      </c>
      <c r="AY210" s="8"/>
    </row>
    <row r="211" spans="1:51" x14ac:dyDescent="0.15">
      <c r="A211" s="11" t="s">
        <v>82</v>
      </c>
      <c r="B211" s="12" t="s">
        <v>67</v>
      </c>
      <c r="C211" s="10" t="s">
        <v>58</v>
      </c>
      <c r="D211" s="10" t="s">
        <v>59</v>
      </c>
      <c r="E211" s="9">
        <v>164</v>
      </c>
      <c r="F211" s="9">
        <v>164</v>
      </c>
      <c r="G211" s="9">
        <v>2</v>
      </c>
      <c r="H211" s="10" t="s">
        <v>59</v>
      </c>
      <c r="I211" s="9">
        <v>1</v>
      </c>
      <c r="J211" s="9">
        <v>0.38561841699993199</v>
      </c>
      <c r="K211" s="10" t="s">
        <v>51</v>
      </c>
      <c r="L211" s="9">
        <v>2</v>
      </c>
      <c r="M211" s="9">
        <v>164</v>
      </c>
      <c r="N211" s="9">
        <v>164</v>
      </c>
      <c r="O211" s="9">
        <v>36</v>
      </c>
      <c r="P211" s="9">
        <v>215.27269100000601</v>
      </c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9">
        <v>215.263679042007</v>
      </c>
      <c r="AD211" s="9">
        <v>215.27269100000601</v>
      </c>
      <c r="AE211" s="9">
        <v>215.756254459004</v>
      </c>
      <c r="AF211" s="9">
        <v>215.756254459004</v>
      </c>
      <c r="AG211" s="9">
        <v>215.756254459004</v>
      </c>
      <c r="AH211" s="9">
        <v>216.14784250001</v>
      </c>
      <c r="AI211" s="10" t="s">
        <v>59</v>
      </c>
      <c r="AJ211" s="9">
        <v>1</v>
      </c>
      <c r="AK211" s="9">
        <v>0.38561841699993199</v>
      </c>
      <c r="AL211" s="10" t="s">
        <v>51</v>
      </c>
      <c r="AM211" s="8"/>
      <c r="AN211" s="8"/>
      <c r="AO211" s="8"/>
      <c r="AP211" s="8"/>
      <c r="AQ211" s="9">
        <v>3</v>
      </c>
      <c r="AR211" s="9">
        <v>1</v>
      </c>
      <c r="AS211" s="10" t="s">
        <v>94</v>
      </c>
      <c r="AT211" s="10" t="s">
        <v>53</v>
      </c>
      <c r="AU211" s="8"/>
      <c r="AV211" s="10" t="s">
        <v>54</v>
      </c>
      <c r="AW211" s="10" t="s">
        <v>51</v>
      </c>
      <c r="AX211" s="10" t="s">
        <v>95</v>
      </c>
      <c r="AY211" s="8"/>
    </row>
    <row r="212" spans="1:51" x14ac:dyDescent="0.15">
      <c r="A212" s="11" t="s">
        <v>80</v>
      </c>
      <c r="B212" s="12" t="s">
        <v>67</v>
      </c>
      <c r="C212" s="10" t="s">
        <v>62</v>
      </c>
      <c r="D212" s="10" t="s">
        <v>63</v>
      </c>
      <c r="E212" s="9">
        <v>165</v>
      </c>
      <c r="F212" s="9">
        <v>165</v>
      </c>
      <c r="G212" s="9">
        <v>3</v>
      </c>
      <c r="H212" s="10" t="s">
        <v>63</v>
      </c>
      <c r="I212" s="9">
        <v>1</v>
      </c>
      <c r="J212" s="9">
        <v>0.54408200000761997</v>
      </c>
      <c r="K212" s="10" t="s">
        <v>51</v>
      </c>
      <c r="L212" s="9">
        <v>3</v>
      </c>
      <c r="M212" s="9">
        <v>165</v>
      </c>
      <c r="N212" s="9">
        <v>165</v>
      </c>
      <c r="O212" s="9">
        <v>33</v>
      </c>
      <c r="P212" s="9">
        <v>216.16193158400699</v>
      </c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9">
        <v>216.15241241701</v>
      </c>
      <c r="AD212" s="9">
        <v>216.16193158400699</v>
      </c>
      <c r="AE212" s="9">
        <v>216.648817542009</v>
      </c>
      <c r="AF212" s="9">
        <v>216.648817542009</v>
      </c>
      <c r="AG212" s="9">
        <v>216.648817542009</v>
      </c>
      <c r="AH212" s="9">
        <v>217.198039875002</v>
      </c>
      <c r="AI212" s="10" t="s">
        <v>63</v>
      </c>
      <c r="AJ212" s="9">
        <v>1</v>
      </c>
      <c r="AK212" s="9">
        <v>0.54408200000761997</v>
      </c>
      <c r="AL212" s="10" t="s">
        <v>51</v>
      </c>
      <c r="AM212" s="8"/>
      <c r="AN212" s="8"/>
      <c r="AO212" s="8"/>
      <c r="AP212" s="8"/>
      <c r="AQ212" s="9">
        <v>3</v>
      </c>
      <c r="AR212" s="9">
        <v>1</v>
      </c>
      <c r="AS212" s="10" t="s">
        <v>94</v>
      </c>
      <c r="AT212" s="10" t="s">
        <v>53</v>
      </c>
      <c r="AU212" s="8"/>
      <c r="AV212" s="10" t="s">
        <v>54</v>
      </c>
      <c r="AW212" s="10" t="s">
        <v>51</v>
      </c>
      <c r="AX212" s="10" t="s">
        <v>95</v>
      </c>
      <c r="AY212" s="8"/>
    </row>
    <row r="213" spans="1:51" x14ac:dyDescent="0.15">
      <c r="A213" s="11" t="s">
        <v>77</v>
      </c>
      <c r="B213" s="12" t="s">
        <v>67</v>
      </c>
      <c r="C213" s="10" t="s">
        <v>58</v>
      </c>
      <c r="D213" s="10" t="s">
        <v>59</v>
      </c>
      <c r="E213" s="9">
        <v>168</v>
      </c>
      <c r="F213" s="9">
        <v>168</v>
      </c>
      <c r="G213" s="9">
        <v>3</v>
      </c>
      <c r="H213" s="10" t="s">
        <v>59</v>
      </c>
      <c r="I213" s="9">
        <v>1</v>
      </c>
      <c r="J213" s="9">
        <v>0.35751779100974101</v>
      </c>
      <c r="K213" s="10" t="s">
        <v>51</v>
      </c>
      <c r="L213" s="9">
        <v>3</v>
      </c>
      <c r="M213" s="9">
        <v>168</v>
      </c>
      <c r="N213" s="9">
        <v>168</v>
      </c>
      <c r="O213" s="9">
        <v>40</v>
      </c>
      <c r="P213" s="9">
        <v>219.072105959</v>
      </c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9">
        <v>219.06321041700701</v>
      </c>
      <c r="AD213" s="9">
        <v>219.072105959</v>
      </c>
      <c r="AE213" s="9">
        <v>219.556437292005</v>
      </c>
      <c r="AF213" s="9">
        <v>219.556437292005</v>
      </c>
      <c r="AG213" s="9">
        <v>219.556437292005</v>
      </c>
      <c r="AH213" s="9">
        <v>219.925282791999</v>
      </c>
      <c r="AI213" s="10" t="s">
        <v>59</v>
      </c>
      <c r="AJ213" s="9">
        <v>1</v>
      </c>
      <c r="AK213" s="9">
        <v>0.35751779100974101</v>
      </c>
      <c r="AL213" s="10" t="s">
        <v>51</v>
      </c>
      <c r="AM213" s="8"/>
      <c r="AN213" s="8"/>
      <c r="AO213" s="8"/>
      <c r="AP213" s="8"/>
      <c r="AQ213" s="9">
        <v>3</v>
      </c>
      <c r="AR213" s="9">
        <v>1</v>
      </c>
      <c r="AS213" s="10" t="s">
        <v>94</v>
      </c>
      <c r="AT213" s="10" t="s">
        <v>53</v>
      </c>
      <c r="AU213" s="8"/>
      <c r="AV213" s="10" t="s">
        <v>54</v>
      </c>
      <c r="AW213" s="10" t="s">
        <v>51</v>
      </c>
      <c r="AX213" s="10" t="s">
        <v>95</v>
      </c>
      <c r="AY213" s="8"/>
    </row>
    <row r="214" spans="1:51" x14ac:dyDescent="0.15">
      <c r="A214" s="11" t="s">
        <v>77</v>
      </c>
      <c r="B214" s="12" t="s">
        <v>67</v>
      </c>
      <c r="C214" s="10" t="s">
        <v>62</v>
      </c>
      <c r="D214" s="10" t="s">
        <v>63</v>
      </c>
      <c r="E214" s="9">
        <v>173</v>
      </c>
      <c r="F214" s="9">
        <v>173</v>
      </c>
      <c r="G214" s="9">
        <v>1</v>
      </c>
      <c r="H214" s="10" t="s">
        <v>63</v>
      </c>
      <c r="I214" s="9">
        <v>1</v>
      </c>
      <c r="J214" s="9">
        <v>0.41257958298956499</v>
      </c>
      <c r="K214" s="10" t="s">
        <v>51</v>
      </c>
      <c r="L214" s="9">
        <v>1</v>
      </c>
      <c r="M214" s="9">
        <v>173</v>
      </c>
      <c r="N214" s="9">
        <v>173</v>
      </c>
      <c r="O214" s="9">
        <v>41</v>
      </c>
      <c r="P214" s="9">
        <v>225.04088212500201</v>
      </c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9">
        <v>225.031464833999</v>
      </c>
      <c r="AD214" s="9">
        <v>225.04088212500201</v>
      </c>
      <c r="AE214" s="9">
        <v>225.52355991701199</v>
      </c>
      <c r="AF214" s="9">
        <v>225.52355991701199</v>
      </c>
      <c r="AG214" s="9">
        <v>225.52355991701199</v>
      </c>
      <c r="AH214" s="9">
        <v>225.941974250003</v>
      </c>
      <c r="AI214" s="10" t="s">
        <v>63</v>
      </c>
      <c r="AJ214" s="9">
        <v>1</v>
      </c>
      <c r="AK214" s="9">
        <v>0.41257958298956499</v>
      </c>
      <c r="AL214" s="10" t="s">
        <v>51</v>
      </c>
      <c r="AM214" s="8"/>
      <c r="AN214" s="8"/>
      <c r="AO214" s="8"/>
      <c r="AP214" s="8"/>
      <c r="AQ214" s="9">
        <v>3</v>
      </c>
      <c r="AR214" s="9">
        <v>1</v>
      </c>
      <c r="AS214" s="10" t="s">
        <v>94</v>
      </c>
      <c r="AT214" s="10" t="s">
        <v>53</v>
      </c>
      <c r="AU214" s="8"/>
      <c r="AV214" s="10" t="s">
        <v>54</v>
      </c>
      <c r="AW214" s="10" t="s">
        <v>51</v>
      </c>
      <c r="AX214" s="10" t="s">
        <v>95</v>
      </c>
      <c r="AY214" s="8"/>
    </row>
    <row r="215" spans="1:51" x14ac:dyDescent="0.15">
      <c r="A215" s="11" t="s">
        <v>77</v>
      </c>
      <c r="B215" s="12" t="s">
        <v>67</v>
      </c>
      <c r="C215" s="10" t="s">
        <v>62</v>
      </c>
      <c r="D215" s="10" t="s">
        <v>63</v>
      </c>
      <c r="E215" s="9">
        <v>174</v>
      </c>
      <c r="F215" s="9">
        <v>174</v>
      </c>
      <c r="G215" s="9">
        <v>2</v>
      </c>
      <c r="H215" s="10" t="s">
        <v>63</v>
      </c>
      <c r="I215" s="9">
        <v>1</v>
      </c>
      <c r="J215" s="9">
        <v>0.35177687399846003</v>
      </c>
      <c r="K215" s="10" t="s">
        <v>51</v>
      </c>
      <c r="L215" s="9">
        <v>2</v>
      </c>
      <c r="M215" s="9">
        <v>174</v>
      </c>
      <c r="N215" s="9">
        <v>174</v>
      </c>
      <c r="O215" s="9">
        <v>41</v>
      </c>
      <c r="P215" s="9">
        <v>225.95130620901199</v>
      </c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9">
        <v>225.94282545900199</v>
      </c>
      <c r="AD215" s="9">
        <v>225.95130620901199</v>
      </c>
      <c r="AE215" s="9">
        <v>226.440218042</v>
      </c>
      <c r="AF215" s="9">
        <v>226.440218042</v>
      </c>
      <c r="AG215" s="9">
        <v>226.440218042</v>
      </c>
      <c r="AH215" s="9">
        <v>226.79805833400999</v>
      </c>
      <c r="AI215" s="10" t="s">
        <v>63</v>
      </c>
      <c r="AJ215" s="9">
        <v>1</v>
      </c>
      <c r="AK215" s="9">
        <v>0.35177687399846003</v>
      </c>
      <c r="AL215" s="10" t="s">
        <v>51</v>
      </c>
      <c r="AM215" s="8"/>
      <c r="AN215" s="8"/>
      <c r="AO215" s="8"/>
      <c r="AP215" s="8"/>
      <c r="AQ215" s="9">
        <v>3</v>
      </c>
      <c r="AR215" s="9">
        <v>1</v>
      </c>
      <c r="AS215" s="10" t="s">
        <v>94</v>
      </c>
      <c r="AT215" s="10" t="s">
        <v>53</v>
      </c>
      <c r="AU215" s="8"/>
      <c r="AV215" s="10" t="s">
        <v>54</v>
      </c>
      <c r="AW215" s="10" t="s">
        <v>51</v>
      </c>
      <c r="AX215" s="10" t="s">
        <v>95</v>
      </c>
      <c r="AY215" s="8"/>
    </row>
    <row r="216" spans="1:51" x14ac:dyDescent="0.15">
      <c r="A216" s="11" t="s">
        <v>69</v>
      </c>
      <c r="B216" s="12" t="s">
        <v>67</v>
      </c>
      <c r="C216" s="10" t="s">
        <v>62</v>
      </c>
      <c r="D216" s="10" t="s">
        <v>63</v>
      </c>
      <c r="E216" s="9">
        <v>175</v>
      </c>
      <c r="F216" s="9">
        <v>175</v>
      </c>
      <c r="G216" s="9">
        <v>3</v>
      </c>
      <c r="H216" s="10" t="s">
        <v>63</v>
      </c>
      <c r="I216" s="9">
        <v>1</v>
      </c>
      <c r="J216" s="9">
        <v>0.40491870799451102</v>
      </c>
      <c r="K216" s="10" t="s">
        <v>51</v>
      </c>
      <c r="L216" s="9">
        <v>3</v>
      </c>
      <c r="M216" s="9">
        <v>175</v>
      </c>
      <c r="N216" s="9">
        <v>175</v>
      </c>
      <c r="O216" s="9">
        <v>39</v>
      </c>
      <c r="P216" s="9">
        <v>226.812737500004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9">
        <v>226.80322829200301</v>
      </c>
      <c r="AD216" s="9">
        <v>226.812737500004</v>
      </c>
      <c r="AE216" s="9">
        <v>227.29930025000101</v>
      </c>
      <c r="AF216" s="9">
        <v>227.29930025000101</v>
      </c>
      <c r="AG216" s="9">
        <v>227.29930025000101</v>
      </c>
      <c r="AH216" s="9">
        <v>227.70905429200499</v>
      </c>
      <c r="AI216" s="10" t="s">
        <v>63</v>
      </c>
      <c r="AJ216" s="9">
        <v>1</v>
      </c>
      <c r="AK216" s="9">
        <v>0.40491870799451102</v>
      </c>
      <c r="AL216" s="10" t="s">
        <v>51</v>
      </c>
      <c r="AM216" s="8"/>
      <c r="AN216" s="8"/>
      <c r="AO216" s="8"/>
      <c r="AP216" s="8"/>
      <c r="AQ216" s="9">
        <v>3</v>
      </c>
      <c r="AR216" s="9">
        <v>1</v>
      </c>
      <c r="AS216" s="10" t="s">
        <v>94</v>
      </c>
      <c r="AT216" s="10" t="s">
        <v>53</v>
      </c>
      <c r="AU216" s="8"/>
      <c r="AV216" s="10" t="s">
        <v>54</v>
      </c>
      <c r="AW216" s="10" t="s">
        <v>51</v>
      </c>
      <c r="AX216" s="10" t="s">
        <v>95</v>
      </c>
      <c r="AY216" s="8"/>
    </row>
    <row r="217" spans="1:51" x14ac:dyDescent="0.15">
      <c r="A217" s="11" t="s">
        <v>76</v>
      </c>
      <c r="B217" s="12" t="s">
        <v>67</v>
      </c>
      <c r="C217" s="10" t="s">
        <v>58</v>
      </c>
      <c r="D217" s="10" t="s">
        <v>59</v>
      </c>
      <c r="E217" s="9">
        <v>180</v>
      </c>
      <c r="F217" s="9">
        <v>180</v>
      </c>
      <c r="G217" s="9">
        <v>3</v>
      </c>
      <c r="H217" s="10" t="s">
        <v>59</v>
      </c>
      <c r="I217" s="9">
        <v>1</v>
      </c>
      <c r="J217" s="9">
        <v>0.31866495800204597</v>
      </c>
      <c r="K217" s="10" t="s">
        <v>51</v>
      </c>
      <c r="L217" s="9">
        <v>3</v>
      </c>
      <c r="M217" s="9">
        <v>180</v>
      </c>
      <c r="N217" s="9">
        <v>180</v>
      </c>
      <c r="O217" s="9">
        <v>42</v>
      </c>
      <c r="P217" s="9">
        <v>231.95580999999899</v>
      </c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9">
        <v>231.94671525000001</v>
      </c>
      <c r="AD217" s="9">
        <v>231.95580999999899</v>
      </c>
      <c r="AE217" s="9">
        <v>232.44048212500601</v>
      </c>
      <c r="AF217" s="9">
        <v>232.44048212500601</v>
      </c>
      <c r="AG217" s="9">
        <v>232.44048212500601</v>
      </c>
      <c r="AH217" s="9">
        <v>232.76502166700101</v>
      </c>
      <c r="AI217" s="10" t="s">
        <v>59</v>
      </c>
      <c r="AJ217" s="9">
        <v>1</v>
      </c>
      <c r="AK217" s="9">
        <v>0.31866495800204597</v>
      </c>
      <c r="AL217" s="10" t="s">
        <v>51</v>
      </c>
      <c r="AM217" s="8"/>
      <c r="AN217" s="8"/>
      <c r="AO217" s="8"/>
      <c r="AP217" s="8"/>
      <c r="AQ217" s="9">
        <v>3</v>
      </c>
      <c r="AR217" s="9">
        <v>1</v>
      </c>
      <c r="AS217" s="10" t="s">
        <v>94</v>
      </c>
      <c r="AT217" s="10" t="s">
        <v>53</v>
      </c>
      <c r="AU217" s="8"/>
      <c r="AV217" s="10" t="s">
        <v>54</v>
      </c>
      <c r="AW217" s="10" t="s">
        <v>51</v>
      </c>
      <c r="AX217" s="10" t="s">
        <v>95</v>
      </c>
      <c r="AY217" s="8"/>
    </row>
    <row r="218" spans="1:51" x14ac:dyDescent="0.15">
      <c r="A218" s="11" t="s">
        <v>77</v>
      </c>
      <c r="B218" s="12" t="s">
        <v>67</v>
      </c>
      <c r="C218" s="10" t="s">
        <v>58</v>
      </c>
      <c r="D218" s="10" t="s">
        <v>59</v>
      </c>
      <c r="E218" s="9">
        <v>181</v>
      </c>
      <c r="F218" s="9">
        <v>181</v>
      </c>
      <c r="G218" s="9">
        <v>4</v>
      </c>
      <c r="H218" s="10" t="s">
        <v>59</v>
      </c>
      <c r="I218" s="9">
        <v>1</v>
      </c>
      <c r="J218" s="9">
        <v>1.82434266600467</v>
      </c>
      <c r="K218" s="10" t="s">
        <v>51</v>
      </c>
      <c r="L218" s="9">
        <v>4</v>
      </c>
      <c r="M218" s="9">
        <v>181</v>
      </c>
      <c r="N218" s="9">
        <v>181</v>
      </c>
      <c r="O218" s="9">
        <v>40</v>
      </c>
      <c r="P218" s="9">
        <v>232.779690625001</v>
      </c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9">
        <v>232.768888084</v>
      </c>
      <c r="AD218" s="9">
        <v>232.779690625001</v>
      </c>
      <c r="AE218" s="9">
        <v>233.26690145900599</v>
      </c>
      <c r="AF218" s="9">
        <v>233.26690145900599</v>
      </c>
      <c r="AG218" s="9">
        <v>233.26690145900599</v>
      </c>
      <c r="AH218" s="9">
        <v>235.09863583400099</v>
      </c>
      <c r="AI218" s="10" t="s">
        <v>59</v>
      </c>
      <c r="AJ218" s="9">
        <v>1</v>
      </c>
      <c r="AK218" s="9">
        <v>1.82434266600467</v>
      </c>
      <c r="AL218" s="10" t="s">
        <v>51</v>
      </c>
      <c r="AM218" s="8"/>
      <c r="AN218" s="8"/>
      <c r="AO218" s="8"/>
      <c r="AP218" s="8"/>
      <c r="AQ218" s="9">
        <v>3</v>
      </c>
      <c r="AR218" s="9">
        <v>1</v>
      </c>
      <c r="AS218" s="10" t="s">
        <v>94</v>
      </c>
      <c r="AT218" s="10" t="s">
        <v>53</v>
      </c>
      <c r="AU218" s="8"/>
      <c r="AV218" s="10" t="s">
        <v>54</v>
      </c>
      <c r="AW218" s="10" t="s">
        <v>51</v>
      </c>
      <c r="AX218" s="10" t="s">
        <v>95</v>
      </c>
      <c r="AY218" s="8"/>
    </row>
    <row r="219" spans="1:51" x14ac:dyDescent="0.15">
      <c r="A219" s="11" t="s">
        <v>81</v>
      </c>
      <c r="B219" s="12" t="s">
        <v>67</v>
      </c>
      <c r="C219" s="10" t="s">
        <v>58</v>
      </c>
      <c r="D219" s="10" t="s">
        <v>59</v>
      </c>
      <c r="E219" s="9">
        <v>184</v>
      </c>
      <c r="F219" s="9">
        <v>184</v>
      </c>
      <c r="G219" s="9">
        <v>3</v>
      </c>
      <c r="H219" s="10" t="s">
        <v>59</v>
      </c>
      <c r="I219" s="9">
        <v>1</v>
      </c>
      <c r="J219" s="9">
        <v>0.37420283298706603</v>
      </c>
      <c r="K219" s="10" t="s">
        <v>51</v>
      </c>
      <c r="L219" s="9">
        <v>3</v>
      </c>
      <c r="M219" s="9">
        <v>184</v>
      </c>
      <c r="N219" s="9">
        <v>184</v>
      </c>
      <c r="O219" s="9">
        <v>44</v>
      </c>
      <c r="P219" s="9">
        <v>237.38992766701301</v>
      </c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9">
        <v>237.38060291700799</v>
      </c>
      <c r="AD219" s="9">
        <v>237.38992766701301</v>
      </c>
      <c r="AE219" s="9">
        <v>237.87398662501101</v>
      </c>
      <c r="AF219" s="9">
        <v>237.87398662501101</v>
      </c>
      <c r="AG219" s="9">
        <v>237.87398662501101</v>
      </c>
      <c r="AH219" s="9">
        <v>238.25926958399899</v>
      </c>
      <c r="AI219" s="10" t="s">
        <v>59</v>
      </c>
      <c r="AJ219" s="9">
        <v>1</v>
      </c>
      <c r="AK219" s="9">
        <v>0.37420283298706603</v>
      </c>
      <c r="AL219" s="10" t="s">
        <v>51</v>
      </c>
      <c r="AM219" s="8"/>
      <c r="AN219" s="8"/>
      <c r="AO219" s="8"/>
      <c r="AP219" s="8"/>
      <c r="AQ219" s="9">
        <v>3</v>
      </c>
      <c r="AR219" s="9">
        <v>1</v>
      </c>
      <c r="AS219" s="10" t="s">
        <v>94</v>
      </c>
      <c r="AT219" s="10" t="s">
        <v>53</v>
      </c>
      <c r="AU219" s="8"/>
      <c r="AV219" s="10" t="s">
        <v>54</v>
      </c>
      <c r="AW219" s="10" t="s">
        <v>51</v>
      </c>
      <c r="AX219" s="10" t="s">
        <v>95</v>
      </c>
      <c r="AY219" s="8"/>
    </row>
    <row r="220" spans="1:51" x14ac:dyDescent="0.15">
      <c r="A220" s="11" t="s">
        <v>76</v>
      </c>
      <c r="B220" s="12" t="s">
        <v>67</v>
      </c>
      <c r="C220" s="10" t="s">
        <v>62</v>
      </c>
      <c r="D220" s="10" t="s">
        <v>63</v>
      </c>
      <c r="E220" s="9">
        <v>186</v>
      </c>
      <c r="F220" s="9">
        <v>186</v>
      </c>
      <c r="G220" s="9">
        <v>4</v>
      </c>
      <c r="H220" s="10" t="s">
        <v>63</v>
      </c>
      <c r="I220" s="9">
        <v>1</v>
      </c>
      <c r="J220" s="9">
        <v>0.61821050000435196</v>
      </c>
      <c r="K220" s="10" t="s">
        <v>51</v>
      </c>
      <c r="L220" s="9">
        <v>4</v>
      </c>
      <c r="M220" s="9">
        <v>186</v>
      </c>
      <c r="N220" s="9">
        <v>186</v>
      </c>
      <c r="O220" s="9">
        <v>43</v>
      </c>
      <c r="P220" s="9">
        <v>239.34559841699999</v>
      </c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9">
        <v>239.33603875</v>
      </c>
      <c r="AD220" s="9">
        <v>239.34559841699999</v>
      </c>
      <c r="AE220" s="9">
        <v>239.833173834006</v>
      </c>
      <c r="AF220" s="9">
        <v>239.833173834006</v>
      </c>
      <c r="AG220" s="9">
        <v>239.833173834006</v>
      </c>
      <c r="AH220" s="9">
        <v>240.45941900000599</v>
      </c>
      <c r="AI220" s="10" t="s">
        <v>63</v>
      </c>
      <c r="AJ220" s="9">
        <v>1</v>
      </c>
      <c r="AK220" s="9">
        <v>0.61821050000435196</v>
      </c>
      <c r="AL220" s="10" t="s">
        <v>51</v>
      </c>
      <c r="AM220" s="8"/>
      <c r="AN220" s="8"/>
      <c r="AO220" s="8"/>
      <c r="AP220" s="8"/>
      <c r="AQ220" s="9">
        <v>3</v>
      </c>
      <c r="AR220" s="9">
        <v>1</v>
      </c>
      <c r="AS220" s="10" t="s">
        <v>94</v>
      </c>
      <c r="AT220" s="10" t="s">
        <v>53</v>
      </c>
      <c r="AU220" s="8"/>
      <c r="AV220" s="10" t="s">
        <v>54</v>
      </c>
      <c r="AW220" s="10" t="s">
        <v>51</v>
      </c>
      <c r="AX220" s="10" t="s">
        <v>95</v>
      </c>
      <c r="AY220" s="8"/>
    </row>
    <row r="221" spans="1:51" x14ac:dyDescent="0.15">
      <c r="A221" s="11" t="s">
        <v>66</v>
      </c>
      <c r="B221" s="12" t="s">
        <v>67</v>
      </c>
      <c r="C221" s="10" t="s">
        <v>58</v>
      </c>
      <c r="D221" s="10" t="s">
        <v>59</v>
      </c>
      <c r="E221" s="9">
        <v>194</v>
      </c>
      <c r="F221" s="9">
        <v>194</v>
      </c>
      <c r="G221" s="9">
        <v>2</v>
      </c>
      <c r="H221" s="10" t="s">
        <v>59</v>
      </c>
      <c r="I221" s="9">
        <v>1</v>
      </c>
      <c r="J221" s="9">
        <v>0.64594941600807898</v>
      </c>
      <c r="K221" s="10" t="s">
        <v>51</v>
      </c>
      <c r="L221" s="9">
        <v>2</v>
      </c>
      <c r="M221" s="9">
        <v>194</v>
      </c>
      <c r="N221" s="9">
        <v>194</v>
      </c>
      <c r="O221" s="9">
        <v>46</v>
      </c>
      <c r="P221" s="9">
        <v>247.49089995901201</v>
      </c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9">
        <v>247.48170570901101</v>
      </c>
      <c r="AD221" s="9">
        <v>247.49089995901201</v>
      </c>
      <c r="AE221" s="9">
        <v>247.974641875</v>
      </c>
      <c r="AF221" s="9">
        <v>247.974641875</v>
      </c>
      <c r="AG221" s="9">
        <v>247.974641875</v>
      </c>
      <c r="AH221" s="9">
        <v>248.62625587500199</v>
      </c>
      <c r="AI221" s="10" t="s">
        <v>59</v>
      </c>
      <c r="AJ221" s="9">
        <v>1</v>
      </c>
      <c r="AK221" s="9">
        <v>0.64594941600807898</v>
      </c>
      <c r="AL221" s="10" t="s">
        <v>51</v>
      </c>
      <c r="AM221" s="8"/>
      <c r="AN221" s="8"/>
      <c r="AO221" s="8"/>
      <c r="AP221" s="8"/>
      <c r="AQ221" s="9">
        <v>3</v>
      </c>
      <c r="AR221" s="9">
        <v>1</v>
      </c>
      <c r="AS221" s="10" t="s">
        <v>94</v>
      </c>
      <c r="AT221" s="10" t="s">
        <v>53</v>
      </c>
      <c r="AU221" s="8"/>
      <c r="AV221" s="10" t="s">
        <v>54</v>
      </c>
      <c r="AW221" s="10" t="s">
        <v>51</v>
      </c>
      <c r="AX221" s="10" t="s">
        <v>95</v>
      </c>
      <c r="AY221" s="8"/>
    </row>
    <row r="222" spans="1:51" x14ac:dyDescent="0.15">
      <c r="A222" s="11" t="s">
        <v>80</v>
      </c>
      <c r="B222" s="12" t="s">
        <v>67</v>
      </c>
      <c r="C222" s="10" t="s">
        <v>62</v>
      </c>
      <c r="D222" s="10" t="s">
        <v>63</v>
      </c>
      <c r="E222" s="9">
        <v>197</v>
      </c>
      <c r="F222" s="9">
        <v>197</v>
      </c>
      <c r="G222" s="9">
        <v>4</v>
      </c>
      <c r="H222" s="10" t="s">
        <v>63</v>
      </c>
      <c r="I222" s="9">
        <v>1</v>
      </c>
      <c r="J222" s="9">
        <v>0.42260616700514197</v>
      </c>
      <c r="K222" s="10" t="s">
        <v>51</v>
      </c>
      <c r="L222" s="9">
        <v>4</v>
      </c>
      <c r="M222" s="9">
        <v>197</v>
      </c>
      <c r="N222" s="9">
        <v>197</v>
      </c>
      <c r="O222" s="9">
        <v>33</v>
      </c>
      <c r="P222" s="9">
        <v>250.71266520900801</v>
      </c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9">
        <v>250.702743709</v>
      </c>
      <c r="AD222" s="9">
        <v>250.71266520900801</v>
      </c>
      <c r="AE222" s="9">
        <v>251.20010516700901</v>
      </c>
      <c r="AF222" s="9">
        <v>251.20010516700901</v>
      </c>
      <c r="AG222" s="9">
        <v>251.20010516700901</v>
      </c>
      <c r="AH222" s="9">
        <v>251.62658854200001</v>
      </c>
      <c r="AI222" s="10" t="s">
        <v>63</v>
      </c>
      <c r="AJ222" s="9">
        <v>1</v>
      </c>
      <c r="AK222" s="9">
        <v>0.42260616700514197</v>
      </c>
      <c r="AL222" s="10" t="s">
        <v>51</v>
      </c>
      <c r="AM222" s="8"/>
      <c r="AN222" s="8"/>
      <c r="AO222" s="8"/>
      <c r="AP222" s="8"/>
      <c r="AQ222" s="9">
        <v>3</v>
      </c>
      <c r="AR222" s="9">
        <v>1</v>
      </c>
      <c r="AS222" s="10" t="s">
        <v>94</v>
      </c>
      <c r="AT222" s="10" t="s">
        <v>53</v>
      </c>
      <c r="AU222" s="8"/>
      <c r="AV222" s="10" t="s">
        <v>54</v>
      </c>
      <c r="AW222" s="10" t="s">
        <v>51</v>
      </c>
      <c r="AX222" s="10" t="s">
        <v>95</v>
      </c>
      <c r="AY222" s="8"/>
    </row>
    <row r="223" spans="1:51" x14ac:dyDescent="0.15">
      <c r="A223" s="11" t="s">
        <v>80</v>
      </c>
      <c r="B223" s="12" t="s">
        <v>67</v>
      </c>
      <c r="C223" s="10" t="s">
        <v>58</v>
      </c>
      <c r="D223" s="10" t="s">
        <v>59</v>
      </c>
      <c r="E223" s="9">
        <v>198</v>
      </c>
      <c r="F223" s="9">
        <v>198</v>
      </c>
      <c r="G223" s="9">
        <v>4</v>
      </c>
      <c r="H223" s="10" t="s">
        <v>59</v>
      </c>
      <c r="I223" s="9">
        <v>1</v>
      </c>
      <c r="J223" s="9">
        <v>0.480957623993163</v>
      </c>
      <c r="K223" s="10" t="s">
        <v>51</v>
      </c>
      <c r="L223" s="9">
        <v>4</v>
      </c>
      <c r="M223" s="9">
        <v>198</v>
      </c>
      <c r="N223" s="9">
        <v>198</v>
      </c>
      <c r="O223" s="9">
        <v>32</v>
      </c>
      <c r="P223" s="9">
        <v>251.637049792</v>
      </c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9">
        <v>251.62766837500399</v>
      </c>
      <c r="AD223" s="9">
        <v>251.637049792</v>
      </c>
      <c r="AE223" s="9">
        <v>252.12477337500599</v>
      </c>
      <c r="AF223" s="9">
        <v>252.12477337500599</v>
      </c>
      <c r="AG223" s="9">
        <v>252.12477337500599</v>
      </c>
      <c r="AH223" s="9">
        <v>252.609788959002</v>
      </c>
      <c r="AI223" s="10" t="s">
        <v>59</v>
      </c>
      <c r="AJ223" s="9">
        <v>1</v>
      </c>
      <c r="AK223" s="9">
        <v>0.480957623993163</v>
      </c>
      <c r="AL223" s="10" t="s">
        <v>51</v>
      </c>
      <c r="AM223" s="8"/>
      <c r="AN223" s="8"/>
      <c r="AO223" s="8"/>
      <c r="AP223" s="8"/>
      <c r="AQ223" s="9">
        <v>3</v>
      </c>
      <c r="AR223" s="9">
        <v>1</v>
      </c>
      <c r="AS223" s="10" t="s">
        <v>94</v>
      </c>
      <c r="AT223" s="10" t="s">
        <v>53</v>
      </c>
      <c r="AU223" s="8"/>
      <c r="AV223" s="10" t="s">
        <v>54</v>
      </c>
      <c r="AW223" s="10" t="s">
        <v>51</v>
      </c>
      <c r="AX223" s="10" t="s">
        <v>95</v>
      </c>
      <c r="AY223" s="8"/>
    </row>
    <row r="224" spans="1:51" x14ac:dyDescent="0.15">
      <c r="A224" s="11" t="s">
        <v>76</v>
      </c>
      <c r="B224" s="12" t="s">
        <v>67</v>
      </c>
      <c r="C224" s="10" t="s">
        <v>58</v>
      </c>
      <c r="D224" s="10" t="s">
        <v>59</v>
      </c>
      <c r="E224" s="9">
        <v>201</v>
      </c>
      <c r="F224" s="9">
        <v>201</v>
      </c>
      <c r="G224" s="9">
        <v>4</v>
      </c>
      <c r="H224" s="10" t="s">
        <v>59</v>
      </c>
      <c r="I224" s="9">
        <v>1</v>
      </c>
      <c r="J224" s="9">
        <v>0.69024804100627102</v>
      </c>
      <c r="K224" s="10" t="s">
        <v>51</v>
      </c>
      <c r="L224" s="9">
        <v>4</v>
      </c>
      <c r="M224" s="9">
        <v>201</v>
      </c>
      <c r="N224" s="9">
        <v>201</v>
      </c>
      <c r="O224" s="9">
        <v>42</v>
      </c>
      <c r="P224" s="9">
        <v>255.00668162500401</v>
      </c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9">
        <v>254.99734145900601</v>
      </c>
      <c r="AD224" s="9">
        <v>255.00668162500401</v>
      </c>
      <c r="AE224" s="9">
        <v>255.49129370901201</v>
      </c>
      <c r="AF224" s="9">
        <v>255.49129370901201</v>
      </c>
      <c r="AG224" s="9">
        <v>255.49129370901201</v>
      </c>
      <c r="AH224" s="9">
        <v>256.193147834012</v>
      </c>
      <c r="AI224" s="10" t="s">
        <v>59</v>
      </c>
      <c r="AJ224" s="9">
        <v>1</v>
      </c>
      <c r="AK224" s="9">
        <v>0.69024804100627102</v>
      </c>
      <c r="AL224" s="10" t="s">
        <v>51</v>
      </c>
      <c r="AM224" s="8"/>
      <c r="AN224" s="8"/>
      <c r="AO224" s="8"/>
      <c r="AP224" s="8"/>
      <c r="AQ224" s="9">
        <v>3</v>
      </c>
      <c r="AR224" s="9">
        <v>1</v>
      </c>
      <c r="AS224" s="10" t="s">
        <v>94</v>
      </c>
      <c r="AT224" s="10" t="s">
        <v>53</v>
      </c>
      <c r="AU224" s="8"/>
      <c r="AV224" s="10" t="s">
        <v>54</v>
      </c>
      <c r="AW224" s="10" t="s">
        <v>51</v>
      </c>
      <c r="AX224" s="10" t="s">
        <v>95</v>
      </c>
      <c r="AY224" s="8"/>
    </row>
    <row r="225" spans="1:51" x14ac:dyDescent="0.15">
      <c r="A225" s="11" t="s">
        <v>82</v>
      </c>
      <c r="B225" s="12" t="s">
        <v>67</v>
      </c>
      <c r="C225" s="10" t="s">
        <v>62</v>
      </c>
      <c r="D225" s="10" t="s">
        <v>63</v>
      </c>
      <c r="E225" s="9">
        <v>202</v>
      </c>
      <c r="F225" s="9">
        <v>202</v>
      </c>
      <c r="G225" s="9">
        <v>4</v>
      </c>
      <c r="H225" s="10" t="s">
        <v>63</v>
      </c>
      <c r="I225" s="9">
        <v>1</v>
      </c>
      <c r="J225" s="9">
        <v>0.223598999989918</v>
      </c>
      <c r="K225" s="10" t="s">
        <v>51</v>
      </c>
      <c r="L225" s="9">
        <v>4</v>
      </c>
      <c r="M225" s="9">
        <v>202</v>
      </c>
      <c r="N225" s="9">
        <v>202</v>
      </c>
      <c r="O225" s="9">
        <v>37</v>
      </c>
      <c r="P225" s="9">
        <v>256.20718945900398</v>
      </c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9">
        <v>256.19794445901101</v>
      </c>
      <c r="AD225" s="9">
        <v>256.20718945900398</v>
      </c>
      <c r="AE225" s="9">
        <v>256.69104541699897</v>
      </c>
      <c r="AF225" s="9">
        <v>256.69104541699897</v>
      </c>
      <c r="AG225" s="9">
        <v>256.69104541699897</v>
      </c>
      <c r="AH225" s="9">
        <v>256.92652183400099</v>
      </c>
      <c r="AI225" s="10" t="s">
        <v>63</v>
      </c>
      <c r="AJ225" s="9">
        <v>1</v>
      </c>
      <c r="AK225" s="9">
        <v>0.223598999989918</v>
      </c>
      <c r="AL225" s="10" t="s">
        <v>51</v>
      </c>
      <c r="AM225" s="8"/>
      <c r="AN225" s="8"/>
      <c r="AO225" s="8"/>
      <c r="AP225" s="8"/>
      <c r="AQ225" s="9">
        <v>3</v>
      </c>
      <c r="AR225" s="9">
        <v>1</v>
      </c>
      <c r="AS225" s="10" t="s">
        <v>94</v>
      </c>
      <c r="AT225" s="10" t="s">
        <v>53</v>
      </c>
      <c r="AU225" s="8"/>
      <c r="AV225" s="10" t="s">
        <v>54</v>
      </c>
      <c r="AW225" s="10" t="s">
        <v>51</v>
      </c>
      <c r="AX225" s="10" t="s">
        <v>95</v>
      </c>
      <c r="AY225" s="8"/>
    </row>
    <row r="226" spans="1:51" x14ac:dyDescent="0.15">
      <c r="A226" s="11" t="s">
        <v>82</v>
      </c>
      <c r="B226" s="12" t="s">
        <v>67</v>
      </c>
      <c r="C226" s="10" t="s">
        <v>58</v>
      </c>
      <c r="D226" s="10" t="s">
        <v>59</v>
      </c>
      <c r="E226" s="9">
        <v>209</v>
      </c>
      <c r="F226" s="9">
        <v>209</v>
      </c>
      <c r="G226" s="9">
        <v>3</v>
      </c>
      <c r="H226" s="10" t="s">
        <v>59</v>
      </c>
      <c r="I226" s="9">
        <v>1</v>
      </c>
      <c r="J226" s="9">
        <v>0.68347712399554394</v>
      </c>
      <c r="K226" s="10" t="s">
        <v>51</v>
      </c>
      <c r="L226" s="9">
        <v>3</v>
      </c>
      <c r="M226" s="9">
        <v>209</v>
      </c>
      <c r="N226" s="9">
        <v>209</v>
      </c>
      <c r="O226" s="9">
        <v>36</v>
      </c>
      <c r="P226" s="9">
        <v>264.95866716701101</v>
      </c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9">
        <v>264.94915025000199</v>
      </c>
      <c r="AD226" s="9">
        <v>264.95866716701101</v>
      </c>
      <c r="AE226" s="9">
        <v>265.44132316700399</v>
      </c>
      <c r="AF226" s="9">
        <v>265.44132316700399</v>
      </c>
      <c r="AG226" s="9">
        <v>265.44132316700399</v>
      </c>
      <c r="AH226" s="9">
        <v>266.12675716700301</v>
      </c>
      <c r="AI226" s="10" t="s">
        <v>59</v>
      </c>
      <c r="AJ226" s="9">
        <v>1</v>
      </c>
      <c r="AK226" s="9">
        <v>0.68347712399554394</v>
      </c>
      <c r="AL226" s="10" t="s">
        <v>51</v>
      </c>
      <c r="AM226" s="8"/>
      <c r="AN226" s="8"/>
      <c r="AO226" s="8"/>
      <c r="AP226" s="8"/>
      <c r="AQ226" s="9">
        <v>3</v>
      </c>
      <c r="AR226" s="9">
        <v>1</v>
      </c>
      <c r="AS226" s="10" t="s">
        <v>94</v>
      </c>
      <c r="AT226" s="10" t="s">
        <v>53</v>
      </c>
      <c r="AU226" s="8"/>
      <c r="AV226" s="10" t="s">
        <v>54</v>
      </c>
      <c r="AW226" s="10" t="s">
        <v>51</v>
      </c>
      <c r="AX226" s="10" t="s">
        <v>95</v>
      </c>
      <c r="AY226" s="8"/>
    </row>
    <row r="227" spans="1:51" x14ac:dyDescent="0.15">
      <c r="A227" s="11" t="s">
        <v>81</v>
      </c>
      <c r="B227" s="12" t="s">
        <v>67</v>
      </c>
      <c r="C227" s="10" t="s">
        <v>58</v>
      </c>
      <c r="D227" s="10" t="s">
        <v>59</v>
      </c>
      <c r="E227" s="9">
        <v>210</v>
      </c>
      <c r="F227" s="9">
        <v>210</v>
      </c>
      <c r="G227" s="9">
        <v>4</v>
      </c>
      <c r="H227" s="10" t="s">
        <v>59</v>
      </c>
      <c r="I227" s="9">
        <v>1</v>
      </c>
      <c r="J227" s="9">
        <v>0.47492483300447902</v>
      </c>
      <c r="K227" s="10" t="s">
        <v>51</v>
      </c>
      <c r="L227" s="9">
        <v>4</v>
      </c>
      <c r="M227" s="9">
        <v>210</v>
      </c>
      <c r="N227" s="9">
        <v>210</v>
      </c>
      <c r="O227" s="9">
        <v>44</v>
      </c>
      <c r="P227" s="9">
        <v>266.14069691700598</v>
      </c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9">
        <v>266.13149966701201</v>
      </c>
      <c r="AD227" s="9">
        <v>266.14069691700598</v>
      </c>
      <c r="AE227" s="9">
        <v>266.62479341700998</v>
      </c>
      <c r="AF227" s="9">
        <v>266.62479341700998</v>
      </c>
      <c r="AG227" s="9">
        <v>266.62479341700998</v>
      </c>
      <c r="AH227" s="9">
        <v>267.11032337500399</v>
      </c>
      <c r="AI227" s="10" t="s">
        <v>59</v>
      </c>
      <c r="AJ227" s="9">
        <v>1</v>
      </c>
      <c r="AK227" s="9">
        <v>0.47492483300447902</v>
      </c>
      <c r="AL227" s="10" t="s">
        <v>51</v>
      </c>
      <c r="AM227" s="8"/>
      <c r="AN227" s="8"/>
      <c r="AO227" s="8"/>
      <c r="AP227" s="8"/>
      <c r="AQ227" s="9">
        <v>3</v>
      </c>
      <c r="AR227" s="9">
        <v>1</v>
      </c>
      <c r="AS227" s="10" t="s">
        <v>94</v>
      </c>
      <c r="AT227" s="10" t="s">
        <v>53</v>
      </c>
      <c r="AU227" s="8"/>
      <c r="AV227" s="10" t="s">
        <v>54</v>
      </c>
      <c r="AW227" s="10" t="s">
        <v>51</v>
      </c>
      <c r="AX227" s="10" t="s">
        <v>95</v>
      </c>
      <c r="AY227" s="8"/>
    </row>
    <row r="228" spans="1:51" x14ac:dyDescent="0.15">
      <c r="A228" s="11" t="s">
        <v>69</v>
      </c>
      <c r="B228" s="12" t="s">
        <v>67</v>
      </c>
      <c r="C228" s="10" t="s">
        <v>58</v>
      </c>
      <c r="D228" s="10" t="s">
        <v>59</v>
      </c>
      <c r="E228" s="9">
        <v>211</v>
      </c>
      <c r="F228" s="9">
        <v>211</v>
      </c>
      <c r="G228" s="9">
        <v>3</v>
      </c>
      <c r="H228" s="10" t="s">
        <v>59</v>
      </c>
      <c r="I228" s="9">
        <v>1</v>
      </c>
      <c r="J228" s="9">
        <v>0.31839345800108299</v>
      </c>
      <c r="K228" s="10" t="s">
        <v>51</v>
      </c>
      <c r="L228" s="9">
        <v>3</v>
      </c>
      <c r="M228" s="9">
        <v>211</v>
      </c>
      <c r="N228" s="9">
        <v>211</v>
      </c>
      <c r="O228" s="9">
        <v>38</v>
      </c>
      <c r="P228" s="9">
        <v>267.12545679201099</v>
      </c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9">
        <v>267.116336709005</v>
      </c>
      <c r="AD228" s="9">
        <v>267.12545679201099</v>
      </c>
      <c r="AE228" s="9">
        <v>267.60836433400999</v>
      </c>
      <c r="AF228" s="9">
        <v>267.60836433400999</v>
      </c>
      <c r="AG228" s="9">
        <v>267.60836433400999</v>
      </c>
      <c r="AH228" s="9">
        <v>267.93275558399898</v>
      </c>
      <c r="AI228" s="10" t="s">
        <v>59</v>
      </c>
      <c r="AJ228" s="9">
        <v>1</v>
      </c>
      <c r="AK228" s="9">
        <v>0.31839345800108299</v>
      </c>
      <c r="AL228" s="10" t="s">
        <v>51</v>
      </c>
      <c r="AM228" s="8"/>
      <c r="AN228" s="8"/>
      <c r="AO228" s="8"/>
      <c r="AP228" s="8"/>
      <c r="AQ228" s="9">
        <v>3</v>
      </c>
      <c r="AR228" s="9">
        <v>1</v>
      </c>
      <c r="AS228" s="10" t="s">
        <v>94</v>
      </c>
      <c r="AT228" s="10" t="s">
        <v>53</v>
      </c>
      <c r="AU228" s="8"/>
      <c r="AV228" s="10" t="s">
        <v>54</v>
      </c>
      <c r="AW228" s="10" t="s">
        <v>51</v>
      </c>
      <c r="AX228" s="10" t="s">
        <v>95</v>
      </c>
      <c r="AY228" s="8"/>
    </row>
    <row r="229" spans="1:51" x14ac:dyDescent="0.15">
      <c r="A229" s="11" t="s">
        <v>77</v>
      </c>
      <c r="B229" s="12" t="s">
        <v>67</v>
      </c>
      <c r="C229" s="10" t="s">
        <v>62</v>
      </c>
      <c r="D229" s="10" t="s">
        <v>63</v>
      </c>
      <c r="E229" s="9">
        <v>215</v>
      </c>
      <c r="F229" s="9">
        <v>215</v>
      </c>
      <c r="G229" s="9">
        <v>3</v>
      </c>
      <c r="H229" s="10" t="s">
        <v>59</v>
      </c>
      <c r="I229" s="9">
        <v>0</v>
      </c>
      <c r="J229" s="9">
        <v>0.230284582998138</v>
      </c>
      <c r="K229" s="10" t="s">
        <v>51</v>
      </c>
      <c r="L229" s="9">
        <v>3</v>
      </c>
      <c r="M229" s="9">
        <v>215</v>
      </c>
      <c r="N229" s="9">
        <v>215</v>
      </c>
      <c r="O229" s="9">
        <v>41</v>
      </c>
      <c r="P229" s="9">
        <v>270.33141325000901</v>
      </c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9">
        <v>270.32195858401201</v>
      </c>
      <c r="AD229" s="9">
        <v>270.33141325000901</v>
      </c>
      <c r="AE229" s="9">
        <v>270.81760054200998</v>
      </c>
      <c r="AF229" s="9">
        <v>270.81760054200998</v>
      </c>
      <c r="AG229" s="9">
        <v>270.81760054200998</v>
      </c>
      <c r="AH229" s="9">
        <v>271.04939666700398</v>
      </c>
      <c r="AI229" s="10" t="s">
        <v>59</v>
      </c>
      <c r="AJ229" s="9">
        <v>0</v>
      </c>
      <c r="AK229" s="9">
        <v>0.230284582998138</v>
      </c>
      <c r="AL229" s="10" t="s">
        <v>51</v>
      </c>
      <c r="AM229" s="8"/>
      <c r="AN229" s="8"/>
      <c r="AO229" s="8"/>
      <c r="AP229" s="8"/>
      <c r="AQ229" s="9">
        <v>3</v>
      </c>
      <c r="AR229" s="9">
        <v>1</v>
      </c>
      <c r="AS229" s="10" t="s">
        <v>94</v>
      </c>
      <c r="AT229" s="10" t="s">
        <v>53</v>
      </c>
      <c r="AU229" s="8"/>
      <c r="AV229" s="10" t="s">
        <v>54</v>
      </c>
      <c r="AW229" s="10" t="s">
        <v>51</v>
      </c>
      <c r="AX229" s="10" t="s">
        <v>95</v>
      </c>
      <c r="AY229" s="8"/>
    </row>
    <row r="230" spans="1:51" x14ac:dyDescent="0.15">
      <c r="A230" s="11" t="s">
        <v>69</v>
      </c>
      <c r="B230" s="12" t="s">
        <v>67</v>
      </c>
      <c r="C230" s="10" t="s">
        <v>62</v>
      </c>
      <c r="D230" s="10" t="s">
        <v>63</v>
      </c>
      <c r="E230" s="9">
        <v>219</v>
      </c>
      <c r="F230" s="9">
        <v>219</v>
      </c>
      <c r="G230" s="9">
        <v>4</v>
      </c>
      <c r="H230" s="10" t="s">
        <v>63</v>
      </c>
      <c r="I230" s="9">
        <v>1</v>
      </c>
      <c r="J230" s="9">
        <v>0.78296850000333496</v>
      </c>
      <c r="K230" s="10" t="s">
        <v>51</v>
      </c>
      <c r="L230" s="9">
        <v>4</v>
      </c>
      <c r="M230" s="9">
        <v>219</v>
      </c>
      <c r="N230" s="9">
        <v>219</v>
      </c>
      <c r="O230" s="9">
        <v>39</v>
      </c>
      <c r="P230" s="9">
        <v>274.14173212500498</v>
      </c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9">
        <v>274.13265629199998</v>
      </c>
      <c r="AD230" s="9">
        <v>274.14173212500498</v>
      </c>
      <c r="AE230" s="9">
        <v>274.62506766700199</v>
      </c>
      <c r="AF230" s="9">
        <v>274.62506766700199</v>
      </c>
      <c r="AG230" s="9">
        <v>274.62506766700199</v>
      </c>
      <c r="AH230" s="9">
        <v>275.41074066700799</v>
      </c>
      <c r="AI230" s="10" t="s">
        <v>63</v>
      </c>
      <c r="AJ230" s="9">
        <v>1</v>
      </c>
      <c r="AK230" s="9">
        <v>0.78296850000333496</v>
      </c>
      <c r="AL230" s="10" t="s">
        <v>51</v>
      </c>
      <c r="AM230" s="8"/>
      <c r="AN230" s="8"/>
      <c r="AO230" s="8"/>
      <c r="AP230" s="8"/>
      <c r="AQ230" s="9">
        <v>3</v>
      </c>
      <c r="AR230" s="9">
        <v>1</v>
      </c>
      <c r="AS230" s="10" t="s">
        <v>94</v>
      </c>
      <c r="AT230" s="10" t="s">
        <v>53</v>
      </c>
      <c r="AU230" s="8"/>
      <c r="AV230" s="10" t="s">
        <v>54</v>
      </c>
      <c r="AW230" s="10" t="s">
        <v>51</v>
      </c>
      <c r="AX230" s="10" t="s">
        <v>95</v>
      </c>
      <c r="AY230" s="8"/>
    </row>
    <row r="231" spans="1:51" x14ac:dyDescent="0.15">
      <c r="A231" s="11" t="s">
        <v>81</v>
      </c>
      <c r="B231" s="12" t="s">
        <v>67</v>
      </c>
      <c r="C231" s="10" t="s">
        <v>62</v>
      </c>
      <c r="D231" s="10" t="s">
        <v>63</v>
      </c>
      <c r="E231" s="9">
        <v>222</v>
      </c>
      <c r="F231" s="9">
        <v>222</v>
      </c>
      <c r="G231" s="9">
        <v>3</v>
      </c>
      <c r="H231" s="10" t="s">
        <v>63</v>
      </c>
      <c r="I231" s="9">
        <v>1</v>
      </c>
      <c r="J231" s="9">
        <v>0.39321166599984297</v>
      </c>
      <c r="K231" s="10" t="s">
        <v>51</v>
      </c>
      <c r="L231" s="9">
        <v>3</v>
      </c>
      <c r="M231" s="9">
        <v>222</v>
      </c>
      <c r="N231" s="9">
        <v>222</v>
      </c>
      <c r="O231" s="9">
        <v>45</v>
      </c>
      <c r="P231" s="9">
        <v>277.430375000011</v>
      </c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9">
        <v>277.42045516701199</v>
      </c>
      <c r="AD231" s="9">
        <v>277.430375000011</v>
      </c>
      <c r="AE231" s="9">
        <v>277.917659125</v>
      </c>
      <c r="AF231" s="9">
        <v>277.917659125</v>
      </c>
      <c r="AG231" s="9">
        <v>277.917659125</v>
      </c>
      <c r="AH231" s="9">
        <v>278.31626941700199</v>
      </c>
      <c r="AI231" s="10" t="s">
        <v>63</v>
      </c>
      <c r="AJ231" s="9">
        <v>1</v>
      </c>
      <c r="AK231" s="9">
        <v>0.39321166599984297</v>
      </c>
      <c r="AL231" s="10" t="s">
        <v>51</v>
      </c>
      <c r="AM231" s="8"/>
      <c r="AN231" s="8"/>
      <c r="AO231" s="8"/>
      <c r="AP231" s="8"/>
      <c r="AQ231" s="9">
        <v>3</v>
      </c>
      <c r="AR231" s="9">
        <v>1</v>
      </c>
      <c r="AS231" s="10" t="s">
        <v>94</v>
      </c>
      <c r="AT231" s="10" t="s">
        <v>53</v>
      </c>
      <c r="AU231" s="8"/>
      <c r="AV231" s="10" t="s">
        <v>54</v>
      </c>
      <c r="AW231" s="10" t="s">
        <v>51</v>
      </c>
      <c r="AX231" s="10" t="s">
        <v>95</v>
      </c>
      <c r="AY231" s="8"/>
    </row>
    <row r="232" spans="1:51" x14ac:dyDescent="0.15">
      <c r="A232" s="11" t="s">
        <v>86</v>
      </c>
      <c r="B232" s="12" t="s">
        <v>67</v>
      </c>
      <c r="C232" s="10" t="s">
        <v>58</v>
      </c>
      <c r="D232" s="10" t="s">
        <v>59</v>
      </c>
      <c r="E232" s="9">
        <v>223</v>
      </c>
      <c r="F232" s="9">
        <v>223</v>
      </c>
      <c r="G232" s="9">
        <v>4</v>
      </c>
      <c r="H232" s="10" t="s">
        <v>59</v>
      </c>
      <c r="I232" s="9">
        <v>1</v>
      </c>
      <c r="J232" s="9">
        <v>0.47795549999864301</v>
      </c>
      <c r="K232" s="10" t="s">
        <v>51</v>
      </c>
      <c r="L232" s="9">
        <v>4</v>
      </c>
      <c r="M232" s="9">
        <v>223</v>
      </c>
      <c r="N232" s="9">
        <v>223</v>
      </c>
      <c r="O232" s="9">
        <v>34</v>
      </c>
      <c r="P232" s="9">
        <v>278.33094970900902</v>
      </c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9">
        <v>278.32083729200502</v>
      </c>
      <c r="AD232" s="9">
        <v>278.33094970900902</v>
      </c>
      <c r="AE232" s="9">
        <v>278.81797716701101</v>
      </c>
      <c r="AF232" s="9">
        <v>278.81797716701101</v>
      </c>
      <c r="AG232" s="9">
        <v>278.81797716701101</v>
      </c>
      <c r="AH232" s="9">
        <v>279.29991862500901</v>
      </c>
      <c r="AI232" s="10" t="s">
        <v>59</v>
      </c>
      <c r="AJ232" s="9">
        <v>1</v>
      </c>
      <c r="AK232" s="9">
        <v>0.47795549999864301</v>
      </c>
      <c r="AL232" s="10" t="s">
        <v>51</v>
      </c>
      <c r="AM232" s="8"/>
      <c r="AN232" s="8"/>
      <c r="AO232" s="8"/>
      <c r="AP232" s="8"/>
      <c r="AQ232" s="9">
        <v>3</v>
      </c>
      <c r="AR232" s="9">
        <v>1</v>
      </c>
      <c r="AS232" s="10" t="s">
        <v>94</v>
      </c>
      <c r="AT232" s="10" t="s">
        <v>53</v>
      </c>
      <c r="AU232" s="8"/>
      <c r="AV232" s="10" t="s">
        <v>54</v>
      </c>
      <c r="AW232" s="10" t="s">
        <v>51</v>
      </c>
      <c r="AX232" s="10" t="s">
        <v>95</v>
      </c>
      <c r="AY232" s="8"/>
    </row>
    <row r="233" spans="1:51" x14ac:dyDescent="0.15">
      <c r="A233" s="11" t="s">
        <v>86</v>
      </c>
      <c r="B233" s="12" t="s">
        <v>67</v>
      </c>
      <c r="C233" s="10" t="s">
        <v>62</v>
      </c>
      <c r="D233" s="10" t="s">
        <v>63</v>
      </c>
      <c r="E233" s="9">
        <v>225</v>
      </c>
      <c r="F233" s="9">
        <v>225</v>
      </c>
      <c r="G233" s="9">
        <v>3</v>
      </c>
      <c r="H233" s="10" t="s">
        <v>63</v>
      </c>
      <c r="I233" s="9">
        <v>1</v>
      </c>
      <c r="J233" s="9">
        <v>0.43818358299904497</v>
      </c>
      <c r="K233" s="10" t="s">
        <v>51</v>
      </c>
      <c r="L233" s="9">
        <v>3</v>
      </c>
      <c r="M233" s="9">
        <v>225</v>
      </c>
      <c r="N233" s="9">
        <v>225</v>
      </c>
      <c r="O233" s="9">
        <v>35</v>
      </c>
      <c r="P233" s="9">
        <v>280.27478362500602</v>
      </c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9">
        <v>280.265660042001</v>
      </c>
      <c r="AD233" s="9">
        <v>280.27478362500602</v>
      </c>
      <c r="AE233" s="9">
        <v>280.75878195901203</v>
      </c>
      <c r="AF233" s="9">
        <v>280.75878195901203</v>
      </c>
      <c r="AG233" s="9">
        <v>280.75878195901203</v>
      </c>
      <c r="AH233" s="9">
        <v>281.20062524999997</v>
      </c>
      <c r="AI233" s="10" t="s">
        <v>63</v>
      </c>
      <c r="AJ233" s="9">
        <v>1</v>
      </c>
      <c r="AK233" s="9">
        <v>0.43818358299904497</v>
      </c>
      <c r="AL233" s="10" t="s">
        <v>51</v>
      </c>
      <c r="AM233" s="8"/>
      <c r="AN233" s="8"/>
      <c r="AO233" s="8"/>
      <c r="AP233" s="8"/>
      <c r="AQ233" s="9">
        <v>3</v>
      </c>
      <c r="AR233" s="9">
        <v>1</v>
      </c>
      <c r="AS233" s="10" t="s">
        <v>94</v>
      </c>
      <c r="AT233" s="10" t="s">
        <v>53</v>
      </c>
      <c r="AU233" s="8"/>
      <c r="AV233" s="10" t="s">
        <v>54</v>
      </c>
      <c r="AW233" s="10" t="s">
        <v>51</v>
      </c>
      <c r="AX233" s="10" t="s">
        <v>95</v>
      </c>
      <c r="AY233" s="8"/>
    </row>
    <row r="234" spans="1:51" x14ac:dyDescent="0.15">
      <c r="A234" s="11" t="s">
        <v>81</v>
      </c>
      <c r="B234" s="12" t="s">
        <v>67</v>
      </c>
      <c r="C234" s="10" t="s">
        <v>62</v>
      </c>
      <c r="D234" s="10" t="s">
        <v>63</v>
      </c>
      <c r="E234" s="9">
        <v>227</v>
      </c>
      <c r="F234" s="9">
        <v>227</v>
      </c>
      <c r="G234" s="9">
        <v>4</v>
      </c>
      <c r="H234" s="10" t="s">
        <v>63</v>
      </c>
      <c r="I234" s="9">
        <v>1</v>
      </c>
      <c r="J234" s="9">
        <v>0.49211358300817698</v>
      </c>
      <c r="K234" s="10" t="s">
        <v>51</v>
      </c>
      <c r="L234" s="9">
        <v>4</v>
      </c>
      <c r="M234" s="9">
        <v>227</v>
      </c>
      <c r="N234" s="9">
        <v>227</v>
      </c>
      <c r="O234" s="9">
        <v>45</v>
      </c>
      <c r="P234" s="9">
        <v>282.12468370900001</v>
      </c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9">
        <v>282.115856125005</v>
      </c>
      <c r="AD234" s="9">
        <v>282.12468370900001</v>
      </c>
      <c r="AE234" s="9">
        <v>282.60909199999901</v>
      </c>
      <c r="AF234" s="9">
        <v>282.60909199999901</v>
      </c>
      <c r="AG234" s="9">
        <v>282.60909199999901</v>
      </c>
      <c r="AH234" s="9">
        <v>283.11087737500202</v>
      </c>
      <c r="AI234" s="10" t="s">
        <v>63</v>
      </c>
      <c r="AJ234" s="9">
        <v>1</v>
      </c>
      <c r="AK234" s="9">
        <v>0.49211358300817698</v>
      </c>
      <c r="AL234" s="10" t="s">
        <v>51</v>
      </c>
      <c r="AM234" s="8"/>
      <c r="AN234" s="8"/>
      <c r="AO234" s="8"/>
      <c r="AP234" s="8"/>
      <c r="AQ234" s="9">
        <v>3</v>
      </c>
      <c r="AR234" s="9">
        <v>1</v>
      </c>
      <c r="AS234" s="10" t="s">
        <v>94</v>
      </c>
      <c r="AT234" s="10" t="s">
        <v>53</v>
      </c>
      <c r="AU234" s="8"/>
      <c r="AV234" s="10" t="s">
        <v>54</v>
      </c>
      <c r="AW234" s="10" t="s">
        <v>51</v>
      </c>
      <c r="AX234" s="10" t="s">
        <v>95</v>
      </c>
      <c r="AY234" s="8"/>
    </row>
    <row r="235" spans="1:51" x14ac:dyDescent="0.15">
      <c r="A235" s="11" t="s">
        <v>69</v>
      </c>
      <c r="B235" s="12" t="s">
        <v>67</v>
      </c>
      <c r="C235" s="10" t="s">
        <v>58</v>
      </c>
      <c r="D235" s="10" t="s">
        <v>59</v>
      </c>
      <c r="E235" s="9">
        <v>228</v>
      </c>
      <c r="F235" s="9">
        <v>228</v>
      </c>
      <c r="G235" s="9">
        <v>4</v>
      </c>
      <c r="H235" s="10" t="s">
        <v>59</v>
      </c>
      <c r="I235" s="9">
        <v>1</v>
      </c>
      <c r="J235" s="9">
        <v>0.46889149899652699</v>
      </c>
      <c r="K235" s="10" t="s">
        <v>51</v>
      </c>
      <c r="L235" s="9">
        <v>4</v>
      </c>
      <c r="M235" s="9">
        <v>228</v>
      </c>
      <c r="N235" s="9">
        <v>228</v>
      </c>
      <c r="O235" s="9">
        <v>38</v>
      </c>
      <c r="P235" s="9">
        <v>283.12427204201202</v>
      </c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9">
        <v>283.11530312500003</v>
      </c>
      <c r="AD235" s="9">
        <v>283.12427204201202</v>
      </c>
      <c r="AE235" s="9">
        <v>283.60917725000797</v>
      </c>
      <c r="AF235" s="9">
        <v>283.60917725000797</v>
      </c>
      <c r="AG235" s="9">
        <v>283.60917725000797</v>
      </c>
      <c r="AH235" s="9">
        <v>284.08347404201101</v>
      </c>
      <c r="AI235" s="10" t="s">
        <v>59</v>
      </c>
      <c r="AJ235" s="9">
        <v>1</v>
      </c>
      <c r="AK235" s="9">
        <v>0.46889149899652699</v>
      </c>
      <c r="AL235" s="10" t="s">
        <v>51</v>
      </c>
      <c r="AM235" s="8"/>
      <c r="AN235" s="8"/>
      <c r="AO235" s="8"/>
      <c r="AP235" s="8"/>
      <c r="AQ235" s="9">
        <v>3</v>
      </c>
      <c r="AR235" s="9">
        <v>1</v>
      </c>
      <c r="AS235" s="10" t="s">
        <v>94</v>
      </c>
      <c r="AT235" s="10" t="s">
        <v>53</v>
      </c>
      <c r="AU235" s="8"/>
      <c r="AV235" s="10" t="s">
        <v>54</v>
      </c>
      <c r="AW235" s="10" t="s">
        <v>51</v>
      </c>
      <c r="AX235" s="10" t="s">
        <v>95</v>
      </c>
      <c r="AY235" s="8"/>
    </row>
    <row r="236" spans="1:51" x14ac:dyDescent="0.15">
      <c r="A236" s="11" t="s">
        <v>66</v>
      </c>
      <c r="B236" s="12" t="s">
        <v>67</v>
      </c>
      <c r="C236" s="10" t="s">
        <v>58</v>
      </c>
      <c r="D236" s="10" t="s">
        <v>59</v>
      </c>
      <c r="E236" s="9">
        <v>230</v>
      </c>
      <c r="F236" s="9">
        <v>230</v>
      </c>
      <c r="G236" s="9">
        <v>3</v>
      </c>
      <c r="H236" s="10" t="s">
        <v>59</v>
      </c>
      <c r="I236" s="9">
        <v>1</v>
      </c>
      <c r="J236" s="9">
        <v>0.43542941600026103</v>
      </c>
      <c r="K236" s="10" t="s">
        <v>51</v>
      </c>
      <c r="L236" s="9">
        <v>3</v>
      </c>
      <c r="M236" s="9">
        <v>230</v>
      </c>
      <c r="N236" s="9">
        <v>230</v>
      </c>
      <c r="O236" s="9">
        <v>46</v>
      </c>
      <c r="P236" s="9">
        <v>285.04132316700998</v>
      </c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9">
        <v>285.03199091700702</v>
      </c>
      <c r="AD236" s="9">
        <v>285.04132316700998</v>
      </c>
      <c r="AE236" s="9">
        <v>285.525623834008</v>
      </c>
      <c r="AF236" s="9">
        <v>285.525623834008</v>
      </c>
      <c r="AG236" s="9">
        <v>285.525623834008</v>
      </c>
      <c r="AH236" s="9">
        <v>285.96700241700501</v>
      </c>
      <c r="AI236" s="10" t="s">
        <v>59</v>
      </c>
      <c r="AJ236" s="9">
        <v>1</v>
      </c>
      <c r="AK236" s="9">
        <v>0.43542941600026103</v>
      </c>
      <c r="AL236" s="10" t="s">
        <v>51</v>
      </c>
      <c r="AM236" s="8"/>
      <c r="AN236" s="8"/>
      <c r="AO236" s="8"/>
      <c r="AP236" s="8"/>
      <c r="AQ236" s="9">
        <v>3</v>
      </c>
      <c r="AR236" s="9">
        <v>1</v>
      </c>
      <c r="AS236" s="10" t="s">
        <v>94</v>
      </c>
      <c r="AT236" s="10" t="s">
        <v>53</v>
      </c>
      <c r="AU236" s="8"/>
      <c r="AV236" s="10" t="s">
        <v>54</v>
      </c>
      <c r="AW236" s="10" t="s">
        <v>51</v>
      </c>
      <c r="AX236" s="10" t="s">
        <v>95</v>
      </c>
      <c r="AY236" s="8"/>
    </row>
    <row r="237" spans="1:51" x14ac:dyDescent="0.15">
      <c r="A237" s="11" t="s">
        <v>82</v>
      </c>
      <c r="B237" s="12" t="s">
        <v>67</v>
      </c>
      <c r="C237" s="10" t="s">
        <v>58</v>
      </c>
      <c r="D237" s="10" t="s">
        <v>59</v>
      </c>
      <c r="E237" s="9">
        <v>231</v>
      </c>
      <c r="F237" s="9">
        <v>231</v>
      </c>
      <c r="G237" s="9">
        <v>4</v>
      </c>
      <c r="H237" s="10" t="s">
        <v>59</v>
      </c>
      <c r="I237" s="9">
        <v>1</v>
      </c>
      <c r="J237" s="9">
        <v>0.31207612500293203</v>
      </c>
      <c r="K237" s="10" t="s">
        <v>51</v>
      </c>
      <c r="L237" s="9">
        <v>4</v>
      </c>
      <c r="M237" s="9">
        <v>231</v>
      </c>
      <c r="N237" s="9">
        <v>231</v>
      </c>
      <c r="O237" s="9">
        <v>36</v>
      </c>
      <c r="P237" s="9">
        <v>285.98163225001201</v>
      </c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9">
        <v>285.97220629200501</v>
      </c>
      <c r="AD237" s="9">
        <v>285.98163225001201</v>
      </c>
      <c r="AE237" s="9">
        <v>286.46697462499998</v>
      </c>
      <c r="AF237" s="9">
        <v>286.46697462499998</v>
      </c>
      <c r="AG237" s="9">
        <v>286.46697462499998</v>
      </c>
      <c r="AH237" s="9">
        <v>286.78358916701097</v>
      </c>
      <c r="AI237" s="10" t="s">
        <v>59</v>
      </c>
      <c r="AJ237" s="9">
        <v>1</v>
      </c>
      <c r="AK237" s="9">
        <v>0.31207612500293203</v>
      </c>
      <c r="AL237" s="10" t="s">
        <v>51</v>
      </c>
      <c r="AM237" s="8"/>
      <c r="AN237" s="8"/>
      <c r="AO237" s="8"/>
      <c r="AP237" s="8"/>
      <c r="AQ237" s="9">
        <v>3</v>
      </c>
      <c r="AR237" s="9">
        <v>1</v>
      </c>
      <c r="AS237" s="10" t="s">
        <v>94</v>
      </c>
      <c r="AT237" s="10" t="s">
        <v>53</v>
      </c>
      <c r="AU237" s="8"/>
      <c r="AV237" s="10" t="s">
        <v>54</v>
      </c>
      <c r="AW237" s="10" t="s">
        <v>51</v>
      </c>
      <c r="AX237" s="10" t="s">
        <v>95</v>
      </c>
      <c r="AY237" s="8"/>
    </row>
    <row r="238" spans="1:51" x14ac:dyDescent="0.15">
      <c r="A238" s="11" t="s">
        <v>86</v>
      </c>
      <c r="B238" s="12" t="s">
        <v>67</v>
      </c>
      <c r="C238" s="10" t="s">
        <v>62</v>
      </c>
      <c r="D238" s="10" t="s">
        <v>63</v>
      </c>
      <c r="E238" s="9">
        <v>232</v>
      </c>
      <c r="F238" s="9">
        <v>232</v>
      </c>
      <c r="G238" s="9">
        <v>4</v>
      </c>
      <c r="H238" s="10" t="s">
        <v>63</v>
      </c>
      <c r="I238" s="9">
        <v>1</v>
      </c>
      <c r="J238" s="9">
        <v>0.41133570799138403</v>
      </c>
      <c r="K238" s="10" t="s">
        <v>51</v>
      </c>
      <c r="L238" s="9">
        <v>4</v>
      </c>
      <c r="M238" s="9">
        <v>232</v>
      </c>
      <c r="N238" s="9">
        <v>232</v>
      </c>
      <c r="O238" s="9">
        <v>35</v>
      </c>
      <c r="P238" s="9">
        <v>286.797208584001</v>
      </c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9">
        <v>286.78807879200002</v>
      </c>
      <c r="AD238" s="9">
        <v>286.797208584001</v>
      </c>
      <c r="AE238" s="9">
        <v>287.28477600000002</v>
      </c>
      <c r="AF238" s="9">
        <v>287.28477600000002</v>
      </c>
      <c r="AG238" s="9">
        <v>287.28477600000002</v>
      </c>
      <c r="AH238" s="9">
        <v>287.700321084005</v>
      </c>
      <c r="AI238" s="10" t="s">
        <v>63</v>
      </c>
      <c r="AJ238" s="9">
        <v>1</v>
      </c>
      <c r="AK238" s="9">
        <v>0.41133570799138403</v>
      </c>
      <c r="AL238" s="10" t="s">
        <v>51</v>
      </c>
      <c r="AM238" s="8"/>
      <c r="AN238" s="8"/>
      <c r="AO238" s="8"/>
      <c r="AP238" s="8"/>
      <c r="AQ238" s="9">
        <v>3</v>
      </c>
      <c r="AR238" s="9">
        <v>1</v>
      </c>
      <c r="AS238" s="10" t="s">
        <v>94</v>
      </c>
      <c r="AT238" s="10" t="s">
        <v>53</v>
      </c>
      <c r="AU238" s="8"/>
      <c r="AV238" s="10" t="s">
        <v>54</v>
      </c>
      <c r="AW238" s="10" t="s">
        <v>51</v>
      </c>
      <c r="AX238" s="10" t="s">
        <v>95</v>
      </c>
      <c r="AY238" s="8"/>
    </row>
    <row r="239" spans="1:51" x14ac:dyDescent="0.15">
      <c r="A239" s="11" t="s">
        <v>77</v>
      </c>
      <c r="B239" s="12" t="s">
        <v>67</v>
      </c>
      <c r="C239" s="10" t="s">
        <v>62</v>
      </c>
      <c r="D239" s="10" t="s">
        <v>63</v>
      </c>
      <c r="E239" s="9">
        <v>233</v>
      </c>
      <c r="F239" s="9">
        <v>233</v>
      </c>
      <c r="G239" s="9">
        <v>4</v>
      </c>
      <c r="H239" s="10" t="s">
        <v>63</v>
      </c>
      <c r="I239" s="9">
        <v>1</v>
      </c>
      <c r="J239" s="9">
        <v>0.32755666600132799</v>
      </c>
      <c r="K239" s="10" t="s">
        <v>51</v>
      </c>
      <c r="L239" s="9">
        <v>4</v>
      </c>
      <c r="M239" s="9">
        <v>233</v>
      </c>
      <c r="N239" s="9">
        <v>233</v>
      </c>
      <c r="O239" s="9">
        <v>41</v>
      </c>
      <c r="P239" s="9">
        <v>287.71512670900898</v>
      </c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9">
        <v>287.70582716701</v>
      </c>
      <c r="AD239" s="9">
        <v>287.71512670900898</v>
      </c>
      <c r="AE239" s="9">
        <v>288.201512709013</v>
      </c>
      <c r="AF239" s="9">
        <v>288.201512709013</v>
      </c>
      <c r="AG239" s="9">
        <v>288.201512709013</v>
      </c>
      <c r="AH239" s="9">
        <v>288.53348679200298</v>
      </c>
      <c r="AI239" s="10" t="s">
        <v>63</v>
      </c>
      <c r="AJ239" s="9">
        <v>1</v>
      </c>
      <c r="AK239" s="9">
        <v>0.32755666600132799</v>
      </c>
      <c r="AL239" s="10" t="s">
        <v>51</v>
      </c>
      <c r="AM239" s="8"/>
      <c r="AN239" s="8"/>
      <c r="AO239" s="8"/>
      <c r="AP239" s="8"/>
      <c r="AQ239" s="9">
        <v>3</v>
      </c>
      <c r="AR239" s="9">
        <v>1</v>
      </c>
      <c r="AS239" s="10" t="s">
        <v>94</v>
      </c>
      <c r="AT239" s="10" t="s">
        <v>53</v>
      </c>
      <c r="AU239" s="8"/>
      <c r="AV239" s="10" t="s">
        <v>54</v>
      </c>
      <c r="AW239" s="10" t="s">
        <v>51</v>
      </c>
      <c r="AX239" s="10" t="s">
        <v>95</v>
      </c>
      <c r="AY239" s="8"/>
    </row>
    <row r="240" spans="1:51" x14ac:dyDescent="0.15">
      <c r="A240" s="11" t="s">
        <v>66</v>
      </c>
      <c r="B240" s="12" t="s">
        <v>67</v>
      </c>
      <c r="C240" s="10" t="s">
        <v>58</v>
      </c>
      <c r="D240" s="10" t="s">
        <v>59</v>
      </c>
      <c r="E240" s="9">
        <v>234</v>
      </c>
      <c r="F240" s="9">
        <v>234</v>
      </c>
      <c r="G240" s="9">
        <v>4</v>
      </c>
      <c r="H240" s="10" t="s">
        <v>59</v>
      </c>
      <c r="I240" s="9">
        <v>1</v>
      </c>
      <c r="J240" s="9">
        <v>0.45033783301187202</v>
      </c>
      <c r="K240" s="10" t="s">
        <v>51</v>
      </c>
      <c r="L240" s="9">
        <v>4</v>
      </c>
      <c r="M240" s="9">
        <v>234</v>
      </c>
      <c r="N240" s="9">
        <v>234</v>
      </c>
      <c r="O240" s="9">
        <v>46</v>
      </c>
      <c r="P240" s="9">
        <v>288.547974834</v>
      </c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9">
        <v>288.53682629200898</v>
      </c>
      <c r="AD240" s="9">
        <v>288.547974834</v>
      </c>
      <c r="AE240" s="9">
        <v>289.03486754200998</v>
      </c>
      <c r="AF240" s="9">
        <v>289.03486754200998</v>
      </c>
      <c r="AG240" s="9">
        <v>289.03486754200998</v>
      </c>
      <c r="AH240" s="9">
        <v>289.49452795900299</v>
      </c>
      <c r="AI240" s="10" t="s">
        <v>59</v>
      </c>
      <c r="AJ240" s="9">
        <v>1</v>
      </c>
      <c r="AK240" s="9">
        <v>0.45033783301187202</v>
      </c>
      <c r="AL240" s="10" t="s">
        <v>51</v>
      </c>
      <c r="AM240" s="8"/>
      <c r="AN240" s="8"/>
      <c r="AO240" s="8"/>
      <c r="AP240" s="8"/>
      <c r="AQ240" s="9">
        <v>3</v>
      </c>
      <c r="AR240" s="9">
        <v>1</v>
      </c>
      <c r="AS240" s="10" t="s">
        <v>94</v>
      </c>
      <c r="AT240" s="10" t="s">
        <v>53</v>
      </c>
      <c r="AU240" s="8"/>
      <c r="AV240" s="10" t="s">
        <v>54</v>
      </c>
      <c r="AW240" s="10" t="s">
        <v>51</v>
      </c>
      <c r="AX240" s="10" t="s">
        <v>95</v>
      </c>
      <c r="AY240" s="8"/>
    </row>
    <row r="241" spans="1:51" x14ac:dyDescent="0.15">
      <c r="A241" s="11" t="s">
        <v>66</v>
      </c>
      <c r="B241" s="12" t="s">
        <v>67</v>
      </c>
      <c r="C241" s="10" t="s">
        <v>62</v>
      </c>
      <c r="D241" s="10" t="s">
        <v>63</v>
      </c>
      <c r="E241" s="9">
        <v>239</v>
      </c>
      <c r="F241" s="9">
        <v>239</v>
      </c>
      <c r="G241" s="9">
        <v>4</v>
      </c>
      <c r="H241" s="10" t="s">
        <v>63</v>
      </c>
      <c r="I241" s="9">
        <v>1</v>
      </c>
      <c r="J241" s="9">
        <v>0.30356029199902002</v>
      </c>
      <c r="K241" s="10" t="s">
        <v>51</v>
      </c>
      <c r="L241" s="9">
        <v>4</v>
      </c>
      <c r="M241" s="9">
        <v>239</v>
      </c>
      <c r="N241" s="9">
        <v>239</v>
      </c>
      <c r="O241" s="9">
        <v>47</v>
      </c>
      <c r="P241" s="9">
        <v>292.89207779199899</v>
      </c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9">
        <v>292.88301908400899</v>
      </c>
      <c r="AD241" s="9">
        <v>292.89207779199899</v>
      </c>
      <c r="AE241" s="9">
        <v>293.37566616700502</v>
      </c>
      <c r="AF241" s="9">
        <v>293.37566616700502</v>
      </c>
      <c r="AG241" s="9">
        <v>293.37566616700502</v>
      </c>
      <c r="AH241" s="9">
        <v>293.684234750006</v>
      </c>
      <c r="AI241" s="10" t="s">
        <v>63</v>
      </c>
      <c r="AJ241" s="9">
        <v>1</v>
      </c>
      <c r="AK241" s="9">
        <v>0.30356029199902002</v>
      </c>
      <c r="AL241" s="10" t="s">
        <v>51</v>
      </c>
      <c r="AM241" s="8"/>
      <c r="AN241" s="8"/>
      <c r="AO241" s="8"/>
      <c r="AP241" s="8"/>
      <c r="AQ241" s="9">
        <v>3</v>
      </c>
      <c r="AR241" s="9">
        <v>1</v>
      </c>
      <c r="AS241" s="10" t="s">
        <v>94</v>
      </c>
      <c r="AT241" s="10" t="s">
        <v>53</v>
      </c>
      <c r="AU241" s="8"/>
      <c r="AV241" s="10" t="s">
        <v>54</v>
      </c>
      <c r="AW241" s="10" t="s">
        <v>51</v>
      </c>
      <c r="AX241" s="10" t="s">
        <v>95</v>
      </c>
      <c r="AY241" s="8"/>
    </row>
    <row r="242" spans="1:51" x14ac:dyDescent="0.15">
      <c r="A242" s="6"/>
      <c r="B242" s="7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9">
        <v>1.0881624999456101E-2</v>
      </c>
      <c r="S242" s="9">
        <v>3.1666625000070801E-2</v>
      </c>
      <c r="T242" s="9">
        <v>3.1666625000070801E-2</v>
      </c>
      <c r="U242" s="9">
        <v>21.817972542004998</v>
      </c>
      <c r="V242" s="10" t="s">
        <v>50</v>
      </c>
      <c r="W242" s="9">
        <v>21.7764187080029</v>
      </c>
      <c r="X242" s="10" t="s">
        <v>51</v>
      </c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9">
        <v>3</v>
      </c>
      <c r="AR242" s="9">
        <v>1</v>
      </c>
      <c r="AS242" s="10" t="s">
        <v>94</v>
      </c>
      <c r="AT242" s="10" t="s">
        <v>53</v>
      </c>
      <c r="AU242" s="8"/>
      <c r="AV242" s="10" t="s">
        <v>54</v>
      </c>
      <c r="AW242" s="10" t="s">
        <v>51</v>
      </c>
      <c r="AX242" s="10" t="s">
        <v>95</v>
      </c>
      <c r="AY242" s="8"/>
    </row>
    <row r="243" spans="1:51" x14ac:dyDescent="0.15">
      <c r="A243" s="6"/>
      <c r="B243" s="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9">
        <v>21.818093834008302</v>
      </c>
      <c r="Z243" s="9">
        <v>21.830024209004499</v>
      </c>
      <c r="AA243" s="9">
        <v>22.8986153750011</v>
      </c>
      <c r="AB243" s="9">
        <v>22.8167437090015</v>
      </c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9">
        <v>3</v>
      </c>
      <c r="AR243" s="9">
        <v>1</v>
      </c>
      <c r="AS243" s="10" t="s">
        <v>94</v>
      </c>
      <c r="AT243" s="10" t="s">
        <v>53</v>
      </c>
      <c r="AU243" s="8"/>
      <c r="AV243" s="10" t="s">
        <v>54</v>
      </c>
      <c r="AW243" s="10" t="s">
        <v>51</v>
      </c>
      <c r="AX243" s="10" t="s">
        <v>95</v>
      </c>
      <c r="AY243" s="8"/>
    </row>
    <row r="244" spans="1:51" x14ac:dyDescent="0.15">
      <c r="A244" s="6"/>
      <c r="B244" s="7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9">
        <v>293.68445325001102</v>
      </c>
      <c r="AN244" s="9">
        <v>293.697862750007</v>
      </c>
      <c r="AO244" s="9">
        <v>295.69281454201001</v>
      </c>
      <c r="AP244" s="9">
        <v>295.68262116701197</v>
      </c>
      <c r="AQ244" s="9">
        <v>3</v>
      </c>
      <c r="AR244" s="9">
        <v>1</v>
      </c>
      <c r="AS244" s="10" t="s">
        <v>94</v>
      </c>
      <c r="AT244" s="10" t="s">
        <v>53</v>
      </c>
      <c r="AU244" s="8"/>
      <c r="AV244" s="10" t="s">
        <v>54</v>
      </c>
      <c r="AW244" s="10" t="s">
        <v>51</v>
      </c>
      <c r="AX244" s="10" t="s">
        <v>95</v>
      </c>
      <c r="AY244" s="8"/>
    </row>
    <row r="248" spans="1:51" ht="14" x14ac:dyDescent="0.15">
      <c r="E248" s="16" t="s">
        <v>87</v>
      </c>
    </row>
    <row r="249" spans="1:51" ht="14" x14ac:dyDescent="0.15">
      <c r="E249" s="15" t="s">
        <v>88</v>
      </c>
      <c r="F249" s="18">
        <f>AVERAGE(J2:J81)</f>
        <v>0.67250595489931597</v>
      </c>
      <c r="H249" s="16" t="s">
        <v>91</v>
      </c>
    </row>
    <row r="250" spans="1:51" ht="14" x14ac:dyDescent="0.15">
      <c r="E250" s="15" t="s">
        <v>89</v>
      </c>
      <c r="F250" s="18">
        <f>AVERAGE(J82:J161)</f>
        <v>0.61602107736289335</v>
      </c>
      <c r="H250" s="15" t="s">
        <v>92</v>
      </c>
      <c r="I250" s="18">
        <f>F249-F250</f>
        <v>5.6484877536422617E-2</v>
      </c>
    </row>
    <row r="251" spans="1:51" ht="14" x14ac:dyDescent="0.15">
      <c r="E251" s="15" t="s">
        <v>90</v>
      </c>
      <c r="F251" s="18">
        <f>AVERAGE(J162:J241)</f>
        <v>0.58035552731344076</v>
      </c>
      <c r="H251" s="15" t="s">
        <v>93</v>
      </c>
      <c r="I251" s="18">
        <f>F249-F251</f>
        <v>9.2150427585875216E-2</v>
      </c>
    </row>
    <row r="255" spans="1:51" ht="14" x14ac:dyDescent="0.15">
      <c r="E255" s="16" t="s">
        <v>114</v>
      </c>
    </row>
    <row r="256" spans="1:51" ht="14" x14ac:dyDescent="0.15">
      <c r="E256" s="19" t="s">
        <v>115</v>
      </c>
      <c r="F256" s="18">
        <f>AVERAGE(I2:I81)*100</f>
        <v>98.75</v>
      </c>
    </row>
    <row r="257" spans="5:6" ht="14" x14ac:dyDescent="0.15">
      <c r="E257" s="15" t="s">
        <v>116</v>
      </c>
      <c r="F257" s="18">
        <f>AVERAGE(I82:I161)*100</f>
        <v>97.5</v>
      </c>
    </row>
    <row r="258" spans="5:6" ht="14" x14ac:dyDescent="0.15">
      <c r="E258" s="15" t="s">
        <v>117</v>
      </c>
      <c r="F258" s="18">
        <f>AVERAGE(I162:I241)*100</f>
        <v>98.75</v>
      </c>
    </row>
  </sheetData>
  <sortState xmlns:xlrd2="http://schemas.microsoft.com/office/spreadsheetml/2017/richdata2" ref="A2:AX244">
    <sortCondition descending="1" ref="B1:B2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FFB3-10C9-A346-87CA-20D6A9264D4F}">
  <dimension ref="A1:AX258"/>
  <sheetViews>
    <sheetView topLeftCell="A232" workbookViewId="0">
      <selection activeCell="I249" sqref="I249:I250"/>
    </sheetView>
  </sheetViews>
  <sheetFormatPr baseColWidth="10" defaultColWidth="10.83203125" defaultRowHeight="13" x14ac:dyDescent="0.15"/>
  <cols>
    <col min="5" max="5" width="21.5" customWidth="1"/>
    <col min="6" max="6" width="11.6640625" bestFit="1" customWidth="1"/>
    <col min="8" max="8" width="23" customWidth="1"/>
    <col min="9" max="9" width="11.6640625" bestFit="1" customWidth="1"/>
  </cols>
  <sheetData>
    <row r="1" spans="1:5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2"/>
    </row>
    <row r="2" spans="1:50" x14ac:dyDescent="0.15">
      <c r="A2" s="13" t="s">
        <v>85</v>
      </c>
      <c r="B2" s="14" t="s">
        <v>61</v>
      </c>
      <c r="C2" s="5" t="s">
        <v>58</v>
      </c>
      <c r="D2" s="5" t="s">
        <v>59</v>
      </c>
      <c r="E2" s="4">
        <v>1</v>
      </c>
      <c r="F2" s="4">
        <v>1</v>
      </c>
      <c r="G2" s="4">
        <v>0</v>
      </c>
      <c r="H2" s="5" t="s">
        <v>59</v>
      </c>
      <c r="I2" s="4">
        <v>1</v>
      </c>
      <c r="J2" s="4">
        <v>0.52590366601361904</v>
      </c>
      <c r="K2" s="5" t="s">
        <v>51</v>
      </c>
      <c r="L2" s="4">
        <v>0</v>
      </c>
      <c r="M2" s="4">
        <v>1</v>
      </c>
      <c r="N2" s="4">
        <v>1</v>
      </c>
      <c r="O2" s="4">
        <v>10</v>
      </c>
      <c r="P2" s="4">
        <v>14.9584035829903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4">
        <v>14.948086666990999</v>
      </c>
      <c r="AC2" s="4">
        <v>14.9584035829903</v>
      </c>
      <c r="AD2" s="4">
        <v>15.443575457989899</v>
      </c>
      <c r="AE2" s="4">
        <v>15.443575457989899</v>
      </c>
      <c r="AF2" s="4">
        <v>15.443575457989899</v>
      </c>
      <c r="AG2" s="4">
        <v>15.973764499998699</v>
      </c>
      <c r="AH2" s="5" t="s">
        <v>59</v>
      </c>
      <c r="AI2" s="4">
        <v>1</v>
      </c>
      <c r="AJ2" s="4">
        <v>0.52590366601361904</v>
      </c>
      <c r="AK2" s="5" t="s">
        <v>51</v>
      </c>
      <c r="AL2" s="3"/>
      <c r="AM2" s="3"/>
      <c r="AN2" s="3"/>
      <c r="AO2" s="3"/>
      <c r="AP2" s="4">
        <v>4</v>
      </c>
      <c r="AQ2" s="4">
        <v>1</v>
      </c>
      <c r="AR2" s="5" t="s">
        <v>98</v>
      </c>
      <c r="AS2" s="5" t="s">
        <v>53</v>
      </c>
      <c r="AT2" s="3"/>
      <c r="AU2" s="5" t="s">
        <v>54</v>
      </c>
      <c r="AV2" s="5" t="s">
        <v>51</v>
      </c>
      <c r="AW2" s="5" t="s">
        <v>99</v>
      </c>
      <c r="AX2" s="3"/>
    </row>
    <row r="3" spans="1:50" x14ac:dyDescent="0.15">
      <c r="A3" s="11" t="s">
        <v>64</v>
      </c>
      <c r="B3" s="12" t="s">
        <v>61</v>
      </c>
      <c r="C3" s="10" t="s">
        <v>62</v>
      </c>
      <c r="D3" s="10" t="s">
        <v>63</v>
      </c>
      <c r="E3" s="9">
        <v>8</v>
      </c>
      <c r="F3" s="9">
        <v>8</v>
      </c>
      <c r="G3" s="9">
        <v>0</v>
      </c>
      <c r="H3" s="10" t="s">
        <v>63</v>
      </c>
      <c r="I3" s="9">
        <v>1</v>
      </c>
      <c r="J3" s="9">
        <v>1.3329142080037899</v>
      </c>
      <c r="K3" s="10" t="s">
        <v>51</v>
      </c>
      <c r="L3" s="9">
        <v>0</v>
      </c>
      <c r="M3" s="9">
        <v>8</v>
      </c>
      <c r="N3" s="9">
        <v>8</v>
      </c>
      <c r="O3" s="9">
        <v>5</v>
      </c>
      <c r="P3" s="9">
        <v>21.7224658329942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>
        <v>21.712903249994302</v>
      </c>
      <c r="AC3" s="9">
        <v>21.7224658329942</v>
      </c>
      <c r="AD3" s="9">
        <v>22.205733999988301</v>
      </c>
      <c r="AE3" s="9">
        <v>22.205733999988301</v>
      </c>
      <c r="AF3" s="9">
        <v>22.205733999988301</v>
      </c>
      <c r="AG3" s="9">
        <v>23.5407762079994</v>
      </c>
      <c r="AH3" s="10" t="s">
        <v>63</v>
      </c>
      <c r="AI3" s="9">
        <v>1</v>
      </c>
      <c r="AJ3" s="9">
        <v>1.3329142080037899</v>
      </c>
      <c r="AK3" s="10" t="s">
        <v>51</v>
      </c>
      <c r="AL3" s="8"/>
      <c r="AM3" s="8"/>
      <c r="AN3" s="8"/>
      <c r="AO3" s="8"/>
      <c r="AP3" s="9">
        <v>4</v>
      </c>
      <c r="AQ3" s="9">
        <v>1</v>
      </c>
      <c r="AR3" s="10" t="s">
        <v>98</v>
      </c>
      <c r="AS3" s="10" t="s">
        <v>53</v>
      </c>
      <c r="AT3" s="8"/>
      <c r="AU3" s="10" t="s">
        <v>54</v>
      </c>
      <c r="AV3" s="10" t="s">
        <v>51</v>
      </c>
      <c r="AW3" s="10" t="s">
        <v>99</v>
      </c>
      <c r="AX3" s="8"/>
    </row>
    <row r="4" spans="1:50" x14ac:dyDescent="0.15">
      <c r="A4" s="11" t="s">
        <v>60</v>
      </c>
      <c r="B4" s="12" t="s">
        <v>61</v>
      </c>
      <c r="C4" s="10" t="s">
        <v>62</v>
      </c>
      <c r="D4" s="10" t="s">
        <v>63</v>
      </c>
      <c r="E4" s="9">
        <v>10</v>
      </c>
      <c r="F4" s="9">
        <v>10</v>
      </c>
      <c r="G4" s="9">
        <v>0</v>
      </c>
      <c r="H4" s="10" t="s">
        <v>63</v>
      </c>
      <c r="I4" s="9">
        <v>1</v>
      </c>
      <c r="J4" s="9">
        <v>0.70920487400144305</v>
      </c>
      <c r="K4" s="10" t="s">
        <v>51</v>
      </c>
      <c r="L4" s="9">
        <v>0</v>
      </c>
      <c r="M4" s="9">
        <v>10</v>
      </c>
      <c r="N4" s="9">
        <v>10</v>
      </c>
      <c r="O4" s="9">
        <v>9</v>
      </c>
      <c r="P4" s="9">
        <v>24.571217166987498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9">
        <v>24.562645749989301</v>
      </c>
      <c r="AC4" s="9">
        <v>24.571217166987498</v>
      </c>
      <c r="AD4" s="9">
        <v>25.055303000001</v>
      </c>
      <c r="AE4" s="9">
        <v>25.055303000001</v>
      </c>
      <c r="AF4" s="9">
        <v>25.055303000001</v>
      </c>
      <c r="AG4" s="9">
        <v>25.774529332993598</v>
      </c>
      <c r="AH4" s="10" t="s">
        <v>63</v>
      </c>
      <c r="AI4" s="9">
        <v>1</v>
      </c>
      <c r="AJ4" s="9">
        <v>0.70920487400144305</v>
      </c>
      <c r="AK4" s="10" t="s">
        <v>51</v>
      </c>
      <c r="AL4" s="8"/>
      <c r="AM4" s="8"/>
      <c r="AN4" s="8"/>
      <c r="AO4" s="8"/>
      <c r="AP4" s="9">
        <v>4</v>
      </c>
      <c r="AQ4" s="9">
        <v>1</v>
      </c>
      <c r="AR4" s="10" t="s">
        <v>98</v>
      </c>
      <c r="AS4" s="10" t="s">
        <v>53</v>
      </c>
      <c r="AT4" s="8"/>
      <c r="AU4" s="10" t="s">
        <v>54</v>
      </c>
      <c r="AV4" s="10" t="s">
        <v>51</v>
      </c>
      <c r="AW4" s="10" t="s">
        <v>99</v>
      </c>
      <c r="AX4" s="8"/>
    </row>
    <row r="5" spans="1:50" x14ac:dyDescent="0.15">
      <c r="A5" s="11" t="s">
        <v>85</v>
      </c>
      <c r="B5" s="12" t="s">
        <v>61</v>
      </c>
      <c r="C5" s="10" t="s">
        <v>62</v>
      </c>
      <c r="D5" s="10" t="s">
        <v>63</v>
      </c>
      <c r="E5" s="9">
        <v>13</v>
      </c>
      <c r="F5" s="9">
        <v>13</v>
      </c>
      <c r="G5" s="9">
        <v>0</v>
      </c>
      <c r="H5" s="10" t="s">
        <v>63</v>
      </c>
      <c r="I5" s="9">
        <v>1</v>
      </c>
      <c r="J5" s="9">
        <v>0.54410466601257201</v>
      </c>
      <c r="K5" s="10" t="s">
        <v>51</v>
      </c>
      <c r="L5" s="9">
        <v>0</v>
      </c>
      <c r="M5" s="9">
        <v>13</v>
      </c>
      <c r="N5" s="9">
        <v>13</v>
      </c>
      <c r="O5" s="9">
        <v>11</v>
      </c>
      <c r="P5" s="9">
        <v>27.945458749993101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9">
        <v>27.934531207996798</v>
      </c>
      <c r="AC5" s="9">
        <v>27.945458749993101</v>
      </c>
      <c r="AD5" s="9">
        <v>28.4313308749988</v>
      </c>
      <c r="AE5" s="9">
        <v>28.4313308749988</v>
      </c>
      <c r="AF5" s="9">
        <v>28.4313308749988</v>
      </c>
      <c r="AG5" s="9">
        <v>28.9802389169927</v>
      </c>
      <c r="AH5" s="10" t="s">
        <v>63</v>
      </c>
      <c r="AI5" s="9">
        <v>1</v>
      </c>
      <c r="AJ5" s="9">
        <v>0.54410466601257201</v>
      </c>
      <c r="AK5" s="10" t="s">
        <v>51</v>
      </c>
      <c r="AL5" s="8"/>
      <c r="AM5" s="8"/>
      <c r="AN5" s="8"/>
      <c r="AO5" s="8"/>
      <c r="AP5" s="9">
        <v>4</v>
      </c>
      <c r="AQ5" s="9">
        <v>1</v>
      </c>
      <c r="AR5" s="10" t="s">
        <v>98</v>
      </c>
      <c r="AS5" s="10" t="s">
        <v>53</v>
      </c>
      <c r="AT5" s="8"/>
      <c r="AU5" s="10" t="s">
        <v>54</v>
      </c>
      <c r="AV5" s="10" t="s">
        <v>51</v>
      </c>
      <c r="AW5" s="10" t="s">
        <v>99</v>
      </c>
      <c r="AX5" s="8"/>
    </row>
    <row r="6" spans="1:50" x14ac:dyDescent="0.15">
      <c r="A6" s="11" t="s">
        <v>83</v>
      </c>
      <c r="B6" s="12" t="s">
        <v>61</v>
      </c>
      <c r="C6" s="10" t="s">
        <v>58</v>
      </c>
      <c r="D6" s="10" t="s">
        <v>59</v>
      </c>
      <c r="E6" s="9">
        <v>16</v>
      </c>
      <c r="F6" s="9">
        <v>16</v>
      </c>
      <c r="G6" s="9">
        <v>0</v>
      </c>
      <c r="H6" s="10" t="s">
        <v>59</v>
      </c>
      <c r="I6" s="9">
        <v>1</v>
      </c>
      <c r="J6" s="9">
        <v>0.30757124999945501</v>
      </c>
      <c r="K6" s="10" t="s">
        <v>51</v>
      </c>
      <c r="L6" s="9">
        <v>0</v>
      </c>
      <c r="M6" s="9">
        <v>16</v>
      </c>
      <c r="N6" s="9">
        <v>16</v>
      </c>
      <c r="O6" s="9">
        <v>2</v>
      </c>
      <c r="P6" s="9">
        <v>30.743809666993901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9">
        <v>30.734560457989598</v>
      </c>
      <c r="AC6" s="9">
        <v>30.743809666993901</v>
      </c>
      <c r="AD6" s="9">
        <v>31.231985666992799</v>
      </c>
      <c r="AE6" s="9">
        <v>31.231985666992799</v>
      </c>
      <c r="AF6" s="9">
        <v>31.231985666992799</v>
      </c>
      <c r="AG6" s="9">
        <v>31.546922707988401</v>
      </c>
      <c r="AH6" s="10" t="s">
        <v>59</v>
      </c>
      <c r="AI6" s="9">
        <v>1</v>
      </c>
      <c r="AJ6" s="9">
        <v>0.30757124999945501</v>
      </c>
      <c r="AK6" s="10" t="s">
        <v>51</v>
      </c>
      <c r="AL6" s="8"/>
      <c r="AM6" s="8"/>
      <c r="AN6" s="8"/>
      <c r="AO6" s="8"/>
      <c r="AP6" s="9">
        <v>4</v>
      </c>
      <c r="AQ6" s="9">
        <v>1</v>
      </c>
      <c r="AR6" s="10" t="s">
        <v>98</v>
      </c>
      <c r="AS6" s="10" t="s">
        <v>53</v>
      </c>
      <c r="AT6" s="8"/>
      <c r="AU6" s="10" t="s">
        <v>54</v>
      </c>
      <c r="AV6" s="10" t="s">
        <v>51</v>
      </c>
      <c r="AW6" s="10" t="s">
        <v>99</v>
      </c>
      <c r="AX6" s="8"/>
    </row>
    <row r="7" spans="1:50" x14ac:dyDescent="0.15">
      <c r="A7" s="11" t="s">
        <v>73</v>
      </c>
      <c r="B7" s="12" t="s">
        <v>61</v>
      </c>
      <c r="C7" s="10" t="s">
        <v>62</v>
      </c>
      <c r="D7" s="10" t="s">
        <v>63</v>
      </c>
      <c r="E7" s="9">
        <v>19</v>
      </c>
      <c r="F7" s="9">
        <v>19</v>
      </c>
      <c r="G7" s="9">
        <v>0</v>
      </c>
      <c r="H7" s="10" t="s">
        <v>63</v>
      </c>
      <c r="I7" s="9">
        <v>1</v>
      </c>
      <c r="J7" s="9">
        <v>0.44923237500188401</v>
      </c>
      <c r="K7" s="10" t="s">
        <v>51</v>
      </c>
      <c r="L7" s="9">
        <v>0</v>
      </c>
      <c r="M7" s="9">
        <v>19</v>
      </c>
      <c r="N7" s="9">
        <v>19</v>
      </c>
      <c r="O7" s="9">
        <v>15</v>
      </c>
      <c r="P7" s="9">
        <v>33.178457541987903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9">
        <v>33.169268332989297</v>
      </c>
      <c r="AC7" s="9">
        <v>33.178457541987903</v>
      </c>
      <c r="AD7" s="9">
        <v>33.6556111669925</v>
      </c>
      <c r="AE7" s="9">
        <v>33.6556111669925</v>
      </c>
      <c r="AF7" s="9">
        <v>33.6556111669925</v>
      </c>
      <c r="AG7" s="9">
        <v>34.107697457991897</v>
      </c>
      <c r="AH7" s="10" t="s">
        <v>63</v>
      </c>
      <c r="AI7" s="9">
        <v>1</v>
      </c>
      <c r="AJ7" s="9">
        <v>0.44923237500188401</v>
      </c>
      <c r="AK7" s="10" t="s">
        <v>51</v>
      </c>
      <c r="AL7" s="8"/>
      <c r="AM7" s="8"/>
      <c r="AN7" s="8"/>
      <c r="AO7" s="8"/>
      <c r="AP7" s="9">
        <v>4</v>
      </c>
      <c r="AQ7" s="9">
        <v>1</v>
      </c>
      <c r="AR7" s="10" t="s">
        <v>98</v>
      </c>
      <c r="AS7" s="10" t="s">
        <v>53</v>
      </c>
      <c r="AT7" s="8"/>
      <c r="AU7" s="10" t="s">
        <v>54</v>
      </c>
      <c r="AV7" s="10" t="s">
        <v>51</v>
      </c>
      <c r="AW7" s="10" t="s">
        <v>99</v>
      </c>
      <c r="AX7" s="8"/>
    </row>
    <row r="8" spans="1:50" x14ac:dyDescent="0.15">
      <c r="A8" s="11" t="s">
        <v>85</v>
      </c>
      <c r="B8" s="12" t="s">
        <v>61</v>
      </c>
      <c r="C8" s="10" t="s">
        <v>62</v>
      </c>
      <c r="D8" s="10" t="s">
        <v>63</v>
      </c>
      <c r="E8" s="9">
        <v>20</v>
      </c>
      <c r="F8" s="9">
        <v>20</v>
      </c>
      <c r="G8" s="9">
        <v>1</v>
      </c>
      <c r="H8" s="10" t="s">
        <v>63</v>
      </c>
      <c r="I8" s="9">
        <v>1</v>
      </c>
      <c r="J8" s="9">
        <v>0.32045412500156101</v>
      </c>
      <c r="K8" s="10" t="s">
        <v>51</v>
      </c>
      <c r="L8" s="9">
        <v>1</v>
      </c>
      <c r="M8" s="9">
        <v>20</v>
      </c>
      <c r="N8" s="9">
        <v>20</v>
      </c>
      <c r="O8" s="9">
        <v>11</v>
      </c>
      <c r="P8" s="9">
        <v>34.121100916992901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9">
        <v>34.112077624988203</v>
      </c>
      <c r="AC8" s="9">
        <v>34.121100916992901</v>
      </c>
      <c r="AD8" s="9">
        <v>34.606157499991198</v>
      </c>
      <c r="AE8" s="9">
        <v>34.606157499991198</v>
      </c>
      <c r="AF8" s="9">
        <v>34.606157499991198</v>
      </c>
      <c r="AG8" s="9">
        <v>34.930481832998296</v>
      </c>
      <c r="AH8" s="10" t="s">
        <v>63</v>
      </c>
      <c r="AI8" s="9">
        <v>1</v>
      </c>
      <c r="AJ8" s="9">
        <v>0.32045412500156101</v>
      </c>
      <c r="AK8" s="10" t="s">
        <v>51</v>
      </c>
      <c r="AL8" s="8"/>
      <c r="AM8" s="8"/>
      <c r="AN8" s="8"/>
      <c r="AO8" s="8"/>
      <c r="AP8" s="9">
        <v>4</v>
      </c>
      <c r="AQ8" s="9">
        <v>1</v>
      </c>
      <c r="AR8" s="10" t="s">
        <v>98</v>
      </c>
      <c r="AS8" s="10" t="s">
        <v>53</v>
      </c>
      <c r="AT8" s="8"/>
      <c r="AU8" s="10" t="s">
        <v>54</v>
      </c>
      <c r="AV8" s="10" t="s">
        <v>51</v>
      </c>
      <c r="AW8" s="10" t="s">
        <v>99</v>
      </c>
      <c r="AX8" s="8"/>
    </row>
    <row r="9" spans="1:50" x14ac:dyDescent="0.15">
      <c r="A9" s="11" t="s">
        <v>74</v>
      </c>
      <c r="B9" s="12" t="s">
        <v>61</v>
      </c>
      <c r="C9" s="10" t="s">
        <v>58</v>
      </c>
      <c r="D9" s="10" t="s">
        <v>59</v>
      </c>
      <c r="E9" s="9">
        <v>22</v>
      </c>
      <c r="F9" s="9">
        <v>22</v>
      </c>
      <c r="G9" s="9">
        <v>0</v>
      </c>
      <c r="H9" s="10" t="s">
        <v>59</v>
      </c>
      <c r="I9" s="9">
        <v>1</v>
      </c>
      <c r="J9" s="9">
        <v>0.294320165994577</v>
      </c>
      <c r="K9" s="10" t="s">
        <v>51</v>
      </c>
      <c r="L9" s="9">
        <v>0</v>
      </c>
      <c r="M9" s="9">
        <v>22</v>
      </c>
      <c r="N9" s="9">
        <v>22</v>
      </c>
      <c r="O9" s="9">
        <v>0</v>
      </c>
      <c r="P9" s="9">
        <v>35.8892579999956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9">
        <v>35.880332832995897</v>
      </c>
      <c r="AC9" s="9">
        <v>35.8892579999956</v>
      </c>
      <c r="AD9" s="9">
        <v>36.372378166997798</v>
      </c>
      <c r="AE9" s="9">
        <v>36.372378166997798</v>
      </c>
      <c r="AF9" s="9">
        <v>36.372378166997798</v>
      </c>
      <c r="AG9" s="9">
        <v>36.6745968329924</v>
      </c>
      <c r="AH9" s="10" t="s">
        <v>59</v>
      </c>
      <c r="AI9" s="9">
        <v>1</v>
      </c>
      <c r="AJ9" s="9">
        <v>0.294320165994577</v>
      </c>
      <c r="AK9" s="10" t="s">
        <v>51</v>
      </c>
      <c r="AL9" s="8"/>
      <c r="AM9" s="8"/>
      <c r="AN9" s="8"/>
      <c r="AO9" s="8"/>
      <c r="AP9" s="9">
        <v>4</v>
      </c>
      <c r="AQ9" s="9">
        <v>1</v>
      </c>
      <c r="AR9" s="10" t="s">
        <v>98</v>
      </c>
      <c r="AS9" s="10" t="s">
        <v>53</v>
      </c>
      <c r="AT9" s="8"/>
      <c r="AU9" s="10" t="s">
        <v>54</v>
      </c>
      <c r="AV9" s="10" t="s">
        <v>51</v>
      </c>
      <c r="AW9" s="10" t="s">
        <v>99</v>
      </c>
      <c r="AX9" s="8"/>
    </row>
    <row r="10" spans="1:50" x14ac:dyDescent="0.15">
      <c r="A10" s="11" t="s">
        <v>79</v>
      </c>
      <c r="B10" s="12" t="s">
        <v>61</v>
      </c>
      <c r="C10" s="10" t="s">
        <v>58</v>
      </c>
      <c r="D10" s="10" t="s">
        <v>59</v>
      </c>
      <c r="E10" s="9">
        <v>25</v>
      </c>
      <c r="F10" s="9">
        <v>25</v>
      </c>
      <c r="G10" s="9">
        <v>0</v>
      </c>
      <c r="H10" s="10" t="s">
        <v>59</v>
      </c>
      <c r="I10" s="9">
        <v>1</v>
      </c>
      <c r="J10" s="9">
        <v>0.30403587500040902</v>
      </c>
      <c r="K10" s="10" t="s">
        <v>51</v>
      </c>
      <c r="L10" s="9">
        <v>0</v>
      </c>
      <c r="M10" s="9">
        <v>25</v>
      </c>
      <c r="N10" s="9">
        <v>25</v>
      </c>
      <c r="O10" s="9">
        <v>6</v>
      </c>
      <c r="P10" s="9">
        <v>38.288364416992401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9">
        <v>38.2794594999868</v>
      </c>
      <c r="AC10" s="9">
        <v>38.288364416992401</v>
      </c>
      <c r="AD10" s="9">
        <v>38.772695583000299</v>
      </c>
      <c r="AE10" s="9">
        <v>38.772695583000299</v>
      </c>
      <c r="AF10" s="9">
        <v>38.772695583000299</v>
      </c>
      <c r="AG10" s="9">
        <v>39.080788041988903</v>
      </c>
      <c r="AH10" s="10" t="s">
        <v>59</v>
      </c>
      <c r="AI10" s="9">
        <v>1</v>
      </c>
      <c r="AJ10" s="9">
        <v>0.30403587500040902</v>
      </c>
      <c r="AK10" s="10" t="s">
        <v>51</v>
      </c>
      <c r="AL10" s="8"/>
      <c r="AM10" s="8"/>
      <c r="AN10" s="8"/>
      <c r="AO10" s="8"/>
      <c r="AP10" s="9">
        <v>4</v>
      </c>
      <c r="AQ10" s="9">
        <v>1</v>
      </c>
      <c r="AR10" s="10" t="s">
        <v>98</v>
      </c>
      <c r="AS10" s="10" t="s">
        <v>53</v>
      </c>
      <c r="AT10" s="8"/>
      <c r="AU10" s="10" t="s">
        <v>54</v>
      </c>
      <c r="AV10" s="10" t="s">
        <v>51</v>
      </c>
      <c r="AW10" s="10" t="s">
        <v>99</v>
      </c>
      <c r="AX10" s="8"/>
    </row>
    <row r="11" spans="1:50" x14ac:dyDescent="0.15">
      <c r="A11" s="11" t="s">
        <v>79</v>
      </c>
      <c r="B11" s="12" t="s">
        <v>61</v>
      </c>
      <c r="C11" s="10" t="s">
        <v>58</v>
      </c>
      <c r="D11" s="10" t="s">
        <v>59</v>
      </c>
      <c r="E11" s="9">
        <v>26</v>
      </c>
      <c r="F11" s="9">
        <v>26</v>
      </c>
      <c r="G11" s="9">
        <v>1</v>
      </c>
      <c r="H11" s="10" t="s">
        <v>59</v>
      </c>
      <c r="I11" s="9">
        <v>1</v>
      </c>
      <c r="J11" s="9">
        <v>0.31501162399945298</v>
      </c>
      <c r="K11" s="10" t="s">
        <v>51</v>
      </c>
      <c r="L11" s="9">
        <v>1</v>
      </c>
      <c r="M11" s="9">
        <v>26</v>
      </c>
      <c r="N11" s="9">
        <v>26</v>
      </c>
      <c r="O11" s="9">
        <v>6</v>
      </c>
      <c r="P11" s="9">
        <v>39.094242582999897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9">
        <v>39.081887082997099</v>
      </c>
      <c r="AC11" s="9">
        <v>39.094242582999897</v>
      </c>
      <c r="AD11" s="9">
        <v>39.581676457994</v>
      </c>
      <c r="AE11" s="9">
        <v>39.581676457994</v>
      </c>
      <c r="AF11" s="9">
        <v>39.581676457994</v>
      </c>
      <c r="AG11" s="9">
        <v>39.9080941669963</v>
      </c>
      <c r="AH11" s="10" t="s">
        <v>59</v>
      </c>
      <c r="AI11" s="9">
        <v>1</v>
      </c>
      <c r="AJ11" s="9">
        <v>0.31501162399945298</v>
      </c>
      <c r="AK11" s="10" t="s">
        <v>51</v>
      </c>
      <c r="AL11" s="8"/>
      <c r="AM11" s="8"/>
      <c r="AN11" s="8"/>
      <c r="AO11" s="8"/>
      <c r="AP11" s="9">
        <v>4</v>
      </c>
      <c r="AQ11" s="9">
        <v>1</v>
      </c>
      <c r="AR11" s="10" t="s">
        <v>98</v>
      </c>
      <c r="AS11" s="10" t="s">
        <v>53</v>
      </c>
      <c r="AT11" s="8"/>
      <c r="AU11" s="10" t="s">
        <v>54</v>
      </c>
      <c r="AV11" s="10" t="s">
        <v>51</v>
      </c>
      <c r="AW11" s="10" t="s">
        <v>99</v>
      </c>
      <c r="AX11" s="8"/>
    </row>
    <row r="12" spans="1:50" x14ac:dyDescent="0.15">
      <c r="A12" s="11" t="s">
        <v>83</v>
      </c>
      <c r="B12" s="12" t="s">
        <v>61</v>
      </c>
      <c r="C12" s="10" t="s">
        <v>62</v>
      </c>
      <c r="D12" s="10" t="s">
        <v>63</v>
      </c>
      <c r="E12" s="9">
        <v>27</v>
      </c>
      <c r="F12" s="9">
        <v>27</v>
      </c>
      <c r="G12" s="9">
        <v>0</v>
      </c>
      <c r="H12" s="10" t="s">
        <v>63</v>
      </c>
      <c r="I12" s="9">
        <v>1</v>
      </c>
      <c r="J12" s="9">
        <v>0.31659241601300903</v>
      </c>
      <c r="K12" s="10" t="s">
        <v>51</v>
      </c>
      <c r="L12" s="9">
        <v>0</v>
      </c>
      <c r="M12" s="9">
        <v>27</v>
      </c>
      <c r="N12" s="9">
        <v>27</v>
      </c>
      <c r="O12" s="9">
        <v>3</v>
      </c>
      <c r="P12" s="9">
        <v>39.922186083000298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9">
        <v>39.912623707990903</v>
      </c>
      <c r="AC12" s="9">
        <v>39.922186083000298</v>
      </c>
      <c r="AD12" s="9">
        <v>40.406221082987003</v>
      </c>
      <c r="AE12" s="9">
        <v>40.406221082987003</v>
      </c>
      <c r="AF12" s="9">
        <v>40.406221082987003</v>
      </c>
      <c r="AG12" s="9">
        <v>40.724893791993999</v>
      </c>
      <c r="AH12" s="10" t="s">
        <v>63</v>
      </c>
      <c r="AI12" s="9">
        <v>1</v>
      </c>
      <c r="AJ12" s="9">
        <v>0.31659241601300903</v>
      </c>
      <c r="AK12" s="10" t="s">
        <v>51</v>
      </c>
      <c r="AL12" s="8"/>
      <c r="AM12" s="8"/>
      <c r="AN12" s="8"/>
      <c r="AO12" s="8"/>
      <c r="AP12" s="9">
        <v>4</v>
      </c>
      <c r="AQ12" s="9">
        <v>1</v>
      </c>
      <c r="AR12" s="10" t="s">
        <v>98</v>
      </c>
      <c r="AS12" s="10" t="s">
        <v>53</v>
      </c>
      <c r="AT12" s="8"/>
      <c r="AU12" s="10" t="s">
        <v>54</v>
      </c>
      <c r="AV12" s="10" t="s">
        <v>51</v>
      </c>
      <c r="AW12" s="10" t="s">
        <v>99</v>
      </c>
      <c r="AX12" s="8"/>
    </row>
    <row r="13" spans="1:50" x14ac:dyDescent="0.15">
      <c r="A13" s="11" t="s">
        <v>60</v>
      </c>
      <c r="B13" s="12" t="s">
        <v>61</v>
      </c>
      <c r="C13" s="10" t="s">
        <v>58</v>
      </c>
      <c r="D13" s="10" t="s">
        <v>59</v>
      </c>
      <c r="E13" s="9">
        <v>28</v>
      </c>
      <c r="F13" s="9">
        <v>28</v>
      </c>
      <c r="G13" s="9">
        <v>0</v>
      </c>
      <c r="H13" s="10" t="s">
        <v>63</v>
      </c>
      <c r="I13" s="9">
        <v>0</v>
      </c>
      <c r="J13" s="9">
        <v>0.40763995800807601</v>
      </c>
      <c r="K13" s="10" t="s">
        <v>51</v>
      </c>
      <c r="L13" s="9">
        <v>0</v>
      </c>
      <c r="M13" s="9">
        <v>28</v>
      </c>
      <c r="N13" s="9">
        <v>28</v>
      </c>
      <c r="O13" s="9">
        <v>8</v>
      </c>
      <c r="P13" s="9">
        <v>40.739534124994002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9">
        <v>40.730544207995997</v>
      </c>
      <c r="AC13" s="9">
        <v>40.739534124994002</v>
      </c>
      <c r="AD13" s="9">
        <v>41.223110082995802</v>
      </c>
      <c r="AE13" s="9">
        <v>41.223110082995802</v>
      </c>
      <c r="AF13" s="9">
        <v>41.223110082995802</v>
      </c>
      <c r="AG13" s="9">
        <v>41.641399041996898</v>
      </c>
      <c r="AH13" s="10" t="s">
        <v>63</v>
      </c>
      <c r="AI13" s="9">
        <v>0</v>
      </c>
      <c r="AJ13" s="9">
        <v>0.40763995800807601</v>
      </c>
      <c r="AK13" s="10" t="s">
        <v>51</v>
      </c>
      <c r="AL13" s="8"/>
      <c r="AM13" s="8"/>
      <c r="AN13" s="8"/>
      <c r="AO13" s="8"/>
      <c r="AP13" s="9">
        <v>4</v>
      </c>
      <c r="AQ13" s="9">
        <v>1</v>
      </c>
      <c r="AR13" s="10" t="s">
        <v>98</v>
      </c>
      <c r="AS13" s="10" t="s">
        <v>53</v>
      </c>
      <c r="AT13" s="8"/>
      <c r="AU13" s="10" t="s">
        <v>54</v>
      </c>
      <c r="AV13" s="10" t="s">
        <v>51</v>
      </c>
      <c r="AW13" s="10" t="s">
        <v>99</v>
      </c>
      <c r="AX13" s="8"/>
    </row>
    <row r="14" spans="1:50" x14ac:dyDescent="0.15">
      <c r="A14" s="11" t="s">
        <v>74</v>
      </c>
      <c r="B14" s="12" t="s">
        <v>61</v>
      </c>
      <c r="C14" s="10" t="s">
        <v>58</v>
      </c>
      <c r="D14" s="10" t="s">
        <v>59</v>
      </c>
      <c r="E14" s="9">
        <v>31</v>
      </c>
      <c r="F14" s="9">
        <v>31</v>
      </c>
      <c r="G14" s="9">
        <v>1</v>
      </c>
      <c r="H14" s="10" t="s">
        <v>59</v>
      </c>
      <c r="I14" s="9">
        <v>1</v>
      </c>
      <c r="J14" s="9">
        <v>0.340501582992147</v>
      </c>
      <c r="K14" s="10" t="s">
        <v>51</v>
      </c>
      <c r="L14" s="9">
        <v>1</v>
      </c>
      <c r="M14" s="9">
        <v>31</v>
      </c>
      <c r="N14" s="9">
        <v>31</v>
      </c>
      <c r="O14" s="9">
        <v>0</v>
      </c>
      <c r="P14" s="9">
        <v>43.9050857499969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9">
        <v>43.8963012079912</v>
      </c>
      <c r="AC14" s="9">
        <v>43.9050857499969</v>
      </c>
      <c r="AD14" s="9">
        <v>44.389353999999003</v>
      </c>
      <c r="AE14" s="9">
        <v>44.389353999999003</v>
      </c>
      <c r="AF14" s="9">
        <v>44.389353999999003</v>
      </c>
      <c r="AG14" s="9">
        <v>44.741740582991</v>
      </c>
      <c r="AH14" s="10" t="s">
        <v>59</v>
      </c>
      <c r="AI14" s="9">
        <v>1</v>
      </c>
      <c r="AJ14" s="9">
        <v>0.340501582992147</v>
      </c>
      <c r="AK14" s="10" t="s">
        <v>51</v>
      </c>
      <c r="AL14" s="8"/>
      <c r="AM14" s="8"/>
      <c r="AN14" s="8"/>
      <c r="AO14" s="8"/>
      <c r="AP14" s="9">
        <v>4</v>
      </c>
      <c r="AQ14" s="9">
        <v>1</v>
      </c>
      <c r="AR14" s="10" t="s">
        <v>98</v>
      </c>
      <c r="AS14" s="10" t="s">
        <v>53</v>
      </c>
      <c r="AT14" s="8"/>
      <c r="AU14" s="10" t="s">
        <v>54</v>
      </c>
      <c r="AV14" s="10" t="s">
        <v>51</v>
      </c>
      <c r="AW14" s="10" t="s">
        <v>99</v>
      </c>
      <c r="AX14" s="8"/>
    </row>
    <row r="15" spans="1:50" x14ac:dyDescent="0.15">
      <c r="A15" s="11" t="s">
        <v>60</v>
      </c>
      <c r="B15" s="12" t="s">
        <v>61</v>
      </c>
      <c r="C15" s="10" t="s">
        <v>58</v>
      </c>
      <c r="D15" s="10" t="s">
        <v>59</v>
      </c>
      <c r="E15" s="9">
        <v>33</v>
      </c>
      <c r="F15" s="9">
        <v>33</v>
      </c>
      <c r="G15" s="9">
        <v>1</v>
      </c>
      <c r="H15" s="10" t="s">
        <v>63</v>
      </c>
      <c r="I15" s="9">
        <v>0</v>
      </c>
      <c r="J15" s="9">
        <v>0.37834362400462901</v>
      </c>
      <c r="K15" s="10" t="s">
        <v>51</v>
      </c>
      <c r="L15" s="9">
        <v>1</v>
      </c>
      <c r="M15" s="9">
        <v>33</v>
      </c>
      <c r="N15" s="9">
        <v>33</v>
      </c>
      <c r="O15" s="9">
        <v>8</v>
      </c>
      <c r="P15" s="9">
        <v>45.654303167000798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9">
        <v>45.645207582987503</v>
      </c>
      <c r="AC15" s="9">
        <v>45.654303167000798</v>
      </c>
      <c r="AD15" s="9">
        <v>46.1394741669938</v>
      </c>
      <c r="AE15" s="9">
        <v>46.1394741669938</v>
      </c>
      <c r="AF15" s="9">
        <v>46.1394741669938</v>
      </c>
      <c r="AG15" s="9">
        <v>46.524810582995997</v>
      </c>
      <c r="AH15" s="10" t="s">
        <v>63</v>
      </c>
      <c r="AI15" s="9">
        <v>0</v>
      </c>
      <c r="AJ15" s="9">
        <v>0.37834362400462901</v>
      </c>
      <c r="AK15" s="10" t="s">
        <v>51</v>
      </c>
      <c r="AL15" s="8"/>
      <c r="AM15" s="8"/>
      <c r="AN15" s="8"/>
      <c r="AO15" s="8"/>
      <c r="AP15" s="9">
        <v>4</v>
      </c>
      <c r="AQ15" s="9">
        <v>1</v>
      </c>
      <c r="AR15" s="10" t="s">
        <v>98</v>
      </c>
      <c r="AS15" s="10" t="s">
        <v>53</v>
      </c>
      <c r="AT15" s="8"/>
      <c r="AU15" s="10" t="s">
        <v>54</v>
      </c>
      <c r="AV15" s="10" t="s">
        <v>51</v>
      </c>
      <c r="AW15" s="10" t="s">
        <v>99</v>
      </c>
      <c r="AX15" s="8"/>
    </row>
    <row r="16" spans="1:50" x14ac:dyDescent="0.15">
      <c r="A16" s="11" t="s">
        <v>83</v>
      </c>
      <c r="B16" s="12" t="s">
        <v>61</v>
      </c>
      <c r="C16" s="10" t="s">
        <v>62</v>
      </c>
      <c r="D16" s="10" t="s">
        <v>63</v>
      </c>
      <c r="E16" s="9">
        <v>41</v>
      </c>
      <c r="F16" s="9">
        <v>41</v>
      </c>
      <c r="G16" s="9">
        <v>1</v>
      </c>
      <c r="H16" s="10" t="s">
        <v>63</v>
      </c>
      <c r="I16" s="9">
        <v>1</v>
      </c>
      <c r="J16" s="9">
        <v>0.30578966598841401</v>
      </c>
      <c r="K16" s="10" t="s">
        <v>51</v>
      </c>
      <c r="L16" s="9">
        <v>1</v>
      </c>
      <c r="M16" s="9">
        <v>41</v>
      </c>
      <c r="N16" s="9">
        <v>41</v>
      </c>
      <c r="O16" s="9">
        <v>3</v>
      </c>
      <c r="P16" s="9">
        <v>53.788307625000002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9">
        <v>53.779236541988197</v>
      </c>
      <c r="AC16" s="9">
        <v>53.788307625000002</v>
      </c>
      <c r="AD16" s="9">
        <v>54.273290666998903</v>
      </c>
      <c r="AE16" s="9">
        <v>54.273290666998903</v>
      </c>
      <c r="AF16" s="9">
        <v>54.273290666998903</v>
      </c>
      <c r="AG16" s="9">
        <v>54.581083874989403</v>
      </c>
      <c r="AH16" s="10" t="s">
        <v>63</v>
      </c>
      <c r="AI16" s="9">
        <v>1</v>
      </c>
      <c r="AJ16" s="9">
        <v>0.30578966598841401</v>
      </c>
      <c r="AK16" s="10" t="s">
        <v>51</v>
      </c>
      <c r="AL16" s="8"/>
      <c r="AM16" s="8"/>
      <c r="AN16" s="8"/>
      <c r="AO16" s="8"/>
      <c r="AP16" s="9">
        <v>4</v>
      </c>
      <c r="AQ16" s="9">
        <v>1</v>
      </c>
      <c r="AR16" s="10" t="s">
        <v>98</v>
      </c>
      <c r="AS16" s="10" t="s">
        <v>53</v>
      </c>
      <c r="AT16" s="8"/>
      <c r="AU16" s="10" t="s">
        <v>54</v>
      </c>
      <c r="AV16" s="10" t="s">
        <v>51</v>
      </c>
      <c r="AW16" s="10" t="s">
        <v>99</v>
      </c>
      <c r="AX16" s="8"/>
    </row>
    <row r="17" spans="1:50" x14ac:dyDescent="0.15">
      <c r="A17" s="11" t="s">
        <v>73</v>
      </c>
      <c r="B17" s="12" t="s">
        <v>61</v>
      </c>
      <c r="C17" s="10" t="s">
        <v>58</v>
      </c>
      <c r="D17" s="10" t="s">
        <v>59</v>
      </c>
      <c r="E17" s="9">
        <v>42</v>
      </c>
      <c r="F17" s="9">
        <v>42</v>
      </c>
      <c r="G17" s="9">
        <v>0</v>
      </c>
      <c r="H17" s="10" t="s">
        <v>59</v>
      </c>
      <c r="I17" s="9">
        <v>1</v>
      </c>
      <c r="J17" s="9">
        <v>0.47166320799442502</v>
      </c>
      <c r="K17" s="10" t="s">
        <v>51</v>
      </c>
      <c r="L17" s="9">
        <v>0</v>
      </c>
      <c r="M17" s="9">
        <v>42</v>
      </c>
      <c r="N17" s="9">
        <v>42</v>
      </c>
      <c r="O17" s="9">
        <v>14</v>
      </c>
      <c r="P17" s="9">
        <v>54.594811707997003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9">
        <v>54.5850470000005</v>
      </c>
      <c r="AC17" s="9">
        <v>54.594811707997003</v>
      </c>
      <c r="AD17" s="9">
        <v>55.0826744579972</v>
      </c>
      <c r="AE17" s="9">
        <v>55.0826744579972</v>
      </c>
      <c r="AF17" s="9">
        <v>55.0826744579972</v>
      </c>
      <c r="AG17" s="9">
        <v>55.558543249993797</v>
      </c>
      <c r="AH17" s="10" t="s">
        <v>59</v>
      </c>
      <c r="AI17" s="9">
        <v>1</v>
      </c>
      <c r="AJ17" s="9">
        <v>0.47166320799442502</v>
      </c>
      <c r="AK17" s="10" t="s">
        <v>51</v>
      </c>
      <c r="AL17" s="8"/>
      <c r="AM17" s="8"/>
      <c r="AN17" s="8"/>
      <c r="AO17" s="8"/>
      <c r="AP17" s="9">
        <v>4</v>
      </c>
      <c r="AQ17" s="9">
        <v>1</v>
      </c>
      <c r="AR17" s="10" t="s">
        <v>98</v>
      </c>
      <c r="AS17" s="10" t="s">
        <v>53</v>
      </c>
      <c r="AT17" s="8"/>
      <c r="AU17" s="10" t="s">
        <v>54</v>
      </c>
      <c r="AV17" s="10" t="s">
        <v>51</v>
      </c>
      <c r="AW17" s="10" t="s">
        <v>99</v>
      </c>
      <c r="AX17" s="8"/>
    </row>
    <row r="18" spans="1:50" x14ac:dyDescent="0.15">
      <c r="A18" s="11" t="s">
        <v>85</v>
      </c>
      <c r="B18" s="12" t="s">
        <v>61</v>
      </c>
      <c r="C18" s="10" t="s">
        <v>62</v>
      </c>
      <c r="D18" s="10" t="s">
        <v>63</v>
      </c>
      <c r="E18" s="9">
        <v>45</v>
      </c>
      <c r="F18" s="9">
        <v>45</v>
      </c>
      <c r="G18" s="9">
        <v>2</v>
      </c>
      <c r="H18" s="10" t="s">
        <v>63</v>
      </c>
      <c r="I18" s="9">
        <v>1</v>
      </c>
      <c r="J18" s="9">
        <v>0.36696737499733001</v>
      </c>
      <c r="K18" s="10" t="s">
        <v>51</v>
      </c>
      <c r="L18" s="9">
        <v>2</v>
      </c>
      <c r="M18" s="9">
        <v>45</v>
      </c>
      <c r="N18" s="9">
        <v>45</v>
      </c>
      <c r="O18" s="9">
        <v>11</v>
      </c>
      <c r="P18" s="9">
        <v>57.339459625000003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9">
        <v>57.330117791992997</v>
      </c>
      <c r="AC18" s="9">
        <v>57.339459625000003</v>
      </c>
      <c r="AD18" s="9">
        <v>57.823207541994599</v>
      </c>
      <c r="AE18" s="9">
        <v>57.823207541994599</v>
      </c>
      <c r="AF18" s="9">
        <v>57.823207541994599</v>
      </c>
      <c r="AG18" s="9">
        <v>58.191901999991401</v>
      </c>
      <c r="AH18" s="10" t="s">
        <v>63</v>
      </c>
      <c r="AI18" s="9">
        <v>1</v>
      </c>
      <c r="AJ18" s="9">
        <v>0.36696737499733001</v>
      </c>
      <c r="AK18" s="10" t="s">
        <v>51</v>
      </c>
      <c r="AL18" s="8"/>
      <c r="AM18" s="8"/>
      <c r="AN18" s="8"/>
      <c r="AO18" s="8"/>
      <c r="AP18" s="9">
        <v>4</v>
      </c>
      <c r="AQ18" s="9">
        <v>1</v>
      </c>
      <c r="AR18" s="10" t="s">
        <v>98</v>
      </c>
      <c r="AS18" s="10" t="s">
        <v>53</v>
      </c>
      <c r="AT18" s="8"/>
      <c r="AU18" s="10" t="s">
        <v>54</v>
      </c>
      <c r="AV18" s="10" t="s">
        <v>51</v>
      </c>
      <c r="AW18" s="10" t="s">
        <v>99</v>
      </c>
      <c r="AX18" s="8"/>
    </row>
    <row r="19" spans="1:50" x14ac:dyDescent="0.15">
      <c r="A19" s="11" t="s">
        <v>74</v>
      </c>
      <c r="B19" s="12" t="s">
        <v>61</v>
      </c>
      <c r="C19" s="10" t="s">
        <v>58</v>
      </c>
      <c r="D19" s="10" t="s">
        <v>59</v>
      </c>
      <c r="E19" s="9">
        <v>46</v>
      </c>
      <c r="F19" s="9">
        <v>46</v>
      </c>
      <c r="G19" s="9">
        <v>2</v>
      </c>
      <c r="H19" s="10" t="s">
        <v>59</v>
      </c>
      <c r="I19" s="9">
        <v>1</v>
      </c>
      <c r="J19" s="9">
        <v>0.30320604199369</v>
      </c>
      <c r="K19" s="10" t="s">
        <v>51</v>
      </c>
      <c r="L19" s="9">
        <v>2</v>
      </c>
      <c r="M19" s="9">
        <v>46</v>
      </c>
      <c r="N19" s="9">
        <v>46</v>
      </c>
      <c r="O19" s="9">
        <v>0</v>
      </c>
      <c r="P19" s="9">
        <v>58.205499457995799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9">
        <v>58.196591999992997</v>
      </c>
      <c r="AC19" s="9">
        <v>58.205499457995799</v>
      </c>
      <c r="AD19" s="9">
        <v>58.689897791991797</v>
      </c>
      <c r="AE19" s="9">
        <v>58.689897791991797</v>
      </c>
      <c r="AF19" s="9">
        <v>58.689897791991797</v>
      </c>
      <c r="AG19" s="9">
        <v>58.997808207990602</v>
      </c>
      <c r="AH19" s="10" t="s">
        <v>59</v>
      </c>
      <c r="AI19" s="9">
        <v>1</v>
      </c>
      <c r="AJ19" s="9">
        <v>0.30320604199369</v>
      </c>
      <c r="AK19" s="10" t="s">
        <v>51</v>
      </c>
      <c r="AL19" s="8"/>
      <c r="AM19" s="8"/>
      <c r="AN19" s="8"/>
      <c r="AO19" s="8"/>
      <c r="AP19" s="9">
        <v>4</v>
      </c>
      <c r="AQ19" s="9">
        <v>1</v>
      </c>
      <c r="AR19" s="10" t="s">
        <v>98</v>
      </c>
      <c r="AS19" s="10" t="s">
        <v>53</v>
      </c>
      <c r="AT19" s="8"/>
      <c r="AU19" s="10" t="s">
        <v>54</v>
      </c>
      <c r="AV19" s="10" t="s">
        <v>51</v>
      </c>
      <c r="AW19" s="10" t="s">
        <v>99</v>
      </c>
      <c r="AX19" s="8"/>
    </row>
    <row r="20" spans="1:50" x14ac:dyDescent="0.15">
      <c r="A20" s="11" t="s">
        <v>70</v>
      </c>
      <c r="B20" s="12" t="s">
        <v>61</v>
      </c>
      <c r="C20" s="10" t="s">
        <v>62</v>
      </c>
      <c r="D20" s="10" t="s">
        <v>63</v>
      </c>
      <c r="E20" s="9">
        <v>55</v>
      </c>
      <c r="F20" s="9">
        <v>55</v>
      </c>
      <c r="G20" s="9">
        <v>0</v>
      </c>
      <c r="H20" s="10" t="s">
        <v>63</v>
      </c>
      <c r="I20" s="9">
        <v>1</v>
      </c>
      <c r="J20" s="9">
        <v>0.43880612398788799</v>
      </c>
      <c r="K20" s="10" t="s">
        <v>51</v>
      </c>
      <c r="L20" s="9">
        <v>0</v>
      </c>
      <c r="M20" s="9">
        <v>55</v>
      </c>
      <c r="N20" s="9">
        <v>55</v>
      </c>
      <c r="O20" s="9">
        <v>13</v>
      </c>
      <c r="P20" s="9">
        <v>66.162744082990699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9">
        <v>66.153546374989702</v>
      </c>
      <c r="AC20" s="9">
        <v>66.162744082990699</v>
      </c>
      <c r="AD20" s="9">
        <v>66.648398457997303</v>
      </c>
      <c r="AE20" s="9">
        <v>66.648398457997303</v>
      </c>
      <c r="AF20" s="9">
        <v>66.648398457997303</v>
      </c>
      <c r="AG20" s="9">
        <v>67.092519375000904</v>
      </c>
      <c r="AH20" s="10" t="s">
        <v>63</v>
      </c>
      <c r="AI20" s="9">
        <v>1</v>
      </c>
      <c r="AJ20" s="9">
        <v>0.43880612398788799</v>
      </c>
      <c r="AK20" s="10" t="s">
        <v>51</v>
      </c>
      <c r="AL20" s="8"/>
      <c r="AM20" s="8"/>
      <c r="AN20" s="8"/>
      <c r="AO20" s="8"/>
      <c r="AP20" s="9">
        <v>4</v>
      </c>
      <c r="AQ20" s="9">
        <v>1</v>
      </c>
      <c r="AR20" s="10" t="s">
        <v>98</v>
      </c>
      <c r="AS20" s="10" t="s">
        <v>53</v>
      </c>
      <c r="AT20" s="8"/>
      <c r="AU20" s="10" t="s">
        <v>54</v>
      </c>
      <c r="AV20" s="10" t="s">
        <v>51</v>
      </c>
      <c r="AW20" s="10" t="s">
        <v>99</v>
      </c>
      <c r="AX20" s="8"/>
    </row>
    <row r="21" spans="1:50" x14ac:dyDescent="0.15">
      <c r="A21" s="11" t="s">
        <v>74</v>
      </c>
      <c r="B21" s="12" t="s">
        <v>61</v>
      </c>
      <c r="C21" s="10" t="s">
        <v>62</v>
      </c>
      <c r="D21" s="10" t="s">
        <v>63</v>
      </c>
      <c r="E21" s="9">
        <v>57</v>
      </c>
      <c r="F21" s="9">
        <v>57</v>
      </c>
      <c r="G21" s="9">
        <v>0</v>
      </c>
      <c r="H21" s="10" t="s">
        <v>63</v>
      </c>
      <c r="I21" s="9">
        <v>1</v>
      </c>
      <c r="J21" s="9">
        <v>0.38688712399744002</v>
      </c>
      <c r="K21" s="10" t="s">
        <v>51</v>
      </c>
      <c r="L21" s="9">
        <v>0</v>
      </c>
      <c r="M21" s="9">
        <v>57</v>
      </c>
      <c r="N21" s="9">
        <v>57</v>
      </c>
      <c r="O21" s="9">
        <v>1</v>
      </c>
      <c r="P21" s="9">
        <v>67.929269291998907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9">
        <v>67.919562041992293</v>
      </c>
      <c r="AC21" s="9">
        <v>67.929269291998907</v>
      </c>
      <c r="AD21" s="9">
        <v>68.416629374987707</v>
      </c>
      <c r="AE21" s="9">
        <v>68.416629374987707</v>
      </c>
      <c r="AF21" s="9">
        <v>68.416629374987707</v>
      </c>
      <c r="AG21" s="9">
        <v>68.808912832988398</v>
      </c>
      <c r="AH21" s="10" t="s">
        <v>63</v>
      </c>
      <c r="AI21" s="9">
        <v>1</v>
      </c>
      <c r="AJ21" s="9">
        <v>0.38688712399744002</v>
      </c>
      <c r="AK21" s="10" t="s">
        <v>51</v>
      </c>
      <c r="AL21" s="8"/>
      <c r="AM21" s="8"/>
      <c r="AN21" s="8"/>
      <c r="AO21" s="8"/>
      <c r="AP21" s="9">
        <v>4</v>
      </c>
      <c r="AQ21" s="9">
        <v>1</v>
      </c>
      <c r="AR21" s="10" t="s">
        <v>98</v>
      </c>
      <c r="AS21" s="10" t="s">
        <v>53</v>
      </c>
      <c r="AT21" s="8"/>
      <c r="AU21" s="10" t="s">
        <v>54</v>
      </c>
      <c r="AV21" s="10" t="s">
        <v>51</v>
      </c>
      <c r="AW21" s="10" t="s">
        <v>99</v>
      </c>
      <c r="AX21" s="8"/>
    </row>
    <row r="22" spans="1:50" x14ac:dyDescent="0.15">
      <c r="A22" s="11" t="s">
        <v>79</v>
      </c>
      <c r="B22" s="12" t="s">
        <v>61</v>
      </c>
      <c r="C22" s="10" t="s">
        <v>62</v>
      </c>
      <c r="D22" s="10" t="s">
        <v>63</v>
      </c>
      <c r="E22" s="9">
        <v>59</v>
      </c>
      <c r="F22" s="9">
        <v>59</v>
      </c>
      <c r="G22" s="9">
        <v>0</v>
      </c>
      <c r="H22" s="10" t="s">
        <v>63</v>
      </c>
      <c r="I22" s="9">
        <v>1</v>
      </c>
      <c r="J22" s="9">
        <v>0.40960945800179599</v>
      </c>
      <c r="K22" s="10" t="s">
        <v>51</v>
      </c>
      <c r="L22" s="9">
        <v>0</v>
      </c>
      <c r="M22" s="9">
        <v>59</v>
      </c>
      <c r="N22" s="9">
        <v>59</v>
      </c>
      <c r="O22" s="9">
        <v>7</v>
      </c>
      <c r="P22" s="9">
        <v>69.678623499989001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9">
        <v>69.669443082995699</v>
      </c>
      <c r="AC22" s="9">
        <v>69.678623499989001</v>
      </c>
      <c r="AD22" s="9">
        <v>70.166326499995193</v>
      </c>
      <c r="AE22" s="9">
        <v>70.166326499995193</v>
      </c>
      <c r="AF22" s="9">
        <v>70.166326499995193</v>
      </c>
      <c r="AG22" s="9">
        <v>70.581903416998102</v>
      </c>
      <c r="AH22" s="10" t="s">
        <v>63</v>
      </c>
      <c r="AI22" s="9">
        <v>1</v>
      </c>
      <c r="AJ22" s="9">
        <v>0.40960945800179599</v>
      </c>
      <c r="AK22" s="10" t="s">
        <v>51</v>
      </c>
      <c r="AL22" s="8"/>
      <c r="AM22" s="8"/>
      <c r="AN22" s="8"/>
      <c r="AO22" s="8"/>
      <c r="AP22" s="9">
        <v>4</v>
      </c>
      <c r="AQ22" s="9">
        <v>1</v>
      </c>
      <c r="AR22" s="10" t="s">
        <v>98</v>
      </c>
      <c r="AS22" s="10" t="s">
        <v>53</v>
      </c>
      <c r="AT22" s="8"/>
      <c r="AU22" s="10" t="s">
        <v>54</v>
      </c>
      <c r="AV22" s="10" t="s">
        <v>51</v>
      </c>
      <c r="AW22" s="10" t="s">
        <v>99</v>
      </c>
      <c r="AX22" s="8"/>
    </row>
    <row r="23" spans="1:50" x14ac:dyDescent="0.15">
      <c r="A23" s="11" t="s">
        <v>83</v>
      </c>
      <c r="B23" s="12" t="s">
        <v>61</v>
      </c>
      <c r="C23" s="10" t="s">
        <v>58</v>
      </c>
      <c r="D23" s="10" t="s">
        <v>59</v>
      </c>
      <c r="E23" s="9">
        <v>60</v>
      </c>
      <c r="F23" s="9">
        <v>60</v>
      </c>
      <c r="G23" s="9">
        <v>1</v>
      </c>
      <c r="H23" s="10" t="s">
        <v>59</v>
      </c>
      <c r="I23" s="9">
        <v>1</v>
      </c>
      <c r="J23" s="9">
        <v>0.36217779100115899</v>
      </c>
      <c r="K23" s="10" t="s">
        <v>51</v>
      </c>
      <c r="L23" s="9">
        <v>1</v>
      </c>
      <c r="M23" s="9">
        <v>60</v>
      </c>
      <c r="N23" s="9">
        <v>60</v>
      </c>
      <c r="O23" s="9">
        <v>2</v>
      </c>
      <c r="P23" s="9">
        <v>70.5965353329957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9">
        <v>70.587140291987495</v>
      </c>
      <c r="AC23" s="9">
        <v>70.5965353329957</v>
      </c>
      <c r="AD23" s="9">
        <v>71.083215124992407</v>
      </c>
      <c r="AE23" s="9">
        <v>71.083215124992407</v>
      </c>
      <c r="AF23" s="9">
        <v>71.083215124992407</v>
      </c>
      <c r="AG23" s="9">
        <v>71.448772082993003</v>
      </c>
      <c r="AH23" s="10" t="s">
        <v>59</v>
      </c>
      <c r="AI23" s="9">
        <v>1</v>
      </c>
      <c r="AJ23" s="9">
        <v>0.36217779100115899</v>
      </c>
      <c r="AK23" s="10" t="s">
        <v>51</v>
      </c>
      <c r="AL23" s="8"/>
      <c r="AM23" s="8"/>
      <c r="AN23" s="8"/>
      <c r="AO23" s="8"/>
      <c r="AP23" s="9">
        <v>4</v>
      </c>
      <c r="AQ23" s="9">
        <v>1</v>
      </c>
      <c r="AR23" s="10" t="s">
        <v>98</v>
      </c>
      <c r="AS23" s="10" t="s">
        <v>53</v>
      </c>
      <c r="AT23" s="8"/>
      <c r="AU23" s="10" t="s">
        <v>54</v>
      </c>
      <c r="AV23" s="10" t="s">
        <v>51</v>
      </c>
      <c r="AW23" s="10" t="s">
        <v>99</v>
      </c>
      <c r="AX23" s="8"/>
    </row>
    <row r="24" spans="1:50" x14ac:dyDescent="0.15">
      <c r="A24" s="11" t="s">
        <v>79</v>
      </c>
      <c r="B24" s="12" t="s">
        <v>61</v>
      </c>
      <c r="C24" s="10" t="s">
        <v>62</v>
      </c>
      <c r="D24" s="10" t="s">
        <v>63</v>
      </c>
      <c r="E24" s="9">
        <v>62</v>
      </c>
      <c r="F24" s="9">
        <v>62</v>
      </c>
      <c r="G24" s="9">
        <v>1</v>
      </c>
      <c r="H24" s="10" t="s">
        <v>63</v>
      </c>
      <c r="I24" s="9">
        <v>1</v>
      </c>
      <c r="J24" s="9">
        <v>0.92883812499349006</v>
      </c>
      <c r="K24" s="10" t="s">
        <v>51</v>
      </c>
      <c r="L24" s="9">
        <v>1</v>
      </c>
      <c r="M24" s="9">
        <v>62</v>
      </c>
      <c r="N24" s="9">
        <v>62</v>
      </c>
      <c r="O24" s="9">
        <v>7</v>
      </c>
      <c r="P24" s="9">
        <v>72.255614124995205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9">
        <v>72.2467785419867</v>
      </c>
      <c r="AC24" s="9">
        <v>72.255614124995205</v>
      </c>
      <c r="AD24" s="9">
        <v>72.740652374996003</v>
      </c>
      <c r="AE24" s="9">
        <v>72.740652374996003</v>
      </c>
      <c r="AF24" s="9">
        <v>72.740652374996003</v>
      </c>
      <c r="AG24" s="9">
        <v>73.675922166992706</v>
      </c>
      <c r="AH24" s="10" t="s">
        <v>63</v>
      </c>
      <c r="AI24" s="9">
        <v>1</v>
      </c>
      <c r="AJ24" s="9">
        <v>0.92883812499349006</v>
      </c>
      <c r="AK24" s="10" t="s">
        <v>51</v>
      </c>
      <c r="AL24" s="8"/>
      <c r="AM24" s="8"/>
      <c r="AN24" s="8"/>
      <c r="AO24" s="8"/>
      <c r="AP24" s="9">
        <v>4</v>
      </c>
      <c r="AQ24" s="9">
        <v>1</v>
      </c>
      <c r="AR24" s="10" t="s">
        <v>98</v>
      </c>
      <c r="AS24" s="10" t="s">
        <v>53</v>
      </c>
      <c r="AT24" s="8"/>
      <c r="AU24" s="10" t="s">
        <v>54</v>
      </c>
      <c r="AV24" s="10" t="s">
        <v>51</v>
      </c>
      <c r="AW24" s="10" t="s">
        <v>99</v>
      </c>
      <c r="AX24" s="8"/>
    </row>
    <row r="25" spans="1:50" x14ac:dyDescent="0.15">
      <c r="A25" s="11" t="s">
        <v>70</v>
      </c>
      <c r="B25" s="12" t="s">
        <v>61</v>
      </c>
      <c r="C25" s="10" t="s">
        <v>62</v>
      </c>
      <c r="D25" s="10" t="s">
        <v>63</v>
      </c>
      <c r="E25" s="9">
        <v>63</v>
      </c>
      <c r="F25" s="9">
        <v>63</v>
      </c>
      <c r="G25" s="9">
        <v>1</v>
      </c>
      <c r="H25" s="10" t="s">
        <v>63</v>
      </c>
      <c r="I25" s="9">
        <v>1</v>
      </c>
      <c r="J25" s="9">
        <v>0.381544042000314</v>
      </c>
      <c r="K25" s="10" t="s">
        <v>51</v>
      </c>
      <c r="L25" s="9">
        <v>1</v>
      </c>
      <c r="M25" s="9">
        <v>63</v>
      </c>
      <c r="N25" s="9">
        <v>63</v>
      </c>
      <c r="O25" s="9">
        <v>13</v>
      </c>
      <c r="P25" s="9">
        <v>73.689344624988706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9">
        <v>73.680539582986995</v>
      </c>
      <c r="AC25" s="9">
        <v>73.689344624988706</v>
      </c>
      <c r="AD25" s="9">
        <v>74.173976207996006</v>
      </c>
      <c r="AE25" s="9">
        <v>74.173976207996006</v>
      </c>
      <c r="AF25" s="9">
        <v>74.173976207996006</v>
      </c>
      <c r="AG25" s="9">
        <v>74.559450207991205</v>
      </c>
      <c r="AH25" s="10" t="s">
        <v>63</v>
      </c>
      <c r="AI25" s="9">
        <v>1</v>
      </c>
      <c r="AJ25" s="9">
        <v>0.381544042000314</v>
      </c>
      <c r="AK25" s="10" t="s">
        <v>51</v>
      </c>
      <c r="AL25" s="8"/>
      <c r="AM25" s="8"/>
      <c r="AN25" s="8"/>
      <c r="AO25" s="8"/>
      <c r="AP25" s="9">
        <v>4</v>
      </c>
      <c r="AQ25" s="9">
        <v>1</v>
      </c>
      <c r="AR25" s="10" t="s">
        <v>98</v>
      </c>
      <c r="AS25" s="10" t="s">
        <v>53</v>
      </c>
      <c r="AT25" s="8"/>
      <c r="AU25" s="10" t="s">
        <v>54</v>
      </c>
      <c r="AV25" s="10" t="s">
        <v>51</v>
      </c>
      <c r="AW25" s="10" t="s">
        <v>99</v>
      </c>
      <c r="AX25" s="8"/>
    </row>
    <row r="26" spans="1:50" x14ac:dyDescent="0.15">
      <c r="A26" s="11" t="s">
        <v>74</v>
      </c>
      <c r="B26" s="12" t="s">
        <v>61</v>
      </c>
      <c r="C26" s="10" t="s">
        <v>62</v>
      </c>
      <c r="D26" s="10" t="s">
        <v>63</v>
      </c>
      <c r="E26" s="9">
        <v>64</v>
      </c>
      <c r="F26" s="9">
        <v>64</v>
      </c>
      <c r="G26" s="9">
        <v>1</v>
      </c>
      <c r="H26" s="10" t="s">
        <v>63</v>
      </c>
      <c r="I26" s="9">
        <v>1</v>
      </c>
      <c r="J26" s="9">
        <v>0.34123062400613002</v>
      </c>
      <c r="K26" s="10" t="s">
        <v>51</v>
      </c>
      <c r="L26" s="9">
        <v>1</v>
      </c>
      <c r="M26" s="9">
        <v>64</v>
      </c>
      <c r="N26" s="9">
        <v>64</v>
      </c>
      <c r="O26" s="9">
        <v>1</v>
      </c>
      <c r="P26" s="9">
        <v>74.574277457999401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9">
        <v>74.565209249994993</v>
      </c>
      <c r="AC26" s="9">
        <v>74.574277457999401</v>
      </c>
      <c r="AD26" s="9">
        <v>75.057161874996396</v>
      </c>
      <c r="AE26" s="9">
        <v>75.057161874996396</v>
      </c>
      <c r="AF26" s="9">
        <v>75.057161874996396</v>
      </c>
      <c r="AG26" s="9">
        <v>75.409131207998101</v>
      </c>
      <c r="AH26" s="10" t="s">
        <v>63</v>
      </c>
      <c r="AI26" s="9">
        <v>1</v>
      </c>
      <c r="AJ26" s="9">
        <v>0.34123062400613002</v>
      </c>
      <c r="AK26" s="10" t="s">
        <v>51</v>
      </c>
      <c r="AL26" s="8"/>
      <c r="AM26" s="8"/>
      <c r="AN26" s="8"/>
      <c r="AO26" s="8"/>
      <c r="AP26" s="9">
        <v>4</v>
      </c>
      <c r="AQ26" s="9">
        <v>1</v>
      </c>
      <c r="AR26" s="10" t="s">
        <v>98</v>
      </c>
      <c r="AS26" s="10" t="s">
        <v>53</v>
      </c>
      <c r="AT26" s="8"/>
      <c r="AU26" s="10" t="s">
        <v>54</v>
      </c>
      <c r="AV26" s="10" t="s">
        <v>51</v>
      </c>
      <c r="AW26" s="10" t="s">
        <v>99</v>
      </c>
      <c r="AX26" s="8"/>
    </row>
    <row r="27" spans="1:50" x14ac:dyDescent="0.15">
      <c r="A27" s="11" t="s">
        <v>73</v>
      </c>
      <c r="B27" s="12" t="s">
        <v>61</v>
      </c>
      <c r="C27" s="10" t="s">
        <v>62</v>
      </c>
      <c r="D27" s="10" t="s">
        <v>63</v>
      </c>
      <c r="E27" s="9">
        <v>66</v>
      </c>
      <c r="F27" s="9">
        <v>66</v>
      </c>
      <c r="G27" s="9">
        <v>1</v>
      </c>
      <c r="H27" s="10" t="s">
        <v>63</v>
      </c>
      <c r="I27" s="9">
        <v>1</v>
      </c>
      <c r="J27" s="9">
        <v>0.42977633299597101</v>
      </c>
      <c r="K27" s="10" t="s">
        <v>51</v>
      </c>
      <c r="L27" s="9">
        <v>1</v>
      </c>
      <c r="M27" s="9">
        <v>66</v>
      </c>
      <c r="N27" s="9">
        <v>66</v>
      </c>
      <c r="O27" s="9">
        <v>15</v>
      </c>
      <c r="P27" s="9">
        <v>76.413262082991395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9">
        <v>76.4042485829996</v>
      </c>
      <c r="AC27" s="9">
        <v>76.413262082991395</v>
      </c>
      <c r="AD27" s="9">
        <v>76.899790208000894</v>
      </c>
      <c r="AE27" s="9">
        <v>76.899790208000894</v>
      </c>
      <c r="AF27" s="9">
        <v>76.899790208000894</v>
      </c>
      <c r="AG27" s="9">
        <v>77.331769041993496</v>
      </c>
      <c r="AH27" s="10" t="s">
        <v>63</v>
      </c>
      <c r="AI27" s="9">
        <v>1</v>
      </c>
      <c r="AJ27" s="9">
        <v>0.42977633299597101</v>
      </c>
      <c r="AK27" s="10" t="s">
        <v>51</v>
      </c>
      <c r="AL27" s="8"/>
      <c r="AM27" s="8"/>
      <c r="AN27" s="8"/>
      <c r="AO27" s="8"/>
      <c r="AP27" s="9">
        <v>4</v>
      </c>
      <c r="AQ27" s="9">
        <v>1</v>
      </c>
      <c r="AR27" s="10" t="s">
        <v>98</v>
      </c>
      <c r="AS27" s="10" t="s">
        <v>53</v>
      </c>
      <c r="AT27" s="8"/>
      <c r="AU27" s="10" t="s">
        <v>54</v>
      </c>
      <c r="AV27" s="10" t="s">
        <v>51</v>
      </c>
      <c r="AW27" s="10" t="s">
        <v>99</v>
      </c>
      <c r="AX27" s="8"/>
    </row>
    <row r="28" spans="1:50" x14ac:dyDescent="0.15">
      <c r="A28" s="11" t="s">
        <v>60</v>
      </c>
      <c r="B28" s="12" t="s">
        <v>61</v>
      </c>
      <c r="C28" s="10" t="s">
        <v>58</v>
      </c>
      <c r="D28" s="10" t="s">
        <v>59</v>
      </c>
      <c r="E28" s="9">
        <v>67</v>
      </c>
      <c r="F28" s="9">
        <v>67</v>
      </c>
      <c r="G28" s="9">
        <v>2</v>
      </c>
      <c r="H28" s="10" t="s">
        <v>59</v>
      </c>
      <c r="I28" s="9">
        <v>1</v>
      </c>
      <c r="J28" s="9">
        <v>0.41958920800243499</v>
      </c>
      <c r="K28" s="10" t="s">
        <v>51</v>
      </c>
      <c r="L28" s="9">
        <v>2</v>
      </c>
      <c r="M28" s="9">
        <v>67</v>
      </c>
      <c r="N28" s="9">
        <v>67</v>
      </c>
      <c r="O28" s="9">
        <v>8</v>
      </c>
      <c r="P28" s="9">
        <v>77.345716832991499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9">
        <v>77.335451708000605</v>
      </c>
      <c r="AC28" s="9">
        <v>77.345716832991499</v>
      </c>
      <c r="AD28" s="9">
        <v>77.823957957996797</v>
      </c>
      <c r="AE28" s="9">
        <v>77.823957957996797</v>
      </c>
      <c r="AF28" s="9">
        <v>77.823957957996797</v>
      </c>
      <c r="AG28" s="9">
        <v>78.248868541995805</v>
      </c>
      <c r="AH28" s="10" t="s">
        <v>59</v>
      </c>
      <c r="AI28" s="9">
        <v>1</v>
      </c>
      <c r="AJ28" s="9">
        <v>0.41958920800243499</v>
      </c>
      <c r="AK28" s="10" t="s">
        <v>51</v>
      </c>
      <c r="AL28" s="8"/>
      <c r="AM28" s="8"/>
      <c r="AN28" s="8"/>
      <c r="AO28" s="8"/>
      <c r="AP28" s="9">
        <v>4</v>
      </c>
      <c r="AQ28" s="9">
        <v>1</v>
      </c>
      <c r="AR28" s="10" t="s">
        <v>98</v>
      </c>
      <c r="AS28" s="10" t="s">
        <v>53</v>
      </c>
      <c r="AT28" s="8"/>
      <c r="AU28" s="10" t="s">
        <v>54</v>
      </c>
      <c r="AV28" s="10" t="s">
        <v>51</v>
      </c>
      <c r="AW28" s="10" t="s">
        <v>99</v>
      </c>
      <c r="AX28" s="8"/>
    </row>
    <row r="29" spans="1:50" x14ac:dyDescent="0.15">
      <c r="A29" s="11" t="s">
        <v>83</v>
      </c>
      <c r="B29" s="12" t="s">
        <v>61</v>
      </c>
      <c r="C29" s="10" t="s">
        <v>62</v>
      </c>
      <c r="D29" s="10" t="s">
        <v>63</v>
      </c>
      <c r="E29" s="9">
        <v>86</v>
      </c>
      <c r="F29" s="9">
        <v>86</v>
      </c>
      <c r="G29" s="9">
        <v>2</v>
      </c>
      <c r="H29" s="10" t="s">
        <v>63</v>
      </c>
      <c r="I29" s="9">
        <v>1</v>
      </c>
      <c r="J29" s="9">
        <v>0.27182758299750298</v>
      </c>
      <c r="K29" s="10" t="s">
        <v>51</v>
      </c>
      <c r="L29" s="9">
        <v>2</v>
      </c>
      <c r="M29" s="9">
        <v>86</v>
      </c>
      <c r="N29" s="9">
        <v>86</v>
      </c>
      <c r="O29" s="9">
        <v>3</v>
      </c>
      <c r="P29" s="9">
        <v>94.722197707989807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9">
        <v>94.713407582996297</v>
      </c>
      <c r="AC29" s="9">
        <v>94.722197707989807</v>
      </c>
      <c r="AD29" s="9">
        <v>95.208021374986899</v>
      </c>
      <c r="AE29" s="9">
        <v>95.208021374986899</v>
      </c>
      <c r="AF29" s="9">
        <v>95.208021374986899</v>
      </c>
      <c r="AG29" s="9">
        <v>95.483372707996807</v>
      </c>
      <c r="AH29" s="10" t="s">
        <v>63</v>
      </c>
      <c r="AI29" s="9">
        <v>1</v>
      </c>
      <c r="AJ29" s="9">
        <v>0.27182758299750298</v>
      </c>
      <c r="AK29" s="10" t="s">
        <v>51</v>
      </c>
      <c r="AL29" s="8"/>
      <c r="AM29" s="8"/>
      <c r="AN29" s="8"/>
      <c r="AO29" s="8"/>
      <c r="AP29" s="9">
        <v>4</v>
      </c>
      <c r="AQ29" s="9">
        <v>1</v>
      </c>
      <c r="AR29" s="10" t="s">
        <v>98</v>
      </c>
      <c r="AS29" s="10" t="s">
        <v>53</v>
      </c>
      <c r="AT29" s="8"/>
      <c r="AU29" s="10" t="s">
        <v>54</v>
      </c>
      <c r="AV29" s="10" t="s">
        <v>51</v>
      </c>
      <c r="AW29" s="10" t="s">
        <v>99</v>
      </c>
      <c r="AX29" s="8"/>
    </row>
    <row r="30" spans="1:50" x14ac:dyDescent="0.15">
      <c r="A30" s="11" t="s">
        <v>64</v>
      </c>
      <c r="B30" s="12" t="s">
        <v>61</v>
      </c>
      <c r="C30" s="10" t="s">
        <v>58</v>
      </c>
      <c r="D30" s="10" t="s">
        <v>59</v>
      </c>
      <c r="E30" s="9">
        <v>87</v>
      </c>
      <c r="F30" s="9">
        <v>87</v>
      </c>
      <c r="G30" s="9">
        <v>0</v>
      </c>
      <c r="H30" s="10" t="s">
        <v>59</v>
      </c>
      <c r="I30" s="9">
        <v>1</v>
      </c>
      <c r="J30" s="9">
        <v>0.588641874011955</v>
      </c>
      <c r="K30" s="10" t="s">
        <v>51</v>
      </c>
      <c r="L30" s="9">
        <v>0</v>
      </c>
      <c r="M30" s="9">
        <v>87</v>
      </c>
      <c r="N30" s="9">
        <v>87</v>
      </c>
      <c r="O30" s="9">
        <v>4</v>
      </c>
      <c r="P30" s="9">
        <v>95.497527707993896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9">
        <v>95.488156457999096</v>
      </c>
      <c r="AC30" s="9">
        <v>95.497527707993896</v>
      </c>
      <c r="AD30" s="9">
        <v>95.984135916995001</v>
      </c>
      <c r="AE30" s="9">
        <v>95.984135916995001</v>
      </c>
      <c r="AF30" s="9">
        <v>95.984135916995001</v>
      </c>
      <c r="AG30" s="9">
        <v>96.576730499989907</v>
      </c>
      <c r="AH30" s="10" t="s">
        <v>59</v>
      </c>
      <c r="AI30" s="9">
        <v>1</v>
      </c>
      <c r="AJ30" s="9">
        <v>0.588641874011955</v>
      </c>
      <c r="AK30" s="10" t="s">
        <v>51</v>
      </c>
      <c r="AL30" s="8"/>
      <c r="AM30" s="8"/>
      <c r="AN30" s="8"/>
      <c r="AO30" s="8"/>
      <c r="AP30" s="9">
        <v>4</v>
      </c>
      <c r="AQ30" s="9">
        <v>1</v>
      </c>
      <c r="AR30" s="10" t="s">
        <v>98</v>
      </c>
      <c r="AS30" s="10" t="s">
        <v>53</v>
      </c>
      <c r="AT30" s="8"/>
      <c r="AU30" s="10" t="s">
        <v>54</v>
      </c>
      <c r="AV30" s="10" t="s">
        <v>51</v>
      </c>
      <c r="AW30" s="10" t="s">
        <v>99</v>
      </c>
      <c r="AX30" s="8"/>
    </row>
    <row r="31" spans="1:50" x14ac:dyDescent="0.15">
      <c r="A31" s="11" t="s">
        <v>74</v>
      </c>
      <c r="B31" s="12" t="s">
        <v>61</v>
      </c>
      <c r="C31" s="10" t="s">
        <v>62</v>
      </c>
      <c r="D31" s="10" t="s">
        <v>63</v>
      </c>
      <c r="E31" s="9">
        <v>91</v>
      </c>
      <c r="F31" s="9">
        <v>91</v>
      </c>
      <c r="G31" s="9">
        <v>2</v>
      </c>
      <c r="H31" s="10" t="s">
        <v>63</v>
      </c>
      <c r="I31" s="9">
        <v>1</v>
      </c>
      <c r="J31" s="9">
        <v>0.25929149999865297</v>
      </c>
      <c r="K31" s="10" t="s">
        <v>51</v>
      </c>
      <c r="L31" s="9">
        <v>2</v>
      </c>
      <c r="M31" s="9">
        <v>91</v>
      </c>
      <c r="N31" s="9">
        <v>91</v>
      </c>
      <c r="O31" s="9">
        <v>1</v>
      </c>
      <c r="P31" s="9">
        <v>99.057326207999694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9">
        <v>99.048535875001093</v>
      </c>
      <c r="AC31" s="9">
        <v>99.057326207999694</v>
      </c>
      <c r="AD31" s="9">
        <v>99.541588832988097</v>
      </c>
      <c r="AE31" s="9">
        <v>99.541588832988097</v>
      </c>
      <c r="AF31" s="9">
        <v>99.541588832988097</v>
      </c>
      <c r="AG31" s="9">
        <v>99.810473749996206</v>
      </c>
      <c r="AH31" s="10" t="s">
        <v>63</v>
      </c>
      <c r="AI31" s="9">
        <v>1</v>
      </c>
      <c r="AJ31" s="9">
        <v>0.25929149999865297</v>
      </c>
      <c r="AK31" s="10" t="s">
        <v>51</v>
      </c>
      <c r="AL31" s="8"/>
      <c r="AM31" s="8"/>
      <c r="AN31" s="8"/>
      <c r="AO31" s="8"/>
      <c r="AP31" s="9">
        <v>4</v>
      </c>
      <c r="AQ31" s="9">
        <v>1</v>
      </c>
      <c r="AR31" s="10" t="s">
        <v>98</v>
      </c>
      <c r="AS31" s="10" t="s">
        <v>53</v>
      </c>
      <c r="AT31" s="8"/>
      <c r="AU31" s="10" t="s">
        <v>54</v>
      </c>
      <c r="AV31" s="10" t="s">
        <v>51</v>
      </c>
      <c r="AW31" s="10" t="s">
        <v>99</v>
      </c>
      <c r="AX31" s="8"/>
    </row>
    <row r="32" spans="1:50" x14ac:dyDescent="0.15">
      <c r="A32" s="11" t="s">
        <v>64</v>
      </c>
      <c r="B32" s="12" t="s">
        <v>61</v>
      </c>
      <c r="C32" s="10" t="s">
        <v>62</v>
      </c>
      <c r="D32" s="10" t="s">
        <v>63</v>
      </c>
      <c r="E32" s="9">
        <v>93</v>
      </c>
      <c r="F32" s="9">
        <v>93</v>
      </c>
      <c r="G32" s="9">
        <v>1</v>
      </c>
      <c r="H32" s="10" t="s">
        <v>63</v>
      </c>
      <c r="I32" s="9">
        <v>1</v>
      </c>
      <c r="J32" s="9">
        <v>0.37756383299711199</v>
      </c>
      <c r="K32" s="10" t="s">
        <v>51</v>
      </c>
      <c r="L32" s="9">
        <v>1</v>
      </c>
      <c r="M32" s="9">
        <v>93</v>
      </c>
      <c r="N32" s="9">
        <v>93</v>
      </c>
      <c r="O32" s="9">
        <v>5</v>
      </c>
      <c r="P32" s="9">
        <v>100.698489707996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9">
        <v>100.68811641699</v>
      </c>
      <c r="AC32" s="9">
        <v>100.698489707996</v>
      </c>
      <c r="AD32" s="9">
        <v>101.184277791996</v>
      </c>
      <c r="AE32" s="9">
        <v>101.184277791996</v>
      </c>
      <c r="AF32" s="9">
        <v>101.184277791996</v>
      </c>
      <c r="AG32" s="9">
        <v>101.568204457988</v>
      </c>
      <c r="AH32" s="10" t="s">
        <v>63</v>
      </c>
      <c r="AI32" s="9">
        <v>1</v>
      </c>
      <c r="AJ32" s="9">
        <v>0.37756383299711199</v>
      </c>
      <c r="AK32" s="10" t="s">
        <v>51</v>
      </c>
      <c r="AL32" s="8"/>
      <c r="AM32" s="8"/>
      <c r="AN32" s="8"/>
      <c r="AO32" s="8"/>
      <c r="AP32" s="9">
        <v>4</v>
      </c>
      <c r="AQ32" s="9">
        <v>1</v>
      </c>
      <c r="AR32" s="10" t="s">
        <v>98</v>
      </c>
      <c r="AS32" s="10" t="s">
        <v>53</v>
      </c>
      <c r="AT32" s="8"/>
      <c r="AU32" s="10" t="s">
        <v>54</v>
      </c>
      <c r="AV32" s="10" t="s">
        <v>51</v>
      </c>
      <c r="AW32" s="10" t="s">
        <v>99</v>
      </c>
      <c r="AX32" s="8"/>
    </row>
    <row r="33" spans="1:50" x14ac:dyDescent="0.15">
      <c r="A33" s="11" t="s">
        <v>85</v>
      </c>
      <c r="B33" s="12" t="s">
        <v>61</v>
      </c>
      <c r="C33" s="10" t="s">
        <v>58</v>
      </c>
      <c r="D33" s="10" t="s">
        <v>59</v>
      </c>
      <c r="E33" s="9">
        <v>95</v>
      </c>
      <c r="F33" s="9">
        <v>95</v>
      </c>
      <c r="G33" s="9">
        <v>1</v>
      </c>
      <c r="H33" s="10" t="s">
        <v>59</v>
      </c>
      <c r="I33" s="9">
        <v>1</v>
      </c>
      <c r="J33" s="9">
        <v>0.28480462399602402</v>
      </c>
      <c r="K33" s="10" t="s">
        <v>51</v>
      </c>
      <c r="L33" s="9">
        <v>1</v>
      </c>
      <c r="M33" s="9">
        <v>95</v>
      </c>
      <c r="N33" s="9">
        <v>95</v>
      </c>
      <c r="O33" s="9">
        <v>10</v>
      </c>
      <c r="P33" s="9">
        <v>102.530026374996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9">
        <v>102.519776541987</v>
      </c>
      <c r="AC33" s="9">
        <v>102.530026374996</v>
      </c>
      <c r="AD33" s="9">
        <v>103.008186291991</v>
      </c>
      <c r="AE33" s="9">
        <v>103.008186291991</v>
      </c>
      <c r="AF33" s="9">
        <v>103.008186291991</v>
      </c>
      <c r="AG33" s="9">
        <v>103.300452083</v>
      </c>
      <c r="AH33" s="10" t="s">
        <v>59</v>
      </c>
      <c r="AI33" s="9">
        <v>1</v>
      </c>
      <c r="AJ33" s="9">
        <v>0.28480462399602402</v>
      </c>
      <c r="AK33" s="10" t="s">
        <v>51</v>
      </c>
      <c r="AL33" s="8"/>
      <c r="AM33" s="8"/>
      <c r="AN33" s="8"/>
      <c r="AO33" s="8"/>
      <c r="AP33" s="9">
        <v>4</v>
      </c>
      <c r="AQ33" s="9">
        <v>1</v>
      </c>
      <c r="AR33" s="10" t="s">
        <v>98</v>
      </c>
      <c r="AS33" s="10" t="s">
        <v>53</v>
      </c>
      <c r="AT33" s="8"/>
      <c r="AU33" s="10" t="s">
        <v>54</v>
      </c>
      <c r="AV33" s="10" t="s">
        <v>51</v>
      </c>
      <c r="AW33" s="10" t="s">
        <v>99</v>
      </c>
      <c r="AX33" s="8"/>
    </row>
    <row r="34" spans="1:50" x14ac:dyDescent="0.15">
      <c r="A34" s="11" t="s">
        <v>79</v>
      </c>
      <c r="B34" s="12" t="s">
        <v>61</v>
      </c>
      <c r="C34" s="10" t="s">
        <v>62</v>
      </c>
      <c r="D34" s="10" t="s">
        <v>63</v>
      </c>
      <c r="E34" s="9">
        <v>97</v>
      </c>
      <c r="F34" s="9">
        <v>97</v>
      </c>
      <c r="G34" s="9">
        <v>2</v>
      </c>
      <c r="H34" s="10" t="s">
        <v>63</v>
      </c>
      <c r="I34" s="9">
        <v>1</v>
      </c>
      <c r="J34" s="9">
        <v>0.71750433299166605</v>
      </c>
      <c r="K34" s="10" t="s">
        <v>51</v>
      </c>
      <c r="L34" s="9">
        <v>2</v>
      </c>
      <c r="M34" s="9">
        <v>97</v>
      </c>
      <c r="N34" s="9">
        <v>97</v>
      </c>
      <c r="O34" s="9">
        <v>7</v>
      </c>
      <c r="P34" s="9">
        <v>104.107752041993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9">
        <v>104.098949832987</v>
      </c>
      <c r="AC34" s="9">
        <v>104.107752041993</v>
      </c>
      <c r="AD34" s="9">
        <v>104.59156999999</v>
      </c>
      <c r="AE34" s="9">
        <v>104.59156999999</v>
      </c>
      <c r="AF34" s="9">
        <v>104.59156999999</v>
      </c>
      <c r="AG34" s="9">
        <v>105.316508999997</v>
      </c>
      <c r="AH34" s="10" t="s">
        <v>63</v>
      </c>
      <c r="AI34" s="9">
        <v>1</v>
      </c>
      <c r="AJ34" s="9">
        <v>0.71750433299166605</v>
      </c>
      <c r="AK34" s="10" t="s">
        <v>51</v>
      </c>
      <c r="AL34" s="8"/>
      <c r="AM34" s="8"/>
      <c r="AN34" s="8"/>
      <c r="AO34" s="8"/>
      <c r="AP34" s="9">
        <v>4</v>
      </c>
      <c r="AQ34" s="9">
        <v>1</v>
      </c>
      <c r="AR34" s="10" t="s">
        <v>98</v>
      </c>
      <c r="AS34" s="10" t="s">
        <v>53</v>
      </c>
      <c r="AT34" s="8"/>
      <c r="AU34" s="10" t="s">
        <v>54</v>
      </c>
      <c r="AV34" s="10" t="s">
        <v>51</v>
      </c>
      <c r="AW34" s="10" t="s">
        <v>99</v>
      </c>
      <c r="AX34" s="8"/>
    </row>
    <row r="35" spans="1:50" x14ac:dyDescent="0.15">
      <c r="A35" s="11" t="s">
        <v>70</v>
      </c>
      <c r="B35" s="12" t="s">
        <v>61</v>
      </c>
      <c r="C35" s="10" t="s">
        <v>58</v>
      </c>
      <c r="D35" s="10" t="s">
        <v>59</v>
      </c>
      <c r="E35" s="9">
        <v>99</v>
      </c>
      <c r="F35" s="9">
        <v>99</v>
      </c>
      <c r="G35" s="9">
        <v>0</v>
      </c>
      <c r="H35" s="10" t="s">
        <v>59</v>
      </c>
      <c r="I35" s="9">
        <v>1</v>
      </c>
      <c r="J35" s="9">
        <v>0.34168562499689897</v>
      </c>
      <c r="K35" s="10" t="s">
        <v>51</v>
      </c>
      <c r="L35" s="9">
        <v>0</v>
      </c>
      <c r="M35" s="9">
        <v>99</v>
      </c>
      <c r="N35" s="9">
        <v>99</v>
      </c>
      <c r="O35" s="9">
        <v>12</v>
      </c>
      <c r="P35" s="9">
        <v>106.264879374998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9">
        <v>106.25539037499399</v>
      </c>
      <c r="AC35" s="9">
        <v>106.264879374998</v>
      </c>
      <c r="AD35" s="9">
        <v>106.751297832991</v>
      </c>
      <c r="AE35" s="9">
        <v>106.751297832991</v>
      </c>
      <c r="AF35" s="9">
        <v>106.751297832991</v>
      </c>
      <c r="AG35" s="9">
        <v>107.09989845799301</v>
      </c>
      <c r="AH35" s="10" t="s">
        <v>59</v>
      </c>
      <c r="AI35" s="9">
        <v>1</v>
      </c>
      <c r="AJ35" s="9">
        <v>0.34168562499689897</v>
      </c>
      <c r="AK35" s="10" t="s">
        <v>51</v>
      </c>
      <c r="AL35" s="8"/>
      <c r="AM35" s="8"/>
      <c r="AN35" s="8"/>
      <c r="AO35" s="8"/>
      <c r="AP35" s="9">
        <v>4</v>
      </c>
      <c r="AQ35" s="9">
        <v>1</v>
      </c>
      <c r="AR35" s="10" t="s">
        <v>98</v>
      </c>
      <c r="AS35" s="10" t="s">
        <v>53</v>
      </c>
      <c r="AT35" s="8"/>
      <c r="AU35" s="10" t="s">
        <v>54</v>
      </c>
      <c r="AV35" s="10" t="s">
        <v>51</v>
      </c>
      <c r="AW35" s="10" t="s">
        <v>99</v>
      </c>
      <c r="AX35" s="8"/>
    </row>
    <row r="36" spans="1:50" x14ac:dyDescent="0.15">
      <c r="A36" s="11" t="s">
        <v>83</v>
      </c>
      <c r="B36" s="12" t="s">
        <v>61</v>
      </c>
      <c r="C36" s="10" t="s">
        <v>62</v>
      </c>
      <c r="D36" s="10" t="s">
        <v>63</v>
      </c>
      <c r="E36" s="9">
        <v>101</v>
      </c>
      <c r="F36" s="9">
        <v>101</v>
      </c>
      <c r="G36" s="9">
        <v>3</v>
      </c>
      <c r="H36" s="10" t="s">
        <v>63</v>
      </c>
      <c r="I36" s="9">
        <v>1</v>
      </c>
      <c r="J36" s="9">
        <v>0.328754332993412</v>
      </c>
      <c r="K36" s="10" t="s">
        <v>51</v>
      </c>
      <c r="L36" s="9">
        <v>3</v>
      </c>
      <c r="M36" s="9">
        <v>101</v>
      </c>
      <c r="N36" s="9">
        <v>101</v>
      </c>
      <c r="O36" s="9">
        <v>3</v>
      </c>
      <c r="P36" s="9">
        <v>107.991620999994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9">
        <v>107.982597499999</v>
      </c>
      <c r="AC36" s="9">
        <v>107.991620999994</v>
      </c>
      <c r="AD36" s="9">
        <v>108.475466958</v>
      </c>
      <c r="AE36" s="9">
        <v>108.475466958</v>
      </c>
      <c r="AF36" s="9">
        <v>108.475466958</v>
      </c>
      <c r="AG36" s="9">
        <v>108.810624041987</v>
      </c>
      <c r="AH36" s="10" t="s">
        <v>63</v>
      </c>
      <c r="AI36" s="9">
        <v>1</v>
      </c>
      <c r="AJ36" s="9">
        <v>0.328754332993412</v>
      </c>
      <c r="AK36" s="10" t="s">
        <v>51</v>
      </c>
      <c r="AL36" s="8"/>
      <c r="AM36" s="8"/>
      <c r="AN36" s="8"/>
      <c r="AO36" s="8"/>
      <c r="AP36" s="9">
        <v>4</v>
      </c>
      <c r="AQ36" s="9">
        <v>1</v>
      </c>
      <c r="AR36" s="10" t="s">
        <v>98</v>
      </c>
      <c r="AS36" s="10" t="s">
        <v>53</v>
      </c>
      <c r="AT36" s="8"/>
      <c r="AU36" s="10" t="s">
        <v>54</v>
      </c>
      <c r="AV36" s="10" t="s">
        <v>51</v>
      </c>
      <c r="AW36" s="10" t="s">
        <v>99</v>
      </c>
      <c r="AX36" s="8"/>
    </row>
    <row r="37" spans="1:50" x14ac:dyDescent="0.15">
      <c r="A37" s="11" t="s">
        <v>85</v>
      </c>
      <c r="B37" s="12" t="s">
        <v>61</v>
      </c>
      <c r="C37" s="10" t="s">
        <v>62</v>
      </c>
      <c r="D37" s="10" t="s">
        <v>63</v>
      </c>
      <c r="E37" s="9">
        <v>107</v>
      </c>
      <c r="F37" s="9">
        <v>107</v>
      </c>
      <c r="G37" s="9">
        <v>3</v>
      </c>
      <c r="H37" s="10" t="s">
        <v>63</v>
      </c>
      <c r="I37" s="9">
        <v>1</v>
      </c>
      <c r="J37" s="9">
        <v>0.44605229099397598</v>
      </c>
      <c r="K37" s="10" t="s">
        <v>51</v>
      </c>
      <c r="L37" s="9">
        <v>3</v>
      </c>
      <c r="M37" s="9">
        <v>107</v>
      </c>
      <c r="N37" s="9">
        <v>107</v>
      </c>
      <c r="O37" s="9">
        <v>11</v>
      </c>
      <c r="P37" s="9">
        <v>113.030629457993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9">
        <v>113.020837624994</v>
      </c>
      <c r="AC37" s="9">
        <v>113.030629457993</v>
      </c>
      <c r="AD37" s="9">
        <v>113.51821079199701</v>
      </c>
      <c r="AE37" s="9">
        <v>113.51821079199701</v>
      </c>
      <c r="AF37" s="9">
        <v>113.51821079199701</v>
      </c>
      <c r="AG37" s="9">
        <v>113.96651704199</v>
      </c>
      <c r="AH37" s="10" t="s">
        <v>63</v>
      </c>
      <c r="AI37" s="9">
        <v>1</v>
      </c>
      <c r="AJ37" s="9">
        <v>0.44605229099397598</v>
      </c>
      <c r="AK37" s="10" t="s">
        <v>51</v>
      </c>
      <c r="AL37" s="8"/>
      <c r="AM37" s="8"/>
      <c r="AN37" s="8"/>
      <c r="AO37" s="8"/>
      <c r="AP37" s="9">
        <v>4</v>
      </c>
      <c r="AQ37" s="9">
        <v>1</v>
      </c>
      <c r="AR37" s="10" t="s">
        <v>98</v>
      </c>
      <c r="AS37" s="10" t="s">
        <v>53</v>
      </c>
      <c r="AT37" s="8"/>
      <c r="AU37" s="10" t="s">
        <v>54</v>
      </c>
      <c r="AV37" s="10" t="s">
        <v>51</v>
      </c>
      <c r="AW37" s="10" t="s">
        <v>99</v>
      </c>
      <c r="AX37" s="8"/>
    </row>
    <row r="38" spans="1:50" x14ac:dyDescent="0.15">
      <c r="A38" s="11" t="s">
        <v>73</v>
      </c>
      <c r="B38" s="12" t="s">
        <v>61</v>
      </c>
      <c r="C38" s="10" t="s">
        <v>58</v>
      </c>
      <c r="D38" s="10" t="s">
        <v>59</v>
      </c>
      <c r="E38" s="9">
        <v>108</v>
      </c>
      <c r="F38" s="9">
        <v>108</v>
      </c>
      <c r="G38" s="9">
        <v>1</v>
      </c>
      <c r="H38" s="10" t="s">
        <v>63</v>
      </c>
      <c r="I38" s="9">
        <v>0</v>
      </c>
      <c r="J38" s="9">
        <v>0.32074224999814799</v>
      </c>
      <c r="K38" s="10" t="s">
        <v>51</v>
      </c>
      <c r="L38" s="9">
        <v>1</v>
      </c>
      <c r="M38" s="9">
        <v>108</v>
      </c>
      <c r="N38" s="9">
        <v>108</v>
      </c>
      <c r="O38" s="9">
        <v>14</v>
      </c>
      <c r="P38" s="9">
        <v>113.981605875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9">
        <v>113.971644124991</v>
      </c>
      <c r="AC38" s="9">
        <v>113.981605875</v>
      </c>
      <c r="AD38" s="9">
        <v>114.467640874995</v>
      </c>
      <c r="AE38" s="9">
        <v>114.467640874995</v>
      </c>
      <c r="AF38" s="9">
        <v>114.467640874995</v>
      </c>
      <c r="AG38" s="9">
        <v>114.79404374999299</v>
      </c>
      <c r="AH38" s="10" t="s">
        <v>63</v>
      </c>
      <c r="AI38" s="9">
        <v>0</v>
      </c>
      <c r="AJ38" s="9">
        <v>0.32074224999814799</v>
      </c>
      <c r="AK38" s="10" t="s">
        <v>51</v>
      </c>
      <c r="AL38" s="8"/>
      <c r="AM38" s="8"/>
      <c r="AN38" s="8"/>
      <c r="AO38" s="8"/>
      <c r="AP38" s="9">
        <v>4</v>
      </c>
      <c r="AQ38" s="9">
        <v>1</v>
      </c>
      <c r="AR38" s="10" t="s">
        <v>98</v>
      </c>
      <c r="AS38" s="10" t="s">
        <v>53</v>
      </c>
      <c r="AT38" s="8"/>
      <c r="AU38" s="10" t="s">
        <v>54</v>
      </c>
      <c r="AV38" s="10" t="s">
        <v>51</v>
      </c>
      <c r="AW38" s="10" t="s">
        <v>99</v>
      </c>
      <c r="AX38" s="8"/>
    </row>
    <row r="39" spans="1:50" x14ac:dyDescent="0.15">
      <c r="A39" s="11" t="s">
        <v>60</v>
      </c>
      <c r="B39" s="12" t="s">
        <v>61</v>
      </c>
      <c r="C39" s="10" t="s">
        <v>62</v>
      </c>
      <c r="D39" s="10" t="s">
        <v>63</v>
      </c>
      <c r="E39" s="9">
        <v>110</v>
      </c>
      <c r="F39" s="9">
        <v>110</v>
      </c>
      <c r="G39" s="9">
        <v>1</v>
      </c>
      <c r="H39" s="10" t="s">
        <v>63</v>
      </c>
      <c r="I39" s="9">
        <v>1</v>
      </c>
      <c r="J39" s="9">
        <v>0.54779062498710096</v>
      </c>
      <c r="K39" s="10" t="s">
        <v>51</v>
      </c>
      <c r="L39" s="9">
        <v>1</v>
      </c>
      <c r="M39" s="9">
        <v>110</v>
      </c>
      <c r="N39" s="9">
        <v>110</v>
      </c>
      <c r="O39" s="9">
        <v>9</v>
      </c>
      <c r="P39" s="9">
        <v>115.724420582992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9">
        <v>115.715342541997</v>
      </c>
      <c r="AC39" s="9">
        <v>115.724420582992</v>
      </c>
      <c r="AD39" s="9">
        <v>116.20868916699</v>
      </c>
      <c r="AE39" s="9">
        <v>116.20868916699</v>
      </c>
      <c r="AF39" s="9">
        <v>116.20868916699</v>
      </c>
      <c r="AG39" s="9">
        <v>116.76074358299999</v>
      </c>
      <c r="AH39" s="10" t="s">
        <v>63</v>
      </c>
      <c r="AI39" s="9">
        <v>1</v>
      </c>
      <c r="AJ39" s="9">
        <v>0.54779062498710096</v>
      </c>
      <c r="AK39" s="10" t="s">
        <v>51</v>
      </c>
      <c r="AL39" s="8"/>
      <c r="AM39" s="8"/>
      <c r="AN39" s="8"/>
      <c r="AO39" s="8"/>
      <c r="AP39" s="9">
        <v>4</v>
      </c>
      <c r="AQ39" s="9">
        <v>1</v>
      </c>
      <c r="AR39" s="10" t="s">
        <v>98</v>
      </c>
      <c r="AS39" s="10" t="s">
        <v>53</v>
      </c>
      <c r="AT39" s="8"/>
      <c r="AU39" s="10" t="s">
        <v>54</v>
      </c>
      <c r="AV39" s="10" t="s">
        <v>51</v>
      </c>
      <c r="AW39" s="10" t="s">
        <v>99</v>
      </c>
      <c r="AX39" s="8"/>
    </row>
    <row r="40" spans="1:50" x14ac:dyDescent="0.15">
      <c r="A40" s="11" t="s">
        <v>70</v>
      </c>
      <c r="B40" s="12" t="s">
        <v>61</v>
      </c>
      <c r="C40" s="10" t="s">
        <v>58</v>
      </c>
      <c r="D40" s="10" t="s">
        <v>59</v>
      </c>
      <c r="E40" s="9">
        <v>113</v>
      </c>
      <c r="F40" s="9">
        <v>113</v>
      </c>
      <c r="G40" s="9">
        <v>1</v>
      </c>
      <c r="H40" s="10" t="s">
        <v>59</v>
      </c>
      <c r="I40" s="9">
        <v>1</v>
      </c>
      <c r="J40" s="9">
        <v>0.49816362500132499</v>
      </c>
      <c r="K40" s="10" t="s">
        <v>51</v>
      </c>
      <c r="L40" s="9">
        <v>1</v>
      </c>
      <c r="M40" s="9">
        <v>113</v>
      </c>
      <c r="N40" s="9">
        <v>113</v>
      </c>
      <c r="O40" s="9">
        <v>12</v>
      </c>
      <c r="P40" s="9">
        <v>118.73700987499601</v>
      </c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9">
        <v>118.730781541992</v>
      </c>
      <c r="AC40" s="9">
        <v>118.73700987499601</v>
      </c>
      <c r="AD40" s="9">
        <v>119.225436124994</v>
      </c>
      <c r="AE40" s="9">
        <v>119.225436124994</v>
      </c>
      <c r="AF40" s="9">
        <v>119.225436124994</v>
      </c>
      <c r="AG40" s="9">
        <v>119.72761370799</v>
      </c>
      <c r="AH40" s="10" t="s">
        <v>59</v>
      </c>
      <c r="AI40" s="9">
        <v>1</v>
      </c>
      <c r="AJ40" s="9">
        <v>0.49816362500132499</v>
      </c>
      <c r="AK40" s="10" t="s">
        <v>51</v>
      </c>
      <c r="AL40" s="8"/>
      <c r="AM40" s="8"/>
      <c r="AN40" s="8"/>
      <c r="AO40" s="8"/>
      <c r="AP40" s="9">
        <v>4</v>
      </c>
      <c r="AQ40" s="9">
        <v>1</v>
      </c>
      <c r="AR40" s="10" t="s">
        <v>98</v>
      </c>
      <c r="AS40" s="10" t="s">
        <v>53</v>
      </c>
      <c r="AT40" s="8"/>
      <c r="AU40" s="10" t="s">
        <v>54</v>
      </c>
      <c r="AV40" s="10" t="s">
        <v>51</v>
      </c>
      <c r="AW40" s="10" t="s">
        <v>99</v>
      </c>
      <c r="AX40" s="8"/>
    </row>
    <row r="41" spans="1:50" x14ac:dyDescent="0.15">
      <c r="A41" s="11" t="s">
        <v>60</v>
      </c>
      <c r="B41" s="12" t="s">
        <v>61</v>
      </c>
      <c r="C41" s="10" t="s">
        <v>58</v>
      </c>
      <c r="D41" s="10" t="s">
        <v>59</v>
      </c>
      <c r="E41" s="9">
        <v>115</v>
      </c>
      <c r="F41" s="9">
        <v>115</v>
      </c>
      <c r="G41" s="9">
        <v>3</v>
      </c>
      <c r="H41" s="10" t="s">
        <v>59</v>
      </c>
      <c r="I41" s="9">
        <v>1</v>
      </c>
      <c r="J41" s="9">
        <v>0.41648804100987002</v>
      </c>
      <c r="K41" s="10" t="s">
        <v>51</v>
      </c>
      <c r="L41" s="9">
        <v>3</v>
      </c>
      <c r="M41" s="9">
        <v>115</v>
      </c>
      <c r="N41" s="9">
        <v>115</v>
      </c>
      <c r="O41" s="9">
        <v>8</v>
      </c>
      <c r="P41" s="9">
        <v>120.624345499993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9">
        <v>120.615134583</v>
      </c>
      <c r="AC41" s="9">
        <v>120.624345499993</v>
      </c>
      <c r="AD41" s="9">
        <v>121.10887770799999</v>
      </c>
      <c r="AE41" s="9">
        <v>121.10887770799999</v>
      </c>
      <c r="AF41" s="9">
        <v>121.10887770799999</v>
      </c>
      <c r="AG41" s="9">
        <v>121.527354291989</v>
      </c>
      <c r="AH41" s="10" t="s">
        <v>59</v>
      </c>
      <c r="AI41" s="9">
        <v>1</v>
      </c>
      <c r="AJ41" s="9">
        <v>0.41648804100987002</v>
      </c>
      <c r="AK41" s="10" t="s">
        <v>51</v>
      </c>
      <c r="AL41" s="8"/>
      <c r="AM41" s="8"/>
      <c r="AN41" s="8"/>
      <c r="AO41" s="8"/>
      <c r="AP41" s="9">
        <v>4</v>
      </c>
      <c r="AQ41" s="9">
        <v>1</v>
      </c>
      <c r="AR41" s="10" t="s">
        <v>98</v>
      </c>
      <c r="AS41" s="10" t="s">
        <v>53</v>
      </c>
      <c r="AT41" s="8"/>
      <c r="AU41" s="10" t="s">
        <v>54</v>
      </c>
      <c r="AV41" s="10" t="s">
        <v>51</v>
      </c>
      <c r="AW41" s="10" t="s">
        <v>99</v>
      </c>
      <c r="AX41" s="8"/>
    </row>
    <row r="42" spans="1:50" x14ac:dyDescent="0.15">
      <c r="A42" s="11" t="s">
        <v>70</v>
      </c>
      <c r="B42" s="12" t="s">
        <v>61</v>
      </c>
      <c r="C42" s="10" t="s">
        <v>62</v>
      </c>
      <c r="D42" s="10" t="s">
        <v>63</v>
      </c>
      <c r="E42" s="9">
        <v>118</v>
      </c>
      <c r="F42" s="9">
        <v>118</v>
      </c>
      <c r="G42" s="9">
        <v>2</v>
      </c>
      <c r="H42" s="10" t="s">
        <v>63</v>
      </c>
      <c r="I42" s="9">
        <v>1</v>
      </c>
      <c r="J42" s="9">
        <v>0.48978270799852902</v>
      </c>
      <c r="K42" s="10" t="s">
        <v>51</v>
      </c>
      <c r="L42" s="9">
        <v>2</v>
      </c>
      <c r="M42" s="9">
        <v>118</v>
      </c>
      <c r="N42" s="9">
        <v>118</v>
      </c>
      <c r="O42" s="9">
        <v>13</v>
      </c>
      <c r="P42" s="9">
        <v>123.275154791991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9">
        <v>123.266287457998</v>
      </c>
      <c r="AC42" s="9">
        <v>123.275154791991</v>
      </c>
      <c r="AD42" s="9">
        <v>123.759074749993</v>
      </c>
      <c r="AE42" s="9">
        <v>123.759074749993</v>
      </c>
      <c r="AF42" s="9">
        <v>123.759074749993</v>
      </c>
      <c r="AG42" s="9">
        <v>124.250325041998</v>
      </c>
      <c r="AH42" s="10" t="s">
        <v>63</v>
      </c>
      <c r="AI42" s="9">
        <v>1</v>
      </c>
      <c r="AJ42" s="9">
        <v>0.48978270799852902</v>
      </c>
      <c r="AK42" s="10" t="s">
        <v>51</v>
      </c>
      <c r="AL42" s="8"/>
      <c r="AM42" s="8"/>
      <c r="AN42" s="8"/>
      <c r="AO42" s="8"/>
      <c r="AP42" s="9">
        <v>4</v>
      </c>
      <c r="AQ42" s="9">
        <v>1</v>
      </c>
      <c r="AR42" s="10" t="s">
        <v>98</v>
      </c>
      <c r="AS42" s="10" t="s">
        <v>53</v>
      </c>
      <c r="AT42" s="8"/>
      <c r="AU42" s="10" t="s">
        <v>54</v>
      </c>
      <c r="AV42" s="10" t="s">
        <v>51</v>
      </c>
      <c r="AW42" s="10" t="s">
        <v>99</v>
      </c>
      <c r="AX42" s="8"/>
    </row>
    <row r="43" spans="1:50" x14ac:dyDescent="0.15">
      <c r="A43" s="11" t="s">
        <v>85</v>
      </c>
      <c r="B43" s="12" t="s">
        <v>61</v>
      </c>
      <c r="C43" s="10" t="s">
        <v>58</v>
      </c>
      <c r="D43" s="10" t="s">
        <v>59</v>
      </c>
      <c r="E43" s="9">
        <v>122</v>
      </c>
      <c r="F43" s="9">
        <v>122</v>
      </c>
      <c r="G43" s="9">
        <v>2</v>
      </c>
      <c r="H43" s="10" t="s">
        <v>59</v>
      </c>
      <c r="I43" s="9">
        <v>1</v>
      </c>
      <c r="J43" s="9">
        <v>0.42407958299736498</v>
      </c>
      <c r="K43" s="10" t="s">
        <v>51</v>
      </c>
      <c r="L43" s="9">
        <v>2</v>
      </c>
      <c r="M43" s="9">
        <v>122</v>
      </c>
      <c r="N43" s="9">
        <v>122</v>
      </c>
      <c r="O43" s="9">
        <v>10</v>
      </c>
      <c r="P43" s="9">
        <v>127.023461916993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9">
        <v>127.014651332996</v>
      </c>
      <c r="AC43" s="9">
        <v>127.023461916993</v>
      </c>
      <c r="AD43" s="9">
        <v>127.50929579199899</v>
      </c>
      <c r="AE43" s="9">
        <v>127.50929579199899</v>
      </c>
      <c r="AF43" s="9">
        <v>127.50929579199899</v>
      </c>
      <c r="AG43" s="9">
        <v>127.944578124996</v>
      </c>
      <c r="AH43" s="10" t="s">
        <v>59</v>
      </c>
      <c r="AI43" s="9">
        <v>1</v>
      </c>
      <c r="AJ43" s="9">
        <v>0.42407958299736498</v>
      </c>
      <c r="AK43" s="10" t="s">
        <v>51</v>
      </c>
      <c r="AL43" s="8"/>
      <c r="AM43" s="8"/>
      <c r="AN43" s="8"/>
      <c r="AO43" s="8"/>
      <c r="AP43" s="9">
        <v>4</v>
      </c>
      <c r="AQ43" s="9">
        <v>1</v>
      </c>
      <c r="AR43" s="10" t="s">
        <v>98</v>
      </c>
      <c r="AS43" s="10" t="s">
        <v>53</v>
      </c>
      <c r="AT43" s="8"/>
      <c r="AU43" s="10" t="s">
        <v>54</v>
      </c>
      <c r="AV43" s="10" t="s">
        <v>51</v>
      </c>
      <c r="AW43" s="10" t="s">
        <v>99</v>
      </c>
      <c r="AX43" s="8"/>
    </row>
    <row r="44" spans="1:50" x14ac:dyDescent="0.15">
      <c r="A44" s="11" t="s">
        <v>70</v>
      </c>
      <c r="B44" s="12" t="s">
        <v>61</v>
      </c>
      <c r="C44" s="10" t="s">
        <v>58</v>
      </c>
      <c r="D44" s="10" t="s">
        <v>59</v>
      </c>
      <c r="E44" s="9">
        <v>124</v>
      </c>
      <c r="F44" s="9">
        <v>124</v>
      </c>
      <c r="G44" s="9">
        <v>2</v>
      </c>
      <c r="H44" s="10" t="s">
        <v>59</v>
      </c>
      <c r="I44" s="9">
        <v>1</v>
      </c>
      <c r="J44" s="9">
        <v>0.35781287400459399</v>
      </c>
      <c r="K44" s="10" t="s">
        <v>51</v>
      </c>
      <c r="L44" s="9">
        <v>2</v>
      </c>
      <c r="M44" s="9">
        <v>124</v>
      </c>
      <c r="N44" s="9">
        <v>124</v>
      </c>
      <c r="O44" s="9">
        <v>12</v>
      </c>
      <c r="P44" s="9">
        <v>129.025509374987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9">
        <v>129.01638887499601</v>
      </c>
      <c r="AC44" s="9">
        <v>129.025509374987</v>
      </c>
      <c r="AD44" s="9">
        <v>129.50969466699499</v>
      </c>
      <c r="AE44" s="9">
        <v>129.50969466699499</v>
      </c>
      <c r="AF44" s="9">
        <v>129.50969466699499</v>
      </c>
      <c r="AG44" s="9">
        <v>129.87801779199799</v>
      </c>
      <c r="AH44" s="10" t="s">
        <v>59</v>
      </c>
      <c r="AI44" s="9">
        <v>1</v>
      </c>
      <c r="AJ44" s="9">
        <v>0.35781287400459399</v>
      </c>
      <c r="AK44" s="10" t="s">
        <v>51</v>
      </c>
      <c r="AL44" s="8"/>
      <c r="AM44" s="8"/>
      <c r="AN44" s="8"/>
      <c r="AO44" s="8"/>
      <c r="AP44" s="9">
        <v>4</v>
      </c>
      <c r="AQ44" s="9">
        <v>1</v>
      </c>
      <c r="AR44" s="10" t="s">
        <v>98</v>
      </c>
      <c r="AS44" s="10" t="s">
        <v>53</v>
      </c>
      <c r="AT44" s="8"/>
      <c r="AU44" s="10" t="s">
        <v>54</v>
      </c>
      <c r="AV44" s="10" t="s">
        <v>51</v>
      </c>
      <c r="AW44" s="10" t="s">
        <v>99</v>
      </c>
      <c r="AX44" s="8"/>
    </row>
    <row r="45" spans="1:50" x14ac:dyDescent="0.15">
      <c r="A45" s="11" t="s">
        <v>60</v>
      </c>
      <c r="B45" s="12" t="s">
        <v>61</v>
      </c>
      <c r="C45" s="10" t="s">
        <v>62</v>
      </c>
      <c r="D45" s="10" t="s">
        <v>63</v>
      </c>
      <c r="E45" s="9">
        <v>129</v>
      </c>
      <c r="F45" s="9">
        <v>129</v>
      </c>
      <c r="G45" s="9">
        <v>2</v>
      </c>
      <c r="H45" s="10" t="s">
        <v>63</v>
      </c>
      <c r="I45" s="9">
        <v>1</v>
      </c>
      <c r="J45" s="9">
        <v>0.52150654100114502</v>
      </c>
      <c r="K45" s="10" t="s">
        <v>51</v>
      </c>
      <c r="L45" s="9">
        <v>2</v>
      </c>
      <c r="M45" s="9">
        <v>129</v>
      </c>
      <c r="N45" s="9">
        <v>129</v>
      </c>
      <c r="O45" s="9">
        <v>9</v>
      </c>
      <c r="P45" s="9">
        <v>133.441405833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9">
        <v>133.43250354199</v>
      </c>
      <c r="AC45" s="9">
        <v>133.441405833</v>
      </c>
      <c r="AD45" s="9">
        <v>133.926101249992</v>
      </c>
      <c r="AE45" s="9">
        <v>133.926101249992</v>
      </c>
      <c r="AF45" s="9">
        <v>133.926101249992</v>
      </c>
      <c r="AG45" s="9">
        <v>134.451436416988</v>
      </c>
      <c r="AH45" s="10" t="s">
        <v>63</v>
      </c>
      <c r="AI45" s="9">
        <v>1</v>
      </c>
      <c r="AJ45" s="9">
        <v>0.52150654100114502</v>
      </c>
      <c r="AK45" s="10" t="s">
        <v>51</v>
      </c>
      <c r="AL45" s="8"/>
      <c r="AM45" s="8"/>
      <c r="AN45" s="8"/>
      <c r="AO45" s="8"/>
      <c r="AP45" s="9">
        <v>4</v>
      </c>
      <c r="AQ45" s="9">
        <v>1</v>
      </c>
      <c r="AR45" s="10" t="s">
        <v>98</v>
      </c>
      <c r="AS45" s="10" t="s">
        <v>53</v>
      </c>
      <c r="AT45" s="8"/>
      <c r="AU45" s="10" t="s">
        <v>54</v>
      </c>
      <c r="AV45" s="10" t="s">
        <v>51</v>
      </c>
      <c r="AW45" s="10" t="s">
        <v>99</v>
      </c>
      <c r="AX45" s="8"/>
    </row>
    <row r="46" spans="1:50" x14ac:dyDescent="0.15">
      <c r="A46" s="11" t="s">
        <v>64</v>
      </c>
      <c r="B46" s="12" t="s">
        <v>61</v>
      </c>
      <c r="C46" s="10" t="s">
        <v>58</v>
      </c>
      <c r="D46" s="10" t="s">
        <v>59</v>
      </c>
      <c r="E46" s="9">
        <v>130</v>
      </c>
      <c r="F46" s="9">
        <v>130</v>
      </c>
      <c r="G46" s="9">
        <v>1</v>
      </c>
      <c r="H46" s="10" t="s">
        <v>59</v>
      </c>
      <c r="I46" s="9">
        <v>1</v>
      </c>
      <c r="J46" s="9">
        <v>0.54320137499598797</v>
      </c>
      <c r="K46" s="10" t="s">
        <v>51</v>
      </c>
      <c r="L46" s="9">
        <v>1</v>
      </c>
      <c r="M46" s="9">
        <v>130</v>
      </c>
      <c r="N46" s="9">
        <v>130</v>
      </c>
      <c r="O46" s="9">
        <v>4</v>
      </c>
      <c r="P46" s="9">
        <v>134.465742124987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9">
        <v>134.45626095798801</v>
      </c>
      <c r="AC46" s="9">
        <v>134.465742124987</v>
      </c>
      <c r="AD46" s="9">
        <v>134.95139304199299</v>
      </c>
      <c r="AE46" s="9">
        <v>134.95139304199299</v>
      </c>
      <c r="AF46" s="9">
        <v>134.95139304199299</v>
      </c>
      <c r="AG46" s="9">
        <v>135.500634791999</v>
      </c>
      <c r="AH46" s="10" t="s">
        <v>59</v>
      </c>
      <c r="AI46" s="9">
        <v>1</v>
      </c>
      <c r="AJ46" s="9">
        <v>0.54320137499598797</v>
      </c>
      <c r="AK46" s="10" t="s">
        <v>51</v>
      </c>
      <c r="AL46" s="8"/>
      <c r="AM46" s="8"/>
      <c r="AN46" s="8"/>
      <c r="AO46" s="8"/>
      <c r="AP46" s="9">
        <v>4</v>
      </c>
      <c r="AQ46" s="9">
        <v>1</v>
      </c>
      <c r="AR46" s="10" t="s">
        <v>98</v>
      </c>
      <c r="AS46" s="10" t="s">
        <v>53</v>
      </c>
      <c r="AT46" s="8"/>
      <c r="AU46" s="10" t="s">
        <v>54</v>
      </c>
      <c r="AV46" s="10" t="s">
        <v>51</v>
      </c>
      <c r="AW46" s="10" t="s">
        <v>99</v>
      </c>
      <c r="AX46" s="8"/>
    </row>
    <row r="47" spans="1:50" x14ac:dyDescent="0.15">
      <c r="A47" s="11" t="s">
        <v>60</v>
      </c>
      <c r="B47" s="12" t="s">
        <v>61</v>
      </c>
      <c r="C47" s="10" t="s">
        <v>58</v>
      </c>
      <c r="D47" s="10" t="s">
        <v>59</v>
      </c>
      <c r="E47" s="9">
        <v>134</v>
      </c>
      <c r="F47" s="9">
        <v>134</v>
      </c>
      <c r="G47" s="9">
        <v>4</v>
      </c>
      <c r="H47" s="10" t="s">
        <v>59</v>
      </c>
      <c r="I47" s="9">
        <v>1</v>
      </c>
      <c r="J47" s="9">
        <v>0.48415404200204698</v>
      </c>
      <c r="K47" s="10" t="s">
        <v>51</v>
      </c>
      <c r="L47" s="9">
        <v>4</v>
      </c>
      <c r="M47" s="9">
        <v>134</v>
      </c>
      <c r="N47" s="9">
        <v>134</v>
      </c>
      <c r="O47" s="9">
        <v>8</v>
      </c>
      <c r="P47" s="9">
        <v>138.32589408299799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9">
        <v>138.316910707988</v>
      </c>
      <c r="AC47" s="9">
        <v>138.32589408299799</v>
      </c>
      <c r="AD47" s="9">
        <v>138.80949737499799</v>
      </c>
      <c r="AE47" s="9">
        <v>138.80949737499799</v>
      </c>
      <c r="AF47" s="9">
        <v>138.80949737499799</v>
      </c>
      <c r="AG47" s="9">
        <v>139.300803957987</v>
      </c>
      <c r="AH47" s="10" t="s">
        <v>59</v>
      </c>
      <c r="AI47" s="9">
        <v>1</v>
      </c>
      <c r="AJ47" s="9">
        <v>0.48415404200204698</v>
      </c>
      <c r="AK47" s="10" t="s">
        <v>51</v>
      </c>
      <c r="AL47" s="8"/>
      <c r="AM47" s="8"/>
      <c r="AN47" s="8"/>
      <c r="AO47" s="8"/>
      <c r="AP47" s="9">
        <v>4</v>
      </c>
      <c r="AQ47" s="9">
        <v>1</v>
      </c>
      <c r="AR47" s="10" t="s">
        <v>98</v>
      </c>
      <c r="AS47" s="10" t="s">
        <v>53</v>
      </c>
      <c r="AT47" s="8"/>
      <c r="AU47" s="10" t="s">
        <v>54</v>
      </c>
      <c r="AV47" s="10" t="s">
        <v>51</v>
      </c>
      <c r="AW47" s="10" t="s">
        <v>99</v>
      </c>
      <c r="AX47" s="8"/>
    </row>
    <row r="48" spans="1:50" x14ac:dyDescent="0.15">
      <c r="A48" s="11" t="s">
        <v>73</v>
      </c>
      <c r="B48" s="12" t="s">
        <v>61</v>
      </c>
      <c r="C48" s="10" t="s">
        <v>62</v>
      </c>
      <c r="D48" s="10" t="s">
        <v>63</v>
      </c>
      <c r="E48" s="9">
        <v>138</v>
      </c>
      <c r="F48" s="9">
        <v>138</v>
      </c>
      <c r="G48" s="9">
        <v>2</v>
      </c>
      <c r="H48" s="10" t="s">
        <v>63</v>
      </c>
      <c r="I48" s="9">
        <v>1</v>
      </c>
      <c r="J48" s="9">
        <v>0.324409207998542</v>
      </c>
      <c r="K48" s="10" t="s">
        <v>51</v>
      </c>
      <c r="L48" s="9">
        <v>2</v>
      </c>
      <c r="M48" s="9">
        <v>138</v>
      </c>
      <c r="N48" s="9">
        <v>138</v>
      </c>
      <c r="O48" s="9">
        <v>15</v>
      </c>
      <c r="P48" s="9">
        <v>142.366376499995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9">
        <v>142.35694512499299</v>
      </c>
      <c r="AC48" s="9">
        <v>142.366376499995</v>
      </c>
      <c r="AD48" s="9">
        <v>142.852305291992</v>
      </c>
      <c r="AE48" s="9">
        <v>142.852305291992</v>
      </c>
      <c r="AF48" s="9">
        <v>142.852305291992</v>
      </c>
      <c r="AG48" s="9">
        <v>143.17845349999001</v>
      </c>
      <c r="AH48" s="10" t="s">
        <v>63</v>
      </c>
      <c r="AI48" s="9">
        <v>1</v>
      </c>
      <c r="AJ48" s="9">
        <v>0.324409207998542</v>
      </c>
      <c r="AK48" s="10" t="s">
        <v>51</v>
      </c>
      <c r="AL48" s="8"/>
      <c r="AM48" s="8"/>
      <c r="AN48" s="8"/>
      <c r="AO48" s="8"/>
      <c r="AP48" s="9">
        <v>4</v>
      </c>
      <c r="AQ48" s="9">
        <v>1</v>
      </c>
      <c r="AR48" s="10" t="s">
        <v>98</v>
      </c>
      <c r="AS48" s="10" t="s">
        <v>53</v>
      </c>
      <c r="AT48" s="8"/>
      <c r="AU48" s="10" t="s">
        <v>54</v>
      </c>
      <c r="AV48" s="10" t="s">
        <v>51</v>
      </c>
      <c r="AW48" s="10" t="s">
        <v>99</v>
      </c>
      <c r="AX48" s="8"/>
    </row>
    <row r="49" spans="1:50" x14ac:dyDescent="0.15">
      <c r="A49" s="11" t="s">
        <v>79</v>
      </c>
      <c r="B49" s="12" t="s">
        <v>61</v>
      </c>
      <c r="C49" s="10" t="s">
        <v>62</v>
      </c>
      <c r="D49" s="10" t="s">
        <v>63</v>
      </c>
      <c r="E49" s="9">
        <v>141</v>
      </c>
      <c r="F49" s="9">
        <v>141</v>
      </c>
      <c r="G49" s="9">
        <v>3</v>
      </c>
      <c r="H49" s="10" t="s">
        <v>63</v>
      </c>
      <c r="I49" s="9">
        <v>1</v>
      </c>
      <c r="J49" s="9">
        <v>0.34598883299622701</v>
      </c>
      <c r="K49" s="10" t="s">
        <v>51</v>
      </c>
      <c r="L49" s="9">
        <v>3</v>
      </c>
      <c r="M49" s="9">
        <v>141</v>
      </c>
      <c r="N49" s="9">
        <v>141</v>
      </c>
      <c r="O49" s="9">
        <v>7</v>
      </c>
      <c r="P49" s="9">
        <v>145.125769582999</v>
      </c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9">
        <v>145.116775832998</v>
      </c>
      <c r="AC49" s="9">
        <v>145.125769582999</v>
      </c>
      <c r="AD49" s="9">
        <v>145.60983520800099</v>
      </c>
      <c r="AE49" s="9">
        <v>145.60983520800099</v>
      </c>
      <c r="AF49" s="9">
        <v>145.60983520800099</v>
      </c>
      <c r="AG49" s="9">
        <v>145.96140466698901</v>
      </c>
      <c r="AH49" s="10" t="s">
        <v>63</v>
      </c>
      <c r="AI49" s="9">
        <v>1</v>
      </c>
      <c r="AJ49" s="9">
        <v>0.34598883299622701</v>
      </c>
      <c r="AK49" s="10" t="s">
        <v>51</v>
      </c>
      <c r="AL49" s="8"/>
      <c r="AM49" s="8"/>
      <c r="AN49" s="8"/>
      <c r="AO49" s="8"/>
      <c r="AP49" s="9">
        <v>4</v>
      </c>
      <c r="AQ49" s="9">
        <v>1</v>
      </c>
      <c r="AR49" s="10" t="s">
        <v>98</v>
      </c>
      <c r="AS49" s="10" t="s">
        <v>53</v>
      </c>
      <c r="AT49" s="8"/>
      <c r="AU49" s="10" t="s">
        <v>54</v>
      </c>
      <c r="AV49" s="10" t="s">
        <v>51</v>
      </c>
      <c r="AW49" s="10" t="s">
        <v>99</v>
      </c>
      <c r="AX49" s="8"/>
    </row>
    <row r="50" spans="1:50" x14ac:dyDescent="0.15">
      <c r="A50" s="11" t="s">
        <v>79</v>
      </c>
      <c r="B50" s="12" t="s">
        <v>61</v>
      </c>
      <c r="C50" s="10" t="s">
        <v>62</v>
      </c>
      <c r="D50" s="10" t="s">
        <v>63</v>
      </c>
      <c r="E50" s="9">
        <v>151</v>
      </c>
      <c r="F50" s="9">
        <v>151</v>
      </c>
      <c r="G50" s="9">
        <v>4</v>
      </c>
      <c r="H50" s="10" t="s">
        <v>63</v>
      </c>
      <c r="I50" s="9">
        <v>1</v>
      </c>
      <c r="J50" s="9">
        <v>0.41165350000665102</v>
      </c>
      <c r="K50" s="10" t="s">
        <v>51</v>
      </c>
      <c r="L50" s="9">
        <v>4</v>
      </c>
      <c r="M50" s="9">
        <v>151</v>
      </c>
      <c r="N50" s="9">
        <v>151</v>
      </c>
      <c r="O50" s="9">
        <v>7</v>
      </c>
      <c r="P50" s="9">
        <v>153.92620649999299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9">
        <v>153.91720908299601</v>
      </c>
      <c r="AC50" s="9">
        <v>153.92620649999299</v>
      </c>
      <c r="AD50" s="9">
        <v>154.410429582989</v>
      </c>
      <c r="AE50" s="9">
        <v>154.410429582989</v>
      </c>
      <c r="AF50" s="9">
        <v>154.410429582989</v>
      </c>
      <c r="AG50" s="9">
        <v>154.829267499998</v>
      </c>
      <c r="AH50" s="10" t="s">
        <v>63</v>
      </c>
      <c r="AI50" s="9">
        <v>1</v>
      </c>
      <c r="AJ50" s="9">
        <v>0.41165350000665102</v>
      </c>
      <c r="AK50" s="10" t="s">
        <v>51</v>
      </c>
      <c r="AL50" s="8"/>
      <c r="AM50" s="8"/>
      <c r="AN50" s="8"/>
      <c r="AO50" s="8"/>
      <c r="AP50" s="9">
        <v>4</v>
      </c>
      <c r="AQ50" s="9">
        <v>1</v>
      </c>
      <c r="AR50" s="10" t="s">
        <v>98</v>
      </c>
      <c r="AS50" s="10" t="s">
        <v>53</v>
      </c>
      <c r="AT50" s="8"/>
      <c r="AU50" s="10" t="s">
        <v>54</v>
      </c>
      <c r="AV50" s="10" t="s">
        <v>51</v>
      </c>
      <c r="AW50" s="10" t="s">
        <v>99</v>
      </c>
      <c r="AX50" s="8"/>
    </row>
    <row r="51" spans="1:50" x14ac:dyDescent="0.15">
      <c r="A51" s="11" t="s">
        <v>83</v>
      </c>
      <c r="B51" s="12" t="s">
        <v>61</v>
      </c>
      <c r="C51" s="10" t="s">
        <v>58</v>
      </c>
      <c r="D51" s="10" t="s">
        <v>59</v>
      </c>
      <c r="E51" s="9">
        <v>152</v>
      </c>
      <c r="F51" s="9">
        <v>152</v>
      </c>
      <c r="G51" s="9">
        <v>2</v>
      </c>
      <c r="H51" s="10" t="s">
        <v>59</v>
      </c>
      <c r="I51" s="9">
        <v>1</v>
      </c>
      <c r="J51" s="9">
        <v>0.46976420799910601</v>
      </c>
      <c r="K51" s="10" t="s">
        <v>51</v>
      </c>
      <c r="L51" s="9">
        <v>2</v>
      </c>
      <c r="M51" s="9">
        <v>152</v>
      </c>
      <c r="N51" s="9">
        <v>152</v>
      </c>
      <c r="O51" s="9">
        <v>2</v>
      </c>
      <c r="P51" s="9">
        <v>154.843877374995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9">
        <v>154.834400832988</v>
      </c>
      <c r="AC51" s="9">
        <v>154.843877374995</v>
      </c>
      <c r="AD51" s="9">
        <v>155.32716212498801</v>
      </c>
      <c r="AE51" s="9">
        <v>155.32716212498801</v>
      </c>
      <c r="AF51" s="9">
        <v>155.32716212498801</v>
      </c>
      <c r="AG51" s="9">
        <v>155.801460499992</v>
      </c>
      <c r="AH51" s="10" t="s">
        <v>59</v>
      </c>
      <c r="AI51" s="9">
        <v>1</v>
      </c>
      <c r="AJ51" s="9">
        <v>0.46976420799910601</v>
      </c>
      <c r="AK51" s="10" t="s">
        <v>51</v>
      </c>
      <c r="AL51" s="8"/>
      <c r="AM51" s="8"/>
      <c r="AN51" s="8"/>
      <c r="AO51" s="8"/>
      <c r="AP51" s="9">
        <v>4</v>
      </c>
      <c r="AQ51" s="9">
        <v>1</v>
      </c>
      <c r="AR51" s="10" t="s">
        <v>98</v>
      </c>
      <c r="AS51" s="10" t="s">
        <v>53</v>
      </c>
      <c r="AT51" s="8"/>
      <c r="AU51" s="10" t="s">
        <v>54</v>
      </c>
      <c r="AV51" s="10" t="s">
        <v>51</v>
      </c>
      <c r="AW51" s="10" t="s">
        <v>99</v>
      </c>
      <c r="AX51" s="8"/>
    </row>
    <row r="52" spans="1:50" x14ac:dyDescent="0.15">
      <c r="A52" s="11" t="s">
        <v>83</v>
      </c>
      <c r="B52" s="12" t="s">
        <v>61</v>
      </c>
      <c r="C52" s="10" t="s">
        <v>58</v>
      </c>
      <c r="D52" s="10" t="s">
        <v>59</v>
      </c>
      <c r="E52" s="9">
        <v>153</v>
      </c>
      <c r="F52" s="9">
        <v>153</v>
      </c>
      <c r="G52" s="9">
        <v>3</v>
      </c>
      <c r="H52" s="10" t="s">
        <v>59</v>
      </c>
      <c r="I52" s="9">
        <v>1</v>
      </c>
      <c r="J52" s="9">
        <v>0.37747537500399603</v>
      </c>
      <c r="K52" s="10" t="s">
        <v>51</v>
      </c>
      <c r="L52" s="9">
        <v>3</v>
      </c>
      <c r="M52" s="9">
        <v>153</v>
      </c>
      <c r="N52" s="9">
        <v>153</v>
      </c>
      <c r="O52" s="9">
        <v>2</v>
      </c>
      <c r="P52" s="9">
        <v>155.81231629199499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9">
        <v>155.80238245798699</v>
      </c>
      <c r="AC52" s="9">
        <v>155.81231629199499</v>
      </c>
      <c r="AD52" s="9">
        <v>156.30152291699801</v>
      </c>
      <c r="AE52" s="9">
        <v>156.30152291699801</v>
      </c>
      <c r="AF52" s="9">
        <v>156.30152291699801</v>
      </c>
      <c r="AG52" s="9">
        <v>156.68484591699999</v>
      </c>
      <c r="AH52" s="10" t="s">
        <v>59</v>
      </c>
      <c r="AI52" s="9">
        <v>1</v>
      </c>
      <c r="AJ52" s="9">
        <v>0.37747537500399603</v>
      </c>
      <c r="AK52" s="10" t="s">
        <v>51</v>
      </c>
      <c r="AL52" s="8"/>
      <c r="AM52" s="8"/>
      <c r="AN52" s="8"/>
      <c r="AO52" s="8"/>
      <c r="AP52" s="9">
        <v>4</v>
      </c>
      <c r="AQ52" s="9">
        <v>1</v>
      </c>
      <c r="AR52" s="10" t="s">
        <v>98</v>
      </c>
      <c r="AS52" s="10" t="s">
        <v>53</v>
      </c>
      <c r="AT52" s="8"/>
      <c r="AU52" s="10" t="s">
        <v>54</v>
      </c>
      <c r="AV52" s="10" t="s">
        <v>51</v>
      </c>
      <c r="AW52" s="10" t="s">
        <v>99</v>
      </c>
      <c r="AX52" s="8"/>
    </row>
    <row r="53" spans="1:50" x14ac:dyDescent="0.15">
      <c r="A53" s="11" t="s">
        <v>73</v>
      </c>
      <c r="B53" s="12" t="s">
        <v>61</v>
      </c>
      <c r="C53" s="10" t="s">
        <v>62</v>
      </c>
      <c r="D53" s="10" t="s">
        <v>63</v>
      </c>
      <c r="E53" s="9">
        <v>155</v>
      </c>
      <c r="F53" s="9">
        <v>155</v>
      </c>
      <c r="G53" s="9">
        <v>3</v>
      </c>
      <c r="H53" s="10" t="s">
        <v>63</v>
      </c>
      <c r="I53" s="9">
        <v>1</v>
      </c>
      <c r="J53" s="9">
        <v>0.63657416700152702</v>
      </c>
      <c r="K53" s="10" t="s">
        <v>51</v>
      </c>
      <c r="L53" s="9">
        <v>3</v>
      </c>
      <c r="M53" s="9">
        <v>155</v>
      </c>
      <c r="N53" s="9">
        <v>155</v>
      </c>
      <c r="O53" s="9">
        <v>15</v>
      </c>
      <c r="P53" s="9">
        <v>157.62760091699599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9">
        <v>157.61835562498899</v>
      </c>
      <c r="AC53" s="9">
        <v>157.62760091699599</v>
      </c>
      <c r="AD53" s="9">
        <v>158.11037858299099</v>
      </c>
      <c r="AE53" s="9">
        <v>158.11037858299099</v>
      </c>
      <c r="AF53" s="9">
        <v>158.11037858299099</v>
      </c>
      <c r="AG53" s="9">
        <v>158.75129433299301</v>
      </c>
      <c r="AH53" s="10" t="s">
        <v>63</v>
      </c>
      <c r="AI53" s="9">
        <v>1</v>
      </c>
      <c r="AJ53" s="9">
        <v>0.63657416700152702</v>
      </c>
      <c r="AK53" s="10" t="s">
        <v>51</v>
      </c>
      <c r="AL53" s="8"/>
      <c r="AM53" s="8"/>
      <c r="AN53" s="8"/>
      <c r="AO53" s="8"/>
      <c r="AP53" s="9">
        <v>4</v>
      </c>
      <c r="AQ53" s="9">
        <v>1</v>
      </c>
      <c r="AR53" s="10" t="s">
        <v>98</v>
      </c>
      <c r="AS53" s="10" t="s">
        <v>53</v>
      </c>
      <c r="AT53" s="8"/>
      <c r="AU53" s="10" t="s">
        <v>54</v>
      </c>
      <c r="AV53" s="10" t="s">
        <v>51</v>
      </c>
      <c r="AW53" s="10" t="s">
        <v>99</v>
      </c>
      <c r="AX53" s="8"/>
    </row>
    <row r="54" spans="1:50" x14ac:dyDescent="0.15">
      <c r="A54" s="11" t="s">
        <v>74</v>
      </c>
      <c r="B54" s="12" t="s">
        <v>61</v>
      </c>
      <c r="C54" s="10" t="s">
        <v>62</v>
      </c>
      <c r="D54" s="10" t="s">
        <v>63</v>
      </c>
      <c r="E54" s="9">
        <v>159</v>
      </c>
      <c r="F54" s="9">
        <v>159</v>
      </c>
      <c r="G54" s="9">
        <v>3</v>
      </c>
      <c r="H54" s="10" t="s">
        <v>63</v>
      </c>
      <c r="I54" s="9">
        <v>1</v>
      </c>
      <c r="J54" s="9">
        <v>0.60560933299711905</v>
      </c>
      <c r="K54" s="10" t="s">
        <v>51</v>
      </c>
      <c r="L54" s="9">
        <v>3</v>
      </c>
      <c r="M54" s="9">
        <v>159</v>
      </c>
      <c r="N54" s="9">
        <v>159</v>
      </c>
      <c r="O54" s="9">
        <v>1</v>
      </c>
      <c r="P54" s="9">
        <v>161.13216099998701</v>
      </c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9">
        <v>161.12235691699601</v>
      </c>
      <c r="AC54" s="9">
        <v>161.13216099998701</v>
      </c>
      <c r="AD54" s="9">
        <v>161.619622499988</v>
      </c>
      <c r="AE54" s="9">
        <v>161.619622499988</v>
      </c>
      <c r="AF54" s="9">
        <v>161.619622499988</v>
      </c>
      <c r="AG54" s="9">
        <v>162.22856062499301</v>
      </c>
      <c r="AH54" s="10" t="s">
        <v>63</v>
      </c>
      <c r="AI54" s="9">
        <v>1</v>
      </c>
      <c r="AJ54" s="9">
        <v>0.60560933299711905</v>
      </c>
      <c r="AK54" s="10" t="s">
        <v>51</v>
      </c>
      <c r="AL54" s="8"/>
      <c r="AM54" s="8"/>
      <c r="AN54" s="8"/>
      <c r="AO54" s="8"/>
      <c r="AP54" s="9">
        <v>4</v>
      </c>
      <c r="AQ54" s="9">
        <v>1</v>
      </c>
      <c r="AR54" s="10" t="s">
        <v>98</v>
      </c>
      <c r="AS54" s="10" t="s">
        <v>53</v>
      </c>
      <c r="AT54" s="8"/>
      <c r="AU54" s="10" t="s">
        <v>54</v>
      </c>
      <c r="AV54" s="10" t="s">
        <v>51</v>
      </c>
      <c r="AW54" s="10" t="s">
        <v>99</v>
      </c>
      <c r="AX54" s="8"/>
    </row>
    <row r="55" spans="1:50" x14ac:dyDescent="0.15">
      <c r="A55" s="11" t="s">
        <v>70</v>
      </c>
      <c r="B55" s="12" t="s">
        <v>61</v>
      </c>
      <c r="C55" s="10" t="s">
        <v>58</v>
      </c>
      <c r="D55" s="10" t="s">
        <v>59</v>
      </c>
      <c r="E55" s="9">
        <v>163</v>
      </c>
      <c r="F55" s="9">
        <v>163</v>
      </c>
      <c r="G55" s="9">
        <v>3</v>
      </c>
      <c r="H55" s="10" t="s">
        <v>59</v>
      </c>
      <c r="I55" s="9">
        <v>1</v>
      </c>
      <c r="J55" s="9">
        <v>0.31990591599606</v>
      </c>
      <c r="K55" s="10" t="s">
        <v>51</v>
      </c>
      <c r="L55" s="9">
        <v>3</v>
      </c>
      <c r="M55" s="9">
        <v>163</v>
      </c>
      <c r="N55" s="9">
        <v>163</v>
      </c>
      <c r="O55" s="9">
        <v>12</v>
      </c>
      <c r="P55" s="9">
        <v>164.809657207996</v>
      </c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9">
        <v>164.80061445799899</v>
      </c>
      <c r="AC55" s="9">
        <v>164.809657207996</v>
      </c>
      <c r="AD55" s="9">
        <v>165.29423454198701</v>
      </c>
      <c r="AE55" s="9">
        <v>165.29423454198701</v>
      </c>
      <c r="AF55" s="9">
        <v>165.29423454198701</v>
      </c>
      <c r="AG55" s="9">
        <v>165.61844074999701</v>
      </c>
      <c r="AH55" s="10" t="s">
        <v>59</v>
      </c>
      <c r="AI55" s="9">
        <v>1</v>
      </c>
      <c r="AJ55" s="9">
        <v>0.31990591599606</v>
      </c>
      <c r="AK55" s="10" t="s">
        <v>51</v>
      </c>
      <c r="AL55" s="8"/>
      <c r="AM55" s="8"/>
      <c r="AN55" s="8"/>
      <c r="AO55" s="8"/>
      <c r="AP55" s="9">
        <v>4</v>
      </c>
      <c r="AQ55" s="9">
        <v>1</v>
      </c>
      <c r="AR55" s="10" t="s">
        <v>98</v>
      </c>
      <c r="AS55" s="10" t="s">
        <v>53</v>
      </c>
      <c r="AT55" s="8"/>
      <c r="AU55" s="10" t="s">
        <v>54</v>
      </c>
      <c r="AV55" s="10" t="s">
        <v>51</v>
      </c>
      <c r="AW55" s="10" t="s">
        <v>99</v>
      </c>
      <c r="AX55" s="8"/>
    </row>
    <row r="56" spans="1:50" x14ac:dyDescent="0.15">
      <c r="A56" s="11" t="s">
        <v>64</v>
      </c>
      <c r="B56" s="12" t="s">
        <v>61</v>
      </c>
      <c r="C56" s="10" t="s">
        <v>62</v>
      </c>
      <c r="D56" s="10" t="s">
        <v>63</v>
      </c>
      <c r="E56" s="9">
        <v>169</v>
      </c>
      <c r="F56" s="9">
        <v>169</v>
      </c>
      <c r="G56" s="9">
        <v>2</v>
      </c>
      <c r="H56" s="10" t="s">
        <v>63</v>
      </c>
      <c r="I56" s="9">
        <v>1</v>
      </c>
      <c r="J56" s="9">
        <v>0.33428779100359002</v>
      </c>
      <c r="K56" s="10" t="s">
        <v>51</v>
      </c>
      <c r="L56" s="9">
        <v>2</v>
      </c>
      <c r="M56" s="9">
        <v>169</v>
      </c>
      <c r="N56" s="9">
        <v>169</v>
      </c>
      <c r="O56" s="9">
        <v>5</v>
      </c>
      <c r="P56" s="9">
        <v>170.61043449999099</v>
      </c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9">
        <v>170.601517374991</v>
      </c>
      <c r="AC56" s="9">
        <v>170.61043449999099</v>
      </c>
      <c r="AD56" s="9">
        <v>171.09398387499101</v>
      </c>
      <c r="AE56" s="9">
        <v>171.09398387499101</v>
      </c>
      <c r="AF56" s="9">
        <v>171.09398387499101</v>
      </c>
      <c r="AG56" s="9">
        <v>171.43548124999501</v>
      </c>
      <c r="AH56" s="10" t="s">
        <v>63</v>
      </c>
      <c r="AI56" s="9">
        <v>1</v>
      </c>
      <c r="AJ56" s="9">
        <v>0.33428779100359002</v>
      </c>
      <c r="AK56" s="10" t="s">
        <v>51</v>
      </c>
      <c r="AL56" s="8"/>
      <c r="AM56" s="8"/>
      <c r="AN56" s="8"/>
      <c r="AO56" s="8"/>
      <c r="AP56" s="9">
        <v>4</v>
      </c>
      <c r="AQ56" s="9">
        <v>1</v>
      </c>
      <c r="AR56" s="10" t="s">
        <v>98</v>
      </c>
      <c r="AS56" s="10" t="s">
        <v>53</v>
      </c>
      <c r="AT56" s="8"/>
      <c r="AU56" s="10" t="s">
        <v>54</v>
      </c>
      <c r="AV56" s="10" t="s">
        <v>51</v>
      </c>
      <c r="AW56" s="10" t="s">
        <v>99</v>
      </c>
      <c r="AX56" s="8"/>
    </row>
    <row r="57" spans="1:50" x14ac:dyDescent="0.15">
      <c r="A57" s="11" t="s">
        <v>73</v>
      </c>
      <c r="B57" s="12" t="s">
        <v>61</v>
      </c>
      <c r="C57" s="10" t="s">
        <v>58</v>
      </c>
      <c r="D57" s="10" t="s">
        <v>59</v>
      </c>
      <c r="E57" s="9">
        <v>179</v>
      </c>
      <c r="F57" s="9">
        <v>179</v>
      </c>
      <c r="G57" s="9">
        <v>2</v>
      </c>
      <c r="H57" s="10" t="s">
        <v>59</v>
      </c>
      <c r="I57" s="9">
        <v>1</v>
      </c>
      <c r="J57" s="9">
        <v>0.37591633301053701</v>
      </c>
      <c r="K57" s="10" t="s">
        <v>51</v>
      </c>
      <c r="L57" s="9">
        <v>2</v>
      </c>
      <c r="M57" s="9">
        <v>179</v>
      </c>
      <c r="N57" s="9">
        <v>179</v>
      </c>
      <c r="O57" s="9">
        <v>14</v>
      </c>
      <c r="P57" s="9">
        <v>179.66053570799701</v>
      </c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9">
        <v>179.65146283299001</v>
      </c>
      <c r="AC57" s="9">
        <v>179.66053570799701</v>
      </c>
      <c r="AD57" s="9">
        <v>180.144402749997</v>
      </c>
      <c r="AE57" s="9">
        <v>180.144402749997</v>
      </c>
      <c r="AF57" s="9">
        <v>180.144402749997</v>
      </c>
      <c r="AG57" s="9">
        <v>180.53021208298699</v>
      </c>
      <c r="AH57" s="10" t="s">
        <v>59</v>
      </c>
      <c r="AI57" s="9">
        <v>1</v>
      </c>
      <c r="AJ57" s="9">
        <v>0.37591633301053701</v>
      </c>
      <c r="AK57" s="10" t="s">
        <v>51</v>
      </c>
      <c r="AL57" s="8"/>
      <c r="AM57" s="8"/>
      <c r="AN57" s="8"/>
      <c r="AO57" s="8"/>
      <c r="AP57" s="9">
        <v>4</v>
      </c>
      <c r="AQ57" s="9">
        <v>1</v>
      </c>
      <c r="AR57" s="10" t="s">
        <v>98</v>
      </c>
      <c r="AS57" s="10" t="s">
        <v>53</v>
      </c>
      <c r="AT57" s="8"/>
      <c r="AU57" s="10" t="s">
        <v>54</v>
      </c>
      <c r="AV57" s="10" t="s">
        <v>51</v>
      </c>
      <c r="AW57" s="10" t="s">
        <v>99</v>
      </c>
      <c r="AX57" s="8"/>
    </row>
    <row r="58" spans="1:50" x14ac:dyDescent="0.15">
      <c r="A58" s="11" t="s">
        <v>64</v>
      </c>
      <c r="B58" s="12" t="s">
        <v>61</v>
      </c>
      <c r="C58" s="10" t="s">
        <v>62</v>
      </c>
      <c r="D58" s="10" t="s">
        <v>63</v>
      </c>
      <c r="E58" s="9">
        <v>181</v>
      </c>
      <c r="F58" s="9">
        <v>181</v>
      </c>
      <c r="G58" s="9">
        <v>3</v>
      </c>
      <c r="H58" s="10" t="s">
        <v>63</v>
      </c>
      <c r="I58" s="9">
        <v>1</v>
      </c>
      <c r="J58" s="9">
        <v>0.333439750000252</v>
      </c>
      <c r="K58" s="10" t="s">
        <v>51</v>
      </c>
      <c r="L58" s="9">
        <v>3</v>
      </c>
      <c r="M58" s="9">
        <v>181</v>
      </c>
      <c r="N58" s="9">
        <v>181</v>
      </c>
      <c r="O58" s="9">
        <v>5</v>
      </c>
      <c r="P58" s="9">
        <v>181.42690612499399</v>
      </c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9">
        <v>181.418143124989</v>
      </c>
      <c r="AC58" s="9">
        <v>181.42690612499399</v>
      </c>
      <c r="AD58" s="9">
        <v>181.91099570799301</v>
      </c>
      <c r="AE58" s="9">
        <v>181.91099570799301</v>
      </c>
      <c r="AF58" s="9">
        <v>181.91099570799301</v>
      </c>
      <c r="AG58" s="9">
        <v>182.24659620798801</v>
      </c>
      <c r="AH58" s="10" t="s">
        <v>63</v>
      </c>
      <c r="AI58" s="9">
        <v>1</v>
      </c>
      <c r="AJ58" s="9">
        <v>0.333439750000252</v>
      </c>
      <c r="AK58" s="10" t="s">
        <v>51</v>
      </c>
      <c r="AL58" s="8"/>
      <c r="AM58" s="8"/>
      <c r="AN58" s="8"/>
      <c r="AO58" s="8"/>
      <c r="AP58" s="9">
        <v>4</v>
      </c>
      <c r="AQ58" s="9">
        <v>1</v>
      </c>
      <c r="AR58" s="10" t="s">
        <v>98</v>
      </c>
      <c r="AS58" s="10" t="s">
        <v>53</v>
      </c>
      <c r="AT58" s="8"/>
      <c r="AU58" s="10" t="s">
        <v>54</v>
      </c>
      <c r="AV58" s="10" t="s">
        <v>51</v>
      </c>
      <c r="AW58" s="10" t="s">
        <v>99</v>
      </c>
      <c r="AX58" s="8"/>
    </row>
    <row r="59" spans="1:50" x14ac:dyDescent="0.15">
      <c r="A59" s="11" t="s">
        <v>79</v>
      </c>
      <c r="B59" s="12" t="s">
        <v>61</v>
      </c>
      <c r="C59" s="10" t="s">
        <v>58</v>
      </c>
      <c r="D59" s="10" t="s">
        <v>59</v>
      </c>
      <c r="E59" s="9">
        <v>187</v>
      </c>
      <c r="F59" s="9">
        <v>187</v>
      </c>
      <c r="G59" s="9">
        <v>2</v>
      </c>
      <c r="H59" s="10" t="s">
        <v>59</v>
      </c>
      <c r="I59" s="9">
        <v>1</v>
      </c>
      <c r="J59" s="9">
        <v>0.31324504200893</v>
      </c>
      <c r="K59" s="10" t="s">
        <v>51</v>
      </c>
      <c r="L59" s="9">
        <v>2</v>
      </c>
      <c r="M59" s="9">
        <v>187</v>
      </c>
      <c r="N59" s="9">
        <v>187</v>
      </c>
      <c r="O59" s="9">
        <v>6</v>
      </c>
      <c r="P59" s="9">
        <v>186.63282504199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9">
        <v>186.62259908299899</v>
      </c>
      <c r="AC59" s="9">
        <v>186.63282504199</v>
      </c>
      <c r="AD59" s="9">
        <v>187.111431166995</v>
      </c>
      <c r="AE59" s="9">
        <v>187.111431166995</v>
      </c>
      <c r="AF59" s="9">
        <v>187.111431166995</v>
      </c>
      <c r="AG59" s="9">
        <v>187.42981162499899</v>
      </c>
      <c r="AH59" s="10" t="s">
        <v>59</v>
      </c>
      <c r="AI59" s="9">
        <v>1</v>
      </c>
      <c r="AJ59" s="9">
        <v>0.31324504200893</v>
      </c>
      <c r="AK59" s="10" t="s">
        <v>51</v>
      </c>
      <c r="AL59" s="8"/>
      <c r="AM59" s="8"/>
      <c r="AN59" s="8"/>
      <c r="AO59" s="8"/>
      <c r="AP59" s="9">
        <v>4</v>
      </c>
      <c r="AQ59" s="9">
        <v>1</v>
      </c>
      <c r="AR59" s="10" t="s">
        <v>98</v>
      </c>
      <c r="AS59" s="10" t="s">
        <v>53</v>
      </c>
      <c r="AT59" s="8"/>
      <c r="AU59" s="10" t="s">
        <v>54</v>
      </c>
      <c r="AV59" s="10" t="s">
        <v>51</v>
      </c>
      <c r="AW59" s="10" t="s">
        <v>99</v>
      </c>
      <c r="AX59" s="8"/>
    </row>
    <row r="60" spans="1:50" x14ac:dyDescent="0.15">
      <c r="A60" s="11" t="s">
        <v>79</v>
      </c>
      <c r="B60" s="12" t="s">
        <v>61</v>
      </c>
      <c r="C60" s="10" t="s">
        <v>58</v>
      </c>
      <c r="D60" s="10" t="s">
        <v>59</v>
      </c>
      <c r="E60" s="9">
        <v>193</v>
      </c>
      <c r="F60" s="9">
        <v>193</v>
      </c>
      <c r="G60" s="9">
        <v>3</v>
      </c>
      <c r="H60" s="10" t="s">
        <v>59</v>
      </c>
      <c r="I60" s="9">
        <v>1</v>
      </c>
      <c r="J60" s="9">
        <v>0.48933625000063302</v>
      </c>
      <c r="K60" s="10" t="s">
        <v>51</v>
      </c>
      <c r="L60" s="9">
        <v>3</v>
      </c>
      <c r="M60" s="9">
        <v>193</v>
      </c>
      <c r="N60" s="9">
        <v>193</v>
      </c>
      <c r="O60" s="9">
        <v>6</v>
      </c>
      <c r="P60" s="9">
        <v>191.64351216699299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9">
        <v>191.634566666995</v>
      </c>
      <c r="AC60" s="9">
        <v>191.64351216699299</v>
      </c>
      <c r="AD60" s="9">
        <v>192.12829608299899</v>
      </c>
      <c r="AE60" s="9">
        <v>192.12829608299899</v>
      </c>
      <c r="AF60" s="9">
        <v>192.12829608299899</v>
      </c>
      <c r="AG60" s="9">
        <v>192.61895762498901</v>
      </c>
      <c r="AH60" s="10" t="s">
        <v>59</v>
      </c>
      <c r="AI60" s="9">
        <v>1</v>
      </c>
      <c r="AJ60" s="9">
        <v>0.48933625000063302</v>
      </c>
      <c r="AK60" s="10" t="s">
        <v>51</v>
      </c>
      <c r="AL60" s="8"/>
      <c r="AM60" s="8"/>
      <c r="AN60" s="8"/>
      <c r="AO60" s="8"/>
      <c r="AP60" s="9">
        <v>4</v>
      </c>
      <c r="AQ60" s="9">
        <v>1</v>
      </c>
      <c r="AR60" s="10" t="s">
        <v>98</v>
      </c>
      <c r="AS60" s="10" t="s">
        <v>53</v>
      </c>
      <c r="AT60" s="8"/>
      <c r="AU60" s="10" t="s">
        <v>54</v>
      </c>
      <c r="AV60" s="10" t="s">
        <v>51</v>
      </c>
      <c r="AW60" s="10" t="s">
        <v>99</v>
      </c>
      <c r="AX60" s="8"/>
    </row>
    <row r="61" spans="1:50" x14ac:dyDescent="0.15">
      <c r="A61" s="11" t="s">
        <v>79</v>
      </c>
      <c r="B61" s="12" t="s">
        <v>61</v>
      </c>
      <c r="C61" s="10" t="s">
        <v>58</v>
      </c>
      <c r="D61" s="10" t="s">
        <v>59</v>
      </c>
      <c r="E61" s="9">
        <v>196</v>
      </c>
      <c r="F61" s="9">
        <v>196</v>
      </c>
      <c r="G61" s="9">
        <v>4</v>
      </c>
      <c r="H61" s="10" t="s">
        <v>59</v>
      </c>
      <c r="I61" s="9">
        <v>1</v>
      </c>
      <c r="J61" s="9">
        <v>0.32392458300455501</v>
      </c>
      <c r="K61" s="10" t="s">
        <v>51</v>
      </c>
      <c r="L61" s="9">
        <v>4</v>
      </c>
      <c r="M61" s="9">
        <v>196</v>
      </c>
      <c r="N61" s="9">
        <v>196</v>
      </c>
      <c r="O61" s="9">
        <v>6</v>
      </c>
      <c r="P61" s="9">
        <v>194.416449624987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9">
        <v>194.40722912499001</v>
      </c>
      <c r="AC61" s="9">
        <v>194.416449624987</v>
      </c>
      <c r="AD61" s="9">
        <v>194.90469083299101</v>
      </c>
      <c r="AE61" s="9">
        <v>194.90469083299101</v>
      </c>
      <c r="AF61" s="9">
        <v>194.90469083299101</v>
      </c>
      <c r="AG61" s="9">
        <v>195.23899762499801</v>
      </c>
      <c r="AH61" s="10" t="s">
        <v>59</v>
      </c>
      <c r="AI61" s="9">
        <v>1</v>
      </c>
      <c r="AJ61" s="9">
        <v>0.32392458300455501</v>
      </c>
      <c r="AK61" s="10" t="s">
        <v>51</v>
      </c>
      <c r="AL61" s="8"/>
      <c r="AM61" s="8"/>
      <c r="AN61" s="8"/>
      <c r="AO61" s="8"/>
      <c r="AP61" s="9">
        <v>4</v>
      </c>
      <c r="AQ61" s="9">
        <v>1</v>
      </c>
      <c r="AR61" s="10" t="s">
        <v>98</v>
      </c>
      <c r="AS61" s="10" t="s">
        <v>53</v>
      </c>
      <c r="AT61" s="8"/>
      <c r="AU61" s="10" t="s">
        <v>54</v>
      </c>
      <c r="AV61" s="10" t="s">
        <v>51</v>
      </c>
      <c r="AW61" s="10" t="s">
        <v>99</v>
      </c>
      <c r="AX61" s="8"/>
    </row>
    <row r="62" spans="1:50" x14ac:dyDescent="0.15">
      <c r="A62" s="11" t="s">
        <v>73</v>
      </c>
      <c r="B62" s="12" t="s">
        <v>61</v>
      </c>
      <c r="C62" s="10" t="s">
        <v>58</v>
      </c>
      <c r="D62" s="10" t="s">
        <v>59</v>
      </c>
      <c r="E62" s="9">
        <v>197</v>
      </c>
      <c r="F62" s="9">
        <v>197</v>
      </c>
      <c r="G62" s="9">
        <v>3</v>
      </c>
      <c r="H62" s="10" t="s">
        <v>59</v>
      </c>
      <c r="I62" s="9">
        <v>1</v>
      </c>
      <c r="J62" s="9">
        <v>0.48311304100207098</v>
      </c>
      <c r="K62" s="10" t="s">
        <v>51</v>
      </c>
      <c r="L62" s="9">
        <v>3</v>
      </c>
      <c r="M62" s="9">
        <v>197</v>
      </c>
      <c r="N62" s="9">
        <v>197</v>
      </c>
      <c r="O62" s="9">
        <v>14</v>
      </c>
      <c r="P62" s="9">
        <v>195.25011895799301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9">
        <v>195.24265924999801</v>
      </c>
      <c r="AC62" s="9">
        <v>195.25011895799301</v>
      </c>
      <c r="AD62" s="9">
        <v>195.73759949998899</v>
      </c>
      <c r="AE62" s="9">
        <v>195.73759949998899</v>
      </c>
      <c r="AF62" s="9">
        <v>195.73759949998899</v>
      </c>
      <c r="AG62" s="9">
        <v>196.23040704199201</v>
      </c>
      <c r="AH62" s="10" t="s">
        <v>59</v>
      </c>
      <c r="AI62" s="9">
        <v>1</v>
      </c>
      <c r="AJ62" s="9">
        <v>0.48311304100207098</v>
      </c>
      <c r="AK62" s="10" t="s">
        <v>51</v>
      </c>
      <c r="AL62" s="8"/>
      <c r="AM62" s="8"/>
      <c r="AN62" s="8"/>
      <c r="AO62" s="8"/>
      <c r="AP62" s="9">
        <v>4</v>
      </c>
      <c r="AQ62" s="9">
        <v>1</v>
      </c>
      <c r="AR62" s="10" t="s">
        <v>98</v>
      </c>
      <c r="AS62" s="10" t="s">
        <v>53</v>
      </c>
      <c r="AT62" s="8"/>
      <c r="AU62" s="10" t="s">
        <v>54</v>
      </c>
      <c r="AV62" s="10" t="s">
        <v>51</v>
      </c>
      <c r="AW62" s="10" t="s">
        <v>99</v>
      </c>
      <c r="AX62" s="8"/>
    </row>
    <row r="63" spans="1:50" x14ac:dyDescent="0.15">
      <c r="A63" s="11" t="s">
        <v>60</v>
      </c>
      <c r="B63" s="12" t="s">
        <v>61</v>
      </c>
      <c r="C63" s="10" t="s">
        <v>62</v>
      </c>
      <c r="D63" s="10" t="s">
        <v>63</v>
      </c>
      <c r="E63" s="9">
        <v>202</v>
      </c>
      <c r="F63" s="9">
        <v>202</v>
      </c>
      <c r="G63" s="9">
        <v>3</v>
      </c>
      <c r="H63" s="10" t="s">
        <v>59</v>
      </c>
      <c r="I63" s="9">
        <v>0</v>
      </c>
      <c r="J63" s="9">
        <v>0.86590441600128498</v>
      </c>
      <c r="K63" s="10" t="s">
        <v>51</v>
      </c>
      <c r="L63" s="9">
        <v>3</v>
      </c>
      <c r="M63" s="9">
        <v>202</v>
      </c>
      <c r="N63" s="9">
        <v>202</v>
      </c>
      <c r="O63" s="9">
        <v>9</v>
      </c>
      <c r="P63" s="9">
        <v>200.310346582992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9">
        <v>200.301286957998</v>
      </c>
      <c r="AC63" s="9">
        <v>200.310346582992</v>
      </c>
      <c r="AD63" s="9">
        <v>200.79496699999399</v>
      </c>
      <c r="AE63" s="9">
        <v>200.79496699999399</v>
      </c>
      <c r="AF63" s="9">
        <v>200.79496699999399</v>
      </c>
      <c r="AG63" s="9">
        <v>201.66361395799299</v>
      </c>
      <c r="AH63" s="10" t="s">
        <v>59</v>
      </c>
      <c r="AI63" s="9">
        <v>0</v>
      </c>
      <c r="AJ63" s="9">
        <v>0.86590441600128498</v>
      </c>
      <c r="AK63" s="10" t="s">
        <v>51</v>
      </c>
      <c r="AL63" s="8"/>
      <c r="AM63" s="8"/>
      <c r="AN63" s="8"/>
      <c r="AO63" s="8"/>
      <c r="AP63" s="9">
        <v>4</v>
      </c>
      <c r="AQ63" s="9">
        <v>1</v>
      </c>
      <c r="AR63" s="10" t="s">
        <v>98</v>
      </c>
      <c r="AS63" s="10" t="s">
        <v>53</v>
      </c>
      <c r="AT63" s="8"/>
      <c r="AU63" s="10" t="s">
        <v>54</v>
      </c>
      <c r="AV63" s="10" t="s">
        <v>51</v>
      </c>
      <c r="AW63" s="10" t="s">
        <v>99</v>
      </c>
      <c r="AX63" s="8"/>
    </row>
    <row r="64" spans="1:50" x14ac:dyDescent="0.15">
      <c r="A64" s="11" t="s">
        <v>64</v>
      </c>
      <c r="B64" s="12" t="s">
        <v>61</v>
      </c>
      <c r="C64" s="10" t="s">
        <v>58</v>
      </c>
      <c r="D64" s="10" t="s">
        <v>59</v>
      </c>
      <c r="E64" s="9">
        <v>205</v>
      </c>
      <c r="F64" s="9">
        <v>205</v>
      </c>
      <c r="G64" s="9">
        <v>2</v>
      </c>
      <c r="H64" s="10" t="s">
        <v>59</v>
      </c>
      <c r="I64" s="9">
        <v>1</v>
      </c>
      <c r="J64" s="9">
        <v>0.48902558301051602</v>
      </c>
      <c r="K64" s="10" t="s">
        <v>51</v>
      </c>
      <c r="L64" s="9">
        <v>2</v>
      </c>
      <c r="M64" s="9">
        <v>205</v>
      </c>
      <c r="N64" s="9">
        <v>205</v>
      </c>
      <c r="O64" s="9">
        <v>4</v>
      </c>
      <c r="P64" s="9">
        <v>204.59637733299999</v>
      </c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9">
        <v>204.589324000001</v>
      </c>
      <c r="AC64" s="9">
        <v>204.59637733299999</v>
      </c>
      <c r="AD64" s="9">
        <v>204.97102749999601</v>
      </c>
      <c r="AE64" s="9">
        <v>204.97102749999601</v>
      </c>
      <c r="AF64" s="9">
        <v>204.97102749999601</v>
      </c>
      <c r="AG64" s="9">
        <v>205.46404029198999</v>
      </c>
      <c r="AH64" s="10" t="s">
        <v>59</v>
      </c>
      <c r="AI64" s="9">
        <v>1</v>
      </c>
      <c r="AJ64" s="9">
        <v>0.48902558301051602</v>
      </c>
      <c r="AK64" s="10" t="s">
        <v>51</v>
      </c>
      <c r="AL64" s="8"/>
      <c r="AM64" s="8"/>
      <c r="AN64" s="8"/>
      <c r="AO64" s="8"/>
      <c r="AP64" s="9">
        <v>4</v>
      </c>
      <c r="AQ64" s="9">
        <v>1</v>
      </c>
      <c r="AR64" s="10" t="s">
        <v>98</v>
      </c>
      <c r="AS64" s="10" t="s">
        <v>53</v>
      </c>
      <c r="AT64" s="8"/>
      <c r="AU64" s="10" t="s">
        <v>54</v>
      </c>
      <c r="AV64" s="10" t="s">
        <v>51</v>
      </c>
      <c r="AW64" s="10" t="s">
        <v>99</v>
      </c>
      <c r="AX64" s="8"/>
    </row>
    <row r="65" spans="1:50" x14ac:dyDescent="0.15">
      <c r="A65" s="11" t="s">
        <v>83</v>
      </c>
      <c r="B65" s="12" t="s">
        <v>61</v>
      </c>
      <c r="C65" s="10" t="s">
        <v>62</v>
      </c>
      <c r="D65" s="10" t="s">
        <v>63</v>
      </c>
      <c r="E65" s="9">
        <v>206</v>
      </c>
      <c r="F65" s="9">
        <v>206</v>
      </c>
      <c r="G65" s="9">
        <v>4</v>
      </c>
      <c r="H65" s="10" t="s">
        <v>63</v>
      </c>
      <c r="I65" s="9">
        <v>1</v>
      </c>
      <c r="J65" s="9">
        <v>0.62308333300461505</v>
      </c>
      <c r="K65" s="10" t="s">
        <v>51</v>
      </c>
      <c r="L65" s="9">
        <v>4</v>
      </c>
      <c r="M65" s="9">
        <v>206</v>
      </c>
      <c r="N65" s="9">
        <v>206</v>
      </c>
      <c r="O65" s="9">
        <v>3</v>
      </c>
      <c r="P65" s="9">
        <v>205.47779829199101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9">
        <v>205.46846108300099</v>
      </c>
      <c r="AC65" s="9">
        <v>205.47779829199101</v>
      </c>
      <c r="AD65" s="9">
        <v>205.961821958001</v>
      </c>
      <c r="AE65" s="9">
        <v>205.961821958001</v>
      </c>
      <c r="AF65" s="9">
        <v>205.961821958001</v>
      </c>
      <c r="AG65" s="9">
        <v>206.586379999993</v>
      </c>
      <c r="AH65" s="10" t="s">
        <v>63</v>
      </c>
      <c r="AI65" s="9">
        <v>1</v>
      </c>
      <c r="AJ65" s="9">
        <v>0.62308333300461505</v>
      </c>
      <c r="AK65" s="10" t="s">
        <v>51</v>
      </c>
      <c r="AL65" s="8"/>
      <c r="AM65" s="8"/>
      <c r="AN65" s="8"/>
      <c r="AO65" s="8"/>
      <c r="AP65" s="9">
        <v>4</v>
      </c>
      <c r="AQ65" s="9">
        <v>1</v>
      </c>
      <c r="AR65" s="10" t="s">
        <v>98</v>
      </c>
      <c r="AS65" s="10" t="s">
        <v>53</v>
      </c>
      <c r="AT65" s="8"/>
      <c r="AU65" s="10" t="s">
        <v>54</v>
      </c>
      <c r="AV65" s="10" t="s">
        <v>51</v>
      </c>
      <c r="AW65" s="10" t="s">
        <v>99</v>
      </c>
      <c r="AX65" s="8"/>
    </row>
    <row r="66" spans="1:50" x14ac:dyDescent="0.15">
      <c r="A66" s="11" t="s">
        <v>70</v>
      </c>
      <c r="B66" s="12" t="s">
        <v>61</v>
      </c>
      <c r="C66" s="10" t="s">
        <v>62</v>
      </c>
      <c r="D66" s="10" t="s">
        <v>63</v>
      </c>
      <c r="E66" s="9">
        <v>211</v>
      </c>
      <c r="F66" s="9">
        <v>211</v>
      </c>
      <c r="G66" s="9">
        <v>3</v>
      </c>
      <c r="H66" s="10" t="s">
        <v>63</v>
      </c>
      <c r="I66" s="9">
        <v>1</v>
      </c>
      <c r="J66" s="9">
        <v>0.39294808299746398</v>
      </c>
      <c r="K66" s="10" t="s">
        <v>51</v>
      </c>
      <c r="L66" s="9">
        <v>3</v>
      </c>
      <c r="M66" s="9">
        <v>211</v>
      </c>
      <c r="N66" s="9">
        <v>211</v>
      </c>
      <c r="O66" s="9">
        <v>13</v>
      </c>
      <c r="P66" s="9">
        <v>210.16915724999899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9">
        <v>210.16029316699101</v>
      </c>
      <c r="AC66" s="9">
        <v>210.16915724999899</v>
      </c>
      <c r="AD66" s="9">
        <v>210.654957666993</v>
      </c>
      <c r="AE66" s="9">
        <v>210.654957666993</v>
      </c>
      <c r="AF66" s="9">
        <v>210.654957666993</v>
      </c>
      <c r="AG66" s="9">
        <v>211.05316862498901</v>
      </c>
      <c r="AH66" s="10" t="s">
        <v>63</v>
      </c>
      <c r="AI66" s="9">
        <v>1</v>
      </c>
      <c r="AJ66" s="9">
        <v>0.39294808299746398</v>
      </c>
      <c r="AK66" s="10" t="s">
        <v>51</v>
      </c>
      <c r="AL66" s="8"/>
      <c r="AM66" s="8"/>
      <c r="AN66" s="8"/>
      <c r="AO66" s="8"/>
      <c r="AP66" s="9">
        <v>4</v>
      </c>
      <c r="AQ66" s="9">
        <v>1</v>
      </c>
      <c r="AR66" s="10" t="s">
        <v>98</v>
      </c>
      <c r="AS66" s="10" t="s">
        <v>53</v>
      </c>
      <c r="AT66" s="8"/>
      <c r="AU66" s="10" t="s">
        <v>54</v>
      </c>
      <c r="AV66" s="10" t="s">
        <v>51</v>
      </c>
      <c r="AW66" s="10" t="s">
        <v>99</v>
      </c>
      <c r="AX66" s="8"/>
    </row>
    <row r="67" spans="1:50" x14ac:dyDescent="0.15">
      <c r="A67" s="11" t="s">
        <v>70</v>
      </c>
      <c r="B67" s="12" t="s">
        <v>61</v>
      </c>
      <c r="C67" s="10" t="s">
        <v>62</v>
      </c>
      <c r="D67" s="10" t="s">
        <v>63</v>
      </c>
      <c r="E67" s="9">
        <v>212</v>
      </c>
      <c r="F67" s="9">
        <v>212</v>
      </c>
      <c r="G67" s="9">
        <v>4</v>
      </c>
      <c r="H67" s="10" t="s">
        <v>63</v>
      </c>
      <c r="I67" s="9">
        <v>1</v>
      </c>
      <c r="J67" s="9">
        <v>0.32800712499010798</v>
      </c>
      <c r="K67" s="10" t="s">
        <v>51</v>
      </c>
      <c r="L67" s="9">
        <v>4</v>
      </c>
      <c r="M67" s="9">
        <v>212</v>
      </c>
      <c r="N67" s="9">
        <v>212</v>
      </c>
      <c r="O67" s="9">
        <v>13</v>
      </c>
      <c r="P67" s="9">
        <v>211.06426937499799</v>
      </c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9">
        <v>211.05413387498999</v>
      </c>
      <c r="AC67" s="9">
        <v>211.06426937499799</v>
      </c>
      <c r="AD67" s="9">
        <v>211.553871332988</v>
      </c>
      <c r="AE67" s="9">
        <v>211.553871332988</v>
      </c>
      <c r="AF67" s="9">
        <v>211.553871332988</v>
      </c>
      <c r="AG67" s="9">
        <v>211.88664458299201</v>
      </c>
      <c r="AH67" s="10" t="s">
        <v>63</v>
      </c>
      <c r="AI67" s="9">
        <v>1</v>
      </c>
      <c r="AJ67" s="9">
        <v>0.32800712499010798</v>
      </c>
      <c r="AK67" s="10" t="s">
        <v>51</v>
      </c>
      <c r="AL67" s="8"/>
      <c r="AM67" s="8"/>
      <c r="AN67" s="8"/>
      <c r="AO67" s="8"/>
      <c r="AP67" s="9">
        <v>4</v>
      </c>
      <c r="AQ67" s="9">
        <v>1</v>
      </c>
      <c r="AR67" s="10" t="s">
        <v>98</v>
      </c>
      <c r="AS67" s="10" t="s">
        <v>53</v>
      </c>
      <c r="AT67" s="8"/>
      <c r="AU67" s="10" t="s">
        <v>54</v>
      </c>
      <c r="AV67" s="10" t="s">
        <v>51</v>
      </c>
      <c r="AW67" s="10" t="s">
        <v>99</v>
      </c>
      <c r="AX67" s="8"/>
    </row>
    <row r="68" spans="1:50" x14ac:dyDescent="0.15">
      <c r="A68" s="11" t="s">
        <v>85</v>
      </c>
      <c r="B68" s="12" t="s">
        <v>61</v>
      </c>
      <c r="C68" s="10" t="s">
        <v>58</v>
      </c>
      <c r="D68" s="10" t="s">
        <v>59</v>
      </c>
      <c r="E68" s="9">
        <v>213</v>
      </c>
      <c r="F68" s="9">
        <v>213</v>
      </c>
      <c r="G68" s="9">
        <v>3</v>
      </c>
      <c r="H68" s="10" t="s">
        <v>59</v>
      </c>
      <c r="I68" s="9">
        <v>1</v>
      </c>
      <c r="J68" s="9">
        <v>0.38366249999671698</v>
      </c>
      <c r="K68" s="10" t="s">
        <v>51</v>
      </c>
      <c r="L68" s="9">
        <v>3</v>
      </c>
      <c r="M68" s="9">
        <v>213</v>
      </c>
      <c r="N68" s="9">
        <v>213</v>
      </c>
      <c r="O68" s="9">
        <v>10</v>
      </c>
      <c r="P68" s="9">
        <v>211.90031954199401</v>
      </c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9">
        <v>211.89094816699799</v>
      </c>
      <c r="AC68" s="9">
        <v>211.90031954199401</v>
      </c>
      <c r="AD68" s="9">
        <v>212.38837583298999</v>
      </c>
      <c r="AE68" s="9">
        <v>212.38837583298999</v>
      </c>
      <c r="AF68" s="9">
        <v>212.38837583298999</v>
      </c>
      <c r="AG68" s="9">
        <v>212.78092633299801</v>
      </c>
      <c r="AH68" s="10" t="s">
        <v>59</v>
      </c>
      <c r="AI68" s="9">
        <v>1</v>
      </c>
      <c r="AJ68" s="9">
        <v>0.38366249999671698</v>
      </c>
      <c r="AK68" s="10" t="s">
        <v>51</v>
      </c>
      <c r="AL68" s="8"/>
      <c r="AM68" s="8"/>
      <c r="AN68" s="8"/>
      <c r="AO68" s="8"/>
      <c r="AP68" s="9">
        <v>4</v>
      </c>
      <c r="AQ68" s="9">
        <v>1</v>
      </c>
      <c r="AR68" s="10" t="s">
        <v>98</v>
      </c>
      <c r="AS68" s="10" t="s">
        <v>53</v>
      </c>
      <c r="AT68" s="8"/>
      <c r="AU68" s="10" t="s">
        <v>54</v>
      </c>
      <c r="AV68" s="10" t="s">
        <v>51</v>
      </c>
      <c r="AW68" s="10" t="s">
        <v>99</v>
      </c>
      <c r="AX68" s="8"/>
    </row>
    <row r="69" spans="1:50" x14ac:dyDescent="0.15">
      <c r="A69" s="11" t="s">
        <v>64</v>
      </c>
      <c r="B69" s="12" t="s">
        <v>61</v>
      </c>
      <c r="C69" s="10" t="s">
        <v>58</v>
      </c>
      <c r="D69" s="10" t="s">
        <v>59</v>
      </c>
      <c r="E69" s="9">
        <v>215</v>
      </c>
      <c r="F69" s="9">
        <v>215</v>
      </c>
      <c r="G69" s="9">
        <v>3</v>
      </c>
      <c r="H69" s="10" t="s">
        <v>59</v>
      </c>
      <c r="I69" s="9">
        <v>1</v>
      </c>
      <c r="J69" s="9">
        <v>0.41529866600467402</v>
      </c>
      <c r="K69" s="10" t="s">
        <v>51</v>
      </c>
      <c r="L69" s="9">
        <v>3</v>
      </c>
      <c r="M69" s="9">
        <v>215</v>
      </c>
      <c r="N69" s="9">
        <v>215</v>
      </c>
      <c r="O69" s="9">
        <v>4</v>
      </c>
      <c r="P69" s="9">
        <v>213.695101958001</v>
      </c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9">
        <v>213.68641720799499</v>
      </c>
      <c r="AC69" s="9">
        <v>213.695101958001</v>
      </c>
      <c r="AD69" s="9">
        <v>214.17884766699001</v>
      </c>
      <c r="AE69" s="9">
        <v>214.17884766699001</v>
      </c>
      <c r="AF69" s="9">
        <v>214.17884766699001</v>
      </c>
      <c r="AG69" s="9">
        <v>214.59783383298799</v>
      </c>
      <c r="AH69" s="10" t="s">
        <v>59</v>
      </c>
      <c r="AI69" s="9">
        <v>1</v>
      </c>
      <c r="AJ69" s="9">
        <v>0.41529866600467402</v>
      </c>
      <c r="AK69" s="10" t="s">
        <v>51</v>
      </c>
      <c r="AL69" s="8"/>
      <c r="AM69" s="8"/>
      <c r="AN69" s="8"/>
      <c r="AO69" s="8"/>
      <c r="AP69" s="9">
        <v>4</v>
      </c>
      <c r="AQ69" s="9">
        <v>1</v>
      </c>
      <c r="AR69" s="10" t="s">
        <v>98</v>
      </c>
      <c r="AS69" s="10" t="s">
        <v>53</v>
      </c>
      <c r="AT69" s="8"/>
      <c r="AU69" s="10" t="s">
        <v>54</v>
      </c>
      <c r="AV69" s="10" t="s">
        <v>51</v>
      </c>
      <c r="AW69" s="10" t="s">
        <v>99</v>
      </c>
      <c r="AX69" s="8"/>
    </row>
    <row r="70" spans="1:50" x14ac:dyDescent="0.15">
      <c r="A70" s="11" t="s">
        <v>64</v>
      </c>
      <c r="B70" s="12" t="s">
        <v>61</v>
      </c>
      <c r="C70" s="10" t="s">
        <v>62</v>
      </c>
      <c r="D70" s="10" t="s">
        <v>63</v>
      </c>
      <c r="E70" s="9">
        <v>216</v>
      </c>
      <c r="F70" s="9">
        <v>216</v>
      </c>
      <c r="G70" s="9">
        <v>4</v>
      </c>
      <c r="H70" s="10" t="s">
        <v>59</v>
      </c>
      <c r="I70" s="9">
        <v>0</v>
      </c>
      <c r="J70" s="9">
        <v>0.411441958000069</v>
      </c>
      <c r="K70" s="10" t="s">
        <v>51</v>
      </c>
      <c r="L70" s="9">
        <v>4</v>
      </c>
      <c r="M70" s="9">
        <v>216</v>
      </c>
      <c r="N70" s="9">
        <v>216</v>
      </c>
      <c r="O70" s="9">
        <v>5</v>
      </c>
      <c r="P70" s="9">
        <v>214.60778187499099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9">
        <v>214.59878499999499</v>
      </c>
      <c r="AC70" s="9">
        <v>214.60778187499099</v>
      </c>
      <c r="AD70" s="9">
        <v>215.09562358299399</v>
      </c>
      <c r="AE70" s="9">
        <v>215.09562358299399</v>
      </c>
      <c r="AF70" s="9">
        <v>215.09562358299399</v>
      </c>
      <c r="AG70" s="9">
        <v>215.514178499987</v>
      </c>
      <c r="AH70" s="10" t="s">
        <v>59</v>
      </c>
      <c r="AI70" s="9">
        <v>0</v>
      </c>
      <c r="AJ70" s="9">
        <v>0.411441958000069</v>
      </c>
      <c r="AK70" s="10" t="s">
        <v>51</v>
      </c>
      <c r="AL70" s="8"/>
      <c r="AM70" s="8"/>
      <c r="AN70" s="8"/>
      <c r="AO70" s="8"/>
      <c r="AP70" s="9">
        <v>4</v>
      </c>
      <c r="AQ70" s="9">
        <v>1</v>
      </c>
      <c r="AR70" s="10" t="s">
        <v>98</v>
      </c>
      <c r="AS70" s="10" t="s">
        <v>53</v>
      </c>
      <c r="AT70" s="8"/>
      <c r="AU70" s="10" t="s">
        <v>54</v>
      </c>
      <c r="AV70" s="10" t="s">
        <v>51</v>
      </c>
      <c r="AW70" s="10" t="s">
        <v>99</v>
      </c>
      <c r="AX70" s="8"/>
    </row>
    <row r="71" spans="1:50" x14ac:dyDescent="0.15">
      <c r="A71" s="11" t="s">
        <v>83</v>
      </c>
      <c r="B71" s="12" t="s">
        <v>61</v>
      </c>
      <c r="C71" s="10" t="s">
        <v>58</v>
      </c>
      <c r="D71" s="10" t="s">
        <v>59</v>
      </c>
      <c r="E71" s="9">
        <v>217</v>
      </c>
      <c r="F71" s="9">
        <v>217</v>
      </c>
      <c r="G71" s="9">
        <v>4</v>
      </c>
      <c r="H71" s="10" t="s">
        <v>59</v>
      </c>
      <c r="I71" s="9">
        <v>1</v>
      </c>
      <c r="J71" s="9">
        <v>0.84987991600064605</v>
      </c>
      <c r="K71" s="10" t="s">
        <v>51</v>
      </c>
      <c r="L71" s="9">
        <v>4</v>
      </c>
      <c r="M71" s="9">
        <v>217</v>
      </c>
      <c r="N71" s="9">
        <v>217</v>
      </c>
      <c r="O71" s="9">
        <v>2</v>
      </c>
      <c r="P71" s="9">
        <v>215.52739579199999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9">
        <v>215.51875266699099</v>
      </c>
      <c r="AC71" s="9">
        <v>215.52739579199999</v>
      </c>
      <c r="AD71" s="9">
        <v>216.01216583298799</v>
      </c>
      <c r="AE71" s="9">
        <v>216.01216583298799</v>
      </c>
      <c r="AF71" s="9">
        <v>216.01216583298799</v>
      </c>
      <c r="AG71" s="9">
        <v>216.86438449999</v>
      </c>
      <c r="AH71" s="10" t="s">
        <v>59</v>
      </c>
      <c r="AI71" s="9">
        <v>1</v>
      </c>
      <c r="AJ71" s="9">
        <v>0.84987991600064605</v>
      </c>
      <c r="AK71" s="10" t="s">
        <v>51</v>
      </c>
      <c r="AL71" s="8"/>
      <c r="AM71" s="8"/>
      <c r="AN71" s="8"/>
      <c r="AO71" s="8"/>
      <c r="AP71" s="9">
        <v>4</v>
      </c>
      <c r="AQ71" s="9">
        <v>1</v>
      </c>
      <c r="AR71" s="10" t="s">
        <v>98</v>
      </c>
      <c r="AS71" s="10" t="s">
        <v>53</v>
      </c>
      <c r="AT71" s="8"/>
      <c r="AU71" s="10" t="s">
        <v>54</v>
      </c>
      <c r="AV71" s="10" t="s">
        <v>51</v>
      </c>
      <c r="AW71" s="10" t="s">
        <v>99</v>
      </c>
      <c r="AX71" s="8"/>
    </row>
    <row r="72" spans="1:50" x14ac:dyDescent="0.15">
      <c r="A72" s="11" t="s">
        <v>74</v>
      </c>
      <c r="B72" s="12" t="s">
        <v>61</v>
      </c>
      <c r="C72" s="10" t="s">
        <v>58</v>
      </c>
      <c r="D72" s="10" t="s">
        <v>59</v>
      </c>
      <c r="E72" s="9">
        <v>222</v>
      </c>
      <c r="F72" s="9">
        <v>222</v>
      </c>
      <c r="G72" s="9">
        <v>3</v>
      </c>
      <c r="H72" s="10" t="s">
        <v>59</v>
      </c>
      <c r="I72" s="9">
        <v>1</v>
      </c>
      <c r="J72" s="9">
        <v>0.51838570801191997</v>
      </c>
      <c r="K72" s="10" t="s">
        <v>51</v>
      </c>
      <c r="L72" s="9">
        <v>3</v>
      </c>
      <c r="M72" s="9">
        <v>222</v>
      </c>
      <c r="N72" s="9">
        <v>222</v>
      </c>
      <c r="O72" s="9">
        <v>0</v>
      </c>
      <c r="P72" s="9">
        <v>220.43477612499601</v>
      </c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9">
        <v>220.42549754199001</v>
      </c>
      <c r="AC72" s="9">
        <v>220.43477612499601</v>
      </c>
      <c r="AD72" s="9">
        <v>220.92180737499399</v>
      </c>
      <c r="AE72" s="9">
        <v>220.92180737499399</v>
      </c>
      <c r="AF72" s="9">
        <v>220.92180737499399</v>
      </c>
      <c r="AG72" s="9">
        <v>221.44784812499699</v>
      </c>
      <c r="AH72" s="10" t="s">
        <v>59</v>
      </c>
      <c r="AI72" s="9">
        <v>1</v>
      </c>
      <c r="AJ72" s="9">
        <v>0.51838570801191997</v>
      </c>
      <c r="AK72" s="10" t="s">
        <v>51</v>
      </c>
      <c r="AL72" s="8"/>
      <c r="AM72" s="8"/>
      <c r="AN72" s="8"/>
      <c r="AO72" s="8"/>
      <c r="AP72" s="9">
        <v>4</v>
      </c>
      <c r="AQ72" s="9">
        <v>1</v>
      </c>
      <c r="AR72" s="10" t="s">
        <v>98</v>
      </c>
      <c r="AS72" s="10" t="s">
        <v>53</v>
      </c>
      <c r="AT72" s="8"/>
      <c r="AU72" s="10" t="s">
        <v>54</v>
      </c>
      <c r="AV72" s="10" t="s">
        <v>51</v>
      </c>
      <c r="AW72" s="10" t="s">
        <v>99</v>
      </c>
      <c r="AX72" s="8"/>
    </row>
    <row r="73" spans="1:50" x14ac:dyDescent="0.15">
      <c r="A73" s="11" t="s">
        <v>74</v>
      </c>
      <c r="B73" s="12" t="s">
        <v>61</v>
      </c>
      <c r="C73" s="10" t="s">
        <v>62</v>
      </c>
      <c r="D73" s="10" t="s">
        <v>63</v>
      </c>
      <c r="E73" s="9">
        <v>223</v>
      </c>
      <c r="F73" s="9">
        <v>223</v>
      </c>
      <c r="G73" s="9">
        <v>4</v>
      </c>
      <c r="H73" s="10" t="s">
        <v>63</v>
      </c>
      <c r="I73" s="9">
        <v>1</v>
      </c>
      <c r="J73" s="9">
        <v>1.0357865409896501</v>
      </c>
      <c r="K73" s="10" t="s">
        <v>51</v>
      </c>
      <c r="L73" s="9">
        <v>4</v>
      </c>
      <c r="M73" s="9">
        <v>223</v>
      </c>
      <c r="N73" s="9">
        <v>223</v>
      </c>
      <c r="O73" s="9">
        <v>1</v>
      </c>
      <c r="P73" s="9">
        <v>221.458007707988</v>
      </c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9">
        <v>221.448939916998</v>
      </c>
      <c r="AC73" s="9">
        <v>221.458007707988</v>
      </c>
      <c r="AD73" s="9">
        <v>221.94624900000099</v>
      </c>
      <c r="AE73" s="9">
        <v>221.94624900000099</v>
      </c>
      <c r="AF73" s="9">
        <v>221.94624900000099</v>
      </c>
      <c r="AG73" s="9">
        <v>222.98700766699</v>
      </c>
      <c r="AH73" s="10" t="s">
        <v>63</v>
      </c>
      <c r="AI73" s="9">
        <v>1</v>
      </c>
      <c r="AJ73" s="9">
        <v>1.0357865409896501</v>
      </c>
      <c r="AK73" s="10" t="s">
        <v>51</v>
      </c>
      <c r="AL73" s="8"/>
      <c r="AM73" s="8"/>
      <c r="AN73" s="8"/>
      <c r="AO73" s="8"/>
      <c r="AP73" s="9">
        <v>4</v>
      </c>
      <c r="AQ73" s="9">
        <v>1</v>
      </c>
      <c r="AR73" s="10" t="s">
        <v>98</v>
      </c>
      <c r="AS73" s="10" t="s">
        <v>53</v>
      </c>
      <c r="AT73" s="8"/>
      <c r="AU73" s="10" t="s">
        <v>54</v>
      </c>
      <c r="AV73" s="10" t="s">
        <v>51</v>
      </c>
      <c r="AW73" s="10" t="s">
        <v>99</v>
      </c>
      <c r="AX73" s="8"/>
    </row>
    <row r="74" spans="1:50" x14ac:dyDescent="0.15">
      <c r="A74" s="11" t="s">
        <v>73</v>
      </c>
      <c r="B74" s="12" t="s">
        <v>61</v>
      </c>
      <c r="C74" s="10" t="s">
        <v>62</v>
      </c>
      <c r="D74" s="10" t="s">
        <v>63</v>
      </c>
      <c r="E74" s="9">
        <v>225</v>
      </c>
      <c r="F74" s="9">
        <v>225</v>
      </c>
      <c r="G74" s="9">
        <v>4</v>
      </c>
      <c r="H74" s="10" t="s">
        <v>63</v>
      </c>
      <c r="I74" s="9">
        <v>1</v>
      </c>
      <c r="J74" s="9">
        <v>0.52833591599482999</v>
      </c>
      <c r="K74" s="10" t="s">
        <v>51</v>
      </c>
      <c r="L74" s="9">
        <v>4</v>
      </c>
      <c r="M74" s="9">
        <v>225</v>
      </c>
      <c r="N74" s="9">
        <v>225</v>
      </c>
      <c r="O74" s="9">
        <v>15</v>
      </c>
      <c r="P74" s="9">
        <v>224.612371582989</v>
      </c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9">
        <v>224.603346042</v>
      </c>
      <c r="AC74" s="9">
        <v>224.612371582989</v>
      </c>
      <c r="AD74" s="9">
        <v>225.096055957998</v>
      </c>
      <c r="AE74" s="9">
        <v>225.096055957998</v>
      </c>
      <c r="AF74" s="9">
        <v>225.096055957998</v>
      </c>
      <c r="AG74" s="9">
        <v>225.63129958299399</v>
      </c>
      <c r="AH74" s="10" t="s">
        <v>63</v>
      </c>
      <c r="AI74" s="9">
        <v>1</v>
      </c>
      <c r="AJ74" s="9">
        <v>0.52833591599482999</v>
      </c>
      <c r="AK74" s="10" t="s">
        <v>51</v>
      </c>
      <c r="AL74" s="8"/>
      <c r="AM74" s="8"/>
      <c r="AN74" s="8"/>
      <c r="AO74" s="8"/>
      <c r="AP74" s="9">
        <v>4</v>
      </c>
      <c r="AQ74" s="9">
        <v>1</v>
      </c>
      <c r="AR74" s="10" t="s">
        <v>98</v>
      </c>
      <c r="AS74" s="10" t="s">
        <v>53</v>
      </c>
      <c r="AT74" s="8"/>
      <c r="AU74" s="10" t="s">
        <v>54</v>
      </c>
      <c r="AV74" s="10" t="s">
        <v>51</v>
      </c>
      <c r="AW74" s="10" t="s">
        <v>99</v>
      </c>
      <c r="AX74" s="8"/>
    </row>
    <row r="75" spans="1:50" x14ac:dyDescent="0.15">
      <c r="A75" s="11" t="s">
        <v>74</v>
      </c>
      <c r="B75" s="12" t="s">
        <v>61</v>
      </c>
      <c r="C75" s="10" t="s">
        <v>58</v>
      </c>
      <c r="D75" s="10" t="s">
        <v>59</v>
      </c>
      <c r="E75" s="9">
        <v>229</v>
      </c>
      <c r="F75" s="9">
        <v>229</v>
      </c>
      <c r="G75" s="9">
        <v>4</v>
      </c>
      <c r="H75" s="10" t="s">
        <v>59</v>
      </c>
      <c r="I75" s="9">
        <v>1</v>
      </c>
      <c r="J75" s="9">
        <v>0.393492083007004</v>
      </c>
      <c r="K75" s="10" t="s">
        <v>51</v>
      </c>
      <c r="L75" s="9">
        <v>4</v>
      </c>
      <c r="M75" s="9">
        <v>229</v>
      </c>
      <c r="N75" s="9">
        <v>229</v>
      </c>
      <c r="O75" s="9">
        <v>0</v>
      </c>
      <c r="P75" s="9">
        <v>228.429051582993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9">
        <v>228.42016179199001</v>
      </c>
      <c r="AC75" s="9">
        <v>228.429051582993</v>
      </c>
      <c r="AD75" s="9">
        <v>228.91284216698801</v>
      </c>
      <c r="AE75" s="9">
        <v>228.91284216698801</v>
      </c>
      <c r="AF75" s="9">
        <v>228.91284216698801</v>
      </c>
      <c r="AG75" s="9">
        <v>229.314799125001</v>
      </c>
      <c r="AH75" s="10" t="s">
        <v>59</v>
      </c>
      <c r="AI75" s="9">
        <v>1</v>
      </c>
      <c r="AJ75" s="9">
        <v>0.393492083007004</v>
      </c>
      <c r="AK75" s="10" t="s">
        <v>51</v>
      </c>
      <c r="AL75" s="8"/>
      <c r="AM75" s="8"/>
      <c r="AN75" s="8"/>
      <c r="AO75" s="8"/>
      <c r="AP75" s="9">
        <v>4</v>
      </c>
      <c r="AQ75" s="9">
        <v>1</v>
      </c>
      <c r="AR75" s="10" t="s">
        <v>98</v>
      </c>
      <c r="AS75" s="10" t="s">
        <v>53</v>
      </c>
      <c r="AT75" s="8"/>
      <c r="AU75" s="10" t="s">
        <v>54</v>
      </c>
      <c r="AV75" s="10" t="s">
        <v>51</v>
      </c>
      <c r="AW75" s="10" t="s">
        <v>99</v>
      </c>
      <c r="AX75" s="8"/>
    </row>
    <row r="76" spans="1:50" x14ac:dyDescent="0.15">
      <c r="A76" s="11" t="s">
        <v>60</v>
      </c>
      <c r="B76" s="12" t="s">
        <v>61</v>
      </c>
      <c r="C76" s="10" t="s">
        <v>62</v>
      </c>
      <c r="D76" s="10" t="s">
        <v>63</v>
      </c>
      <c r="E76" s="9">
        <v>230</v>
      </c>
      <c r="F76" s="9">
        <v>230</v>
      </c>
      <c r="G76" s="9">
        <v>4</v>
      </c>
      <c r="H76" s="10" t="s">
        <v>63</v>
      </c>
      <c r="I76" s="9">
        <v>1</v>
      </c>
      <c r="J76" s="9">
        <v>0.83755495800869495</v>
      </c>
      <c r="K76" s="10" t="s">
        <v>51</v>
      </c>
      <c r="L76" s="9">
        <v>4</v>
      </c>
      <c r="M76" s="9">
        <v>230</v>
      </c>
      <c r="N76" s="9">
        <v>230</v>
      </c>
      <c r="O76" s="9">
        <v>9</v>
      </c>
      <c r="P76" s="9">
        <v>229.32796699999</v>
      </c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9">
        <v>229.31903399999999</v>
      </c>
      <c r="AC76" s="9">
        <v>229.32796699999</v>
      </c>
      <c r="AD76" s="9">
        <v>229.81266849998801</v>
      </c>
      <c r="AE76" s="9">
        <v>229.81266849998801</v>
      </c>
      <c r="AF76" s="9">
        <v>229.81266849998801</v>
      </c>
      <c r="AG76" s="9">
        <v>230.65457633299201</v>
      </c>
      <c r="AH76" s="10" t="s">
        <v>63</v>
      </c>
      <c r="AI76" s="9">
        <v>1</v>
      </c>
      <c r="AJ76" s="9">
        <v>0.83755495800869495</v>
      </c>
      <c r="AK76" s="10" t="s">
        <v>51</v>
      </c>
      <c r="AL76" s="8"/>
      <c r="AM76" s="8"/>
      <c r="AN76" s="8"/>
      <c r="AO76" s="8"/>
      <c r="AP76" s="9">
        <v>4</v>
      </c>
      <c r="AQ76" s="9">
        <v>1</v>
      </c>
      <c r="AR76" s="10" t="s">
        <v>98</v>
      </c>
      <c r="AS76" s="10" t="s">
        <v>53</v>
      </c>
      <c r="AT76" s="8"/>
      <c r="AU76" s="10" t="s">
        <v>54</v>
      </c>
      <c r="AV76" s="10" t="s">
        <v>51</v>
      </c>
      <c r="AW76" s="10" t="s">
        <v>99</v>
      </c>
      <c r="AX76" s="8"/>
    </row>
    <row r="77" spans="1:50" x14ac:dyDescent="0.15">
      <c r="A77" s="11" t="s">
        <v>70</v>
      </c>
      <c r="B77" s="12" t="s">
        <v>61</v>
      </c>
      <c r="C77" s="10" t="s">
        <v>58</v>
      </c>
      <c r="D77" s="10" t="s">
        <v>59</v>
      </c>
      <c r="E77" s="9">
        <v>231</v>
      </c>
      <c r="F77" s="9">
        <v>231</v>
      </c>
      <c r="G77" s="9">
        <v>4</v>
      </c>
      <c r="H77" s="10" t="s">
        <v>59</v>
      </c>
      <c r="I77" s="9">
        <v>1</v>
      </c>
      <c r="J77" s="9">
        <v>0.634766165996552</v>
      </c>
      <c r="K77" s="10" t="s">
        <v>51</v>
      </c>
      <c r="L77" s="9">
        <v>4</v>
      </c>
      <c r="M77" s="9">
        <v>231</v>
      </c>
      <c r="N77" s="9">
        <v>231</v>
      </c>
      <c r="O77" s="9">
        <v>12</v>
      </c>
      <c r="P77" s="9">
        <v>230.669570499987</v>
      </c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9">
        <v>230.66031404199001</v>
      </c>
      <c r="AC77" s="9">
        <v>230.669570499987</v>
      </c>
      <c r="AD77" s="9">
        <v>231.155488457996</v>
      </c>
      <c r="AE77" s="9">
        <v>231.155488457996</v>
      </c>
      <c r="AF77" s="9">
        <v>231.155488457996</v>
      </c>
      <c r="AG77" s="9">
        <v>231.79819974998799</v>
      </c>
      <c r="AH77" s="10" t="s">
        <v>59</v>
      </c>
      <c r="AI77" s="9">
        <v>1</v>
      </c>
      <c r="AJ77" s="9">
        <v>0.634766165996552</v>
      </c>
      <c r="AK77" s="10" t="s">
        <v>51</v>
      </c>
      <c r="AL77" s="8"/>
      <c r="AM77" s="8"/>
      <c r="AN77" s="8"/>
      <c r="AO77" s="8"/>
      <c r="AP77" s="9">
        <v>4</v>
      </c>
      <c r="AQ77" s="9">
        <v>1</v>
      </c>
      <c r="AR77" s="10" t="s">
        <v>98</v>
      </c>
      <c r="AS77" s="10" t="s">
        <v>53</v>
      </c>
      <c r="AT77" s="8"/>
      <c r="AU77" s="10" t="s">
        <v>54</v>
      </c>
      <c r="AV77" s="10" t="s">
        <v>51</v>
      </c>
      <c r="AW77" s="10" t="s">
        <v>99</v>
      </c>
      <c r="AX77" s="8"/>
    </row>
    <row r="78" spans="1:50" x14ac:dyDescent="0.15">
      <c r="A78" s="11" t="s">
        <v>73</v>
      </c>
      <c r="B78" s="12" t="s">
        <v>61</v>
      </c>
      <c r="C78" s="10" t="s">
        <v>58</v>
      </c>
      <c r="D78" s="10" t="s">
        <v>59</v>
      </c>
      <c r="E78" s="9">
        <v>232</v>
      </c>
      <c r="F78" s="9">
        <v>232</v>
      </c>
      <c r="G78" s="9">
        <v>4</v>
      </c>
      <c r="H78" s="10" t="s">
        <v>59</v>
      </c>
      <c r="I78" s="9">
        <v>1</v>
      </c>
      <c r="J78" s="9">
        <v>0.53186733298934996</v>
      </c>
      <c r="K78" s="10" t="s">
        <v>51</v>
      </c>
      <c r="L78" s="9">
        <v>4</v>
      </c>
      <c r="M78" s="9">
        <v>232</v>
      </c>
      <c r="N78" s="9">
        <v>232</v>
      </c>
      <c r="O78" s="9">
        <v>14</v>
      </c>
      <c r="P78" s="9">
        <v>231.81268595799301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9">
        <v>231.80343499999401</v>
      </c>
      <c r="AC78" s="9">
        <v>231.81268595799301</v>
      </c>
      <c r="AD78" s="9">
        <v>232.296589707999</v>
      </c>
      <c r="AE78" s="9">
        <v>232.296589707999</v>
      </c>
      <c r="AF78" s="9">
        <v>232.296589707999</v>
      </c>
      <c r="AG78" s="9">
        <v>232.83128270799401</v>
      </c>
      <c r="AH78" s="10" t="s">
        <v>59</v>
      </c>
      <c r="AI78" s="9">
        <v>1</v>
      </c>
      <c r="AJ78" s="9">
        <v>0.53186733298934996</v>
      </c>
      <c r="AK78" s="10" t="s">
        <v>51</v>
      </c>
      <c r="AL78" s="8"/>
      <c r="AM78" s="8"/>
      <c r="AN78" s="8"/>
      <c r="AO78" s="8"/>
      <c r="AP78" s="9">
        <v>4</v>
      </c>
      <c r="AQ78" s="9">
        <v>1</v>
      </c>
      <c r="AR78" s="10" t="s">
        <v>98</v>
      </c>
      <c r="AS78" s="10" t="s">
        <v>53</v>
      </c>
      <c r="AT78" s="8"/>
      <c r="AU78" s="10" t="s">
        <v>54</v>
      </c>
      <c r="AV78" s="10" t="s">
        <v>51</v>
      </c>
      <c r="AW78" s="10" t="s">
        <v>99</v>
      </c>
      <c r="AX78" s="8"/>
    </row>
    <row r="79" spans="1:50" x14ac:dyDescent="0.15">
      <c r="A79" s="11" t="s">
        <v>64</v>
      </c>
      <c r="B79" s="12" t="s">
        <v>61</v>
      </c>
      <c r="C79" s="10" t="s">
        <v>58</v>
      </c>
      <c r="D79" s="10" t="s">
        <v>59</v>
      </c>
      <c r="E79" s="9">
        <v>233</v>
      </c>
      <c r="F79" s="9">
        <v>233</v>
      </c>
      <c r="G79" s="9">
        <v>4</v>
      </c>
      <c r="H79" s="10" t="s">
        <v>59</v>
      </c>
      <c r="I79" s="9">
        <v>1</v>
      </c>
      <c r="J79" s="9">
        <v>0.83453345799352996</v>
      </c>
      <c r="K79" s="10" t="s">
        <v>51</v>
      </c>
      <c r="L79" s="9">
        <v>4</v>
      </c>
      <c r="M79" s="9">
        <v>233</v>
      </c>
      <c r="N79" s="9">
        <v>233</v>
      </c>
      <c r="O79" s="9">
        <v>4</v>
      </c>
      <c r="P79" s="9">
        <v>232.84583204198901</v>
      </c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9">
        <v>232.83669612499901</v>
      </c>
      <c r="AC79" s="9">
        <v>232.84583204198901</v>
      </c>
      <c r="AD79" s="9">
        <v>233.329732166996</v>
      </c>
      <c r="AE79" s="9">
        <v>233.329732166996</v>
      </c>
      <c r="AF79" s="9">
        <v>233.329732166996</v>
      </c>
      <c r="AG79" s="9">
        <v>234.17092345799</v>
      </c>
      <c r="AH79" s="10" t="s">
        <v>59</v>
      </c>
      <c r="AI79" s="9">
        <v>1</v>
      </c>
      <c r="AJ79" s="9">
        <v>0.83453345799352996</v>
      </c>
      <c r="AK79" s="10" t="s">
        <v>51</v>
      </c>
      <c r="AL79" s="8"/>
      <c r="AM79" s="8"/>
      <c r="AN79" s="8"/>
      <c r="AO79" s="8"/>
      <c r="AP79" s="9">
        <v>4</v>
      </c>
      <c r="AQ79" s="9">
        <v>1</v>
      </c>
      <c r="AR79" s="10" t="s">
        <v>98</v>
      </c>
      <c r="AS79" s="10" t="s">
        <v>53</v>
      </c>
      <c r="AT79" s="8"/>
      <c r="AU79" s="10" t="s">
        <v>54</v>
      </c>
      <c r="AV79" s="10" t="s">
        <v>51</v>
      </c>
      <c r="AW79" s="10" t="s">
        <v>99</v>
      </c>
      <c r="AX79" s="8"/>
    </row>
    <row r="80" spans="1:50" x14ac:dyDescent="0.15">
      <c r="A80" s="11" t="s">
        <v>85</v>
      </c>
      <c r="B80" s="12" t="s">
        <v>61</v>
      </c>
      <c r="C80" s="10" t="s">
        <v>62</v>
      </c>
      <c r="D80" s="10" t="s">
        <v>63</v>
      </c>
      <c r="E80" s="9">
        <v>237</v>
      </c>
      <c r="F80" s="9">
        <v>237</v>
      </c>
      <c r="G80" s="9">
        <v>4</v>
      </c>
      <c r="H80" s="10" t="s">
        <v>59</v>
      </c>
      <c r="I80" s="9">
        <v>0</v>
      </c>
      <c r="J80" s="9">
        <v>0.60378216700337395</v>
      </c>
      <c r="K80" s="10" t="s">
        <v>51</v>
      </c>
      <c r="L80" s="9">
        <v>4</v>
      </c>
      <c r="M80" s="9">
        <v>237</v>
      </c>
      <c r="N80" s="9">
        <v>237</v>
      </c>
      <c r="O80" s="9">
        <v>11</v>
      </c>
      <c r="P80" s="9">
        <v>236.99575533298801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9">
        <v>236.986698166991</v>
      </c>
      <c r="AC80" s="9">
        <v>236.99575533298801</v>
      </c>
      <c r="AD80" s="9">
        <v>237.47955241698901</v>
      </c>
      <c r="AE80" s="9">
        <v>237.47955241698901</v>
      </c>
      <c r="AF80" s="9">
        <v>237.47955241698901</v>
      </c>
      <c r="AG80" s="9">
        <v>238.087656249991</v>
      </c>
      <c r="AH80" s="10" t="s">
        <v>59</v>
      </c>
      <c r="AI80" s="9">
        <v>0</v>
      </c>
      <c r="AJ80" s="9">
        <v>0.60378216700337395</v>
      </c>
      <c r="AK80" s="10" t="s">
        <v>51</v>
      </c>
      <c r="AL80" s="8"/>
      <c r="AM80" s="8"/>
      <c r="AN80" s="8"/>
      <c r="AO80" s="8"/>
      <c r="AP80" s="9">
        <v>4</v>
      </c>
      <c r="AQ80" s="9">
        <v>1</v>
      </c>
      <c r="AR80" s="10" t="s">
        <v>98</v>
      </c>
      <c r="AS80" s="10" t="s">
        <v>53</v>
      </c>
      <c r="AT80" s="8"/>
      <c r="AU80" s="10" t="s">
        <v>54</v>
      </c>
      <c r="AV80" s="10" t="s">
        <v>51</v>
      </c>
      <c r="AW80" s="10" t="s">
        <v>99</v>
      </c>
      <c r="AX80" s="8"/>
    </row>
    <row r="81" spans="1:50" x14ac:dyDescent="0.15">
      <c r="A81" s="11" t="s">
        <v>85</v>
      </c>
      <c r="B81" s="12" t="s">
        <v>61</v>
      </c>
      <c r="C81" s="10" t="s">
        <v>58</v>
      </c>
      <c r="D81" s="10" t="s">
        <v>59</v>
      </c>
      <c r="E81" s="9">
        <v>239</v>
      </c>
      <c r="F81" s="9">
        <v>239</v>
      </c>
      <c r="G81" s="9">
        <v>4</v>
      </c>
      <c r="H81" s="10" t="s">
        <v>59</v>
      </c>
      <c r="I81" s="9">
        <v>1</v>
      </c>
      <c r="J81" s="9">
        <v>0.410401250002906</v>
      </c>
      <c r="K81" s="10" t="s">
        <v>51</v>
      </c>
      <c r="L81" s="9">
        <v>4</v>
      </c>
      <c r="M81" s="9">
        <v>239</v>
      </c>
      <c r="N81" s="9">
        <v>239</v>
      </c>
      <c r="O81" s="9">
        <v>10</v>
      </c>
      <c r="P81" s="9">
        <v>239.33453037499601</v>
      </c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9">
        <v>239.32471491699101</v>
      </c>
      <c r="AC81" s="9">
        <v>239.33453037499601</v>
      </c>
      <c r="AD81" s="9">
        <v>239.813074499994</v>
      </c>
      <c r="AE81" s="9">
        <v>239.813074499994</v>
      </c>
      <c r="AF81" s="9">
        <v>239.813074499994</v>
      </c>
      <c r="AG81" s="9">
        <v>240.23224491698801</v>
      </c>
      <c r="AH81" s="10" t="s">
        <v>59</v>
      </c>
      <c r="AI81" s="9">
        <v>1</v>
      </c>
      <c r="AJ81" s="9">
        <v>0.410401250002906</v>
      </c>
      <c r="AK81" s="10" t="s">
        <v>51</v>
      </c>
      <c r="AL81" s="8"/>
      <c r="AM81" s="8"/>
      <c r="AN81" s="8"/>
      <c r="AO81" s="8"/>
      <c r="AP81" s="9">
        <v>4</v>
      </c>
      <c r="AQ81" s="9">
        <v>1</v>
      </c>
      <c r="AR81" s="10" t="s">
        <v>98</v>
      </c>
      <c r="AS81" s="10" t="s">
        <v>53</v>
      </c>
      <c r="AT81" s="8"/>
      <c r="AU81" s="10" t="s">
        <v>54</v>
      </c>
      <c r="AV81" s="10" t="s">
        <v>51</v>
      </c>
      <c r="AW81" s="10" t="s">
        <v>99</v>
      </c>
      <c r="AX81" s="8"/>
    </row>
    <row r="82" spans="1:50" x14ac:dyDescent="0.15">
      <c r="A82" s="11" t="s">
        <v>78</v>
      </c>
      <c r="B82" s="12" t="s">
        <v>57</v>
      </c>
      <c r="C82" s="10" t="s">
        <v>58</v>
      </c>
      <c r="D82" s="10" t="s">
        <v>59</v>
      </c>
      <c r="E82" s="9">
        <v>7</v>
      </c>
      <c r="F82" s="9">
        <v>7</v>
      </c>
      <c r="G82" s="9">
        <v>0</v>
      </c>
      <c r="H82" s="10" t="s">
        <v>63</v>
      </c>
      <c r="I82" s="9">
        <v>0</v>
      </c>
      <c r="J82" s="9">
        <v>0.39915970800211698</v>
      </c>
      <c r="K82" s="10" t="s">
        <v>51</v>
      </c>
      <c r="L82" s="9">
        <v>0</v>
      </c>
      <c r="M82" s="9">
        <v>7</v>
      </c>
      <c r="N82" s="9">
        <v>7</v>
      </c>
      <c r="O82" s="9">
        <v>26</v>
      </c>
      <c r="P82" s="9">
        <v>20.821678207998001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9">
        <v>20.8122782919963</v>
      </c>
      <c r="AC82" s="9">
        <v>20.821678207998001</v>
      </c>
      <c r="AD82" s="9">
        <v>21.305199082999</v>
      </c>
      <c r="AE82" s="9">
        <v>21.305199082999</v>
      </c>
      <c r="AF82" s="9">
        <v>21.305199082999</v>
      </c>
      <c r="AG82" s="9">
        <v>21.7075469579868</v>
      </c>
      <c r="AH82" s="10" t="s">
        <v>63</v>
      </c>
      <c r="AI82" s="9">
        <v>0</v>
      </c>
      <c r="AJ82" s="9">
        <v>0.39915970800211698</v>
      </c>
      <c r="AK82" s="10" t="s">
        <v>51</v>
      </c>
      <c r="AL82" s="8"/>
      <c r="AM82" s="8"/>
      <c r="AN82" s="8"/>
      <c r="AO82" s="8"/>
      <c r="AP82" s="9">
        <v>4</v>
      </c>
      <c r="AQ82" s="9">
        <v>1</v>
      </c>
      <c r="AR82" s="10" t="s">
        <v>98</v>
      </c>
      <c r="AS82" s="10" t="s">
        <v>53</v>
      </c>
      <c r="AT82" s="8"/>
      <c r="AU82" s="10" t="s">
        <v>54</v>
      </c>
      <c r="AV82" s="10" t="s">
        <v>51</v>
      </c>
      <c r="AW82" s="10" t="s">
        <v>99</v>
      </c>
      <c r="AX82" s="8"/>
    </row>
    <row r="83" spans="1:50" x14ac:dyDescent="0.15">
      <c r="A83" s="11" t="s">
        <v>56</v>
      </c>
      <c r="B83" s="12" t="s">
        <v>57</v>
      </c>
      <c r="C83" s="10" t="s">
        <v>62</v>
      </c>
      <c r="D83" s="10" t="s">
        <v>63</v>
      </c>
      <c r="E83" s="9">
        <v>11</v>
      </c>
      <c r="F83" s="9">
        <v>11</v>
      </c>
      <c r="G83" s="9">
        <v>0</v>
      </c>
      <c r="H83" s="10" t="s">
        <v>63</v>
      </c>
      <c r="I83" s="9">
        <v>1</v>
      </c>
      <c r="J83" s="9">
        <v>0.53249116599908997</v>
      </c>
      <c r="K83" s="10" t="s">
        <v>51</v>
      </c>
      <c r="L83" s="9">
        <v>0</v>
      </c>
      <c r="M83" s="9">
        <v>11</v>
      </c>
      <c r="N83" s="9">
        <v>11</v>
      </c>
      <c r="O83" s="9">
        <v>17</v>
      </c>
      <c r="P83" s="9">
        <v>25.790108207991601</v>
      </c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9">
        <v>25.780484374990898</v>
      </c>
      <c r="AC83" s="9">
        <v>25.790108207991601</v>
      </c>
      <c r="AD83" s="9">
        <v>26.271971416994301</v>
      </c>
      <c r="AE83" s="9">
        <v>26.271971416994301</v>
      </c>
      <c r="AF83" s="9">
        <v>26.271971416994301</v>
      </c>
      <c r="AG83" s="9">
        <v>26.807230666992801</v>
      </c>
      <c r="AH83" s="10" t="s">
        <v>63</v>
      </c>
      <c r="AI83" s="9">
        <v>1</v>
      </c>
      <c r="AJ83" s="9">
        <v>0.53249116599908997</v>
      </c>
      <c r="AK83" s="10" t="s">
        <v>51</v>
      </c>
      <c r="AL83" s="8"/>
      <c r="AM83" s="8"/>
      <c r="AN83" s="8"/>
      <c r="AO83" s="8"/>
      <c r="AP83" s="9">
        <v>4</v>
      </c>
      <c r="AQ83" s="9">
        <v>1</v>
      </c>
      <c r="AR83" s="10" t="s">
        <v>98</v>
      </c>
      <c r="AS83" s="10" t="s">
        <v>53</v>
      </c>
      <c r="AT83" s="8"/>
      <c r="AU83" s="10" t="s">
        <v>54</v>
      </c>
      <c r="AV83" s="10" t="s">
        <v>51</v>
      </c>
      <c r="AW83" s="10" t="s">
        <v>99</v>
      </c>
      <c r="AX83" s="8"/>
    </row>
    <row r="84" spans="1:50" x14ac:dyDescent="0.15">
      <c r="A84" s="11" t="s">
        <v>68</v>
      </c>
      <c r="B84" s="12" t="s">
        <v>57</v>
      </c>
      <c r="C84" s="10" t="s">
        <v>58</v>
      </c>
      <c r="D84" s="10" t="s">
        <v>59</v>
      </c>
      <c r="E84" s="9">
        <v>12</v>
      </c>
      <c r="F84" s="9">
        <v>12</v>
      </c>
      <c r="G84" s="9">
        <v>0</v>
      </c>
      <c r="H84" s="10" t="s">
        <v>59</v>
      </c>
      <c r="I84" s="9">
        <v>1</v>
      </c>
      <c r="J84" s="9">
        <v>0.61902549999649603</v>
      </c>
      <c r="K84" s="10" t="s">
        <v>51</v>
      </c>
      <c r="L84" s="9">
        <v>0</v>
      </c>
      <c r="M84" s="9">
        <v>12</v>
      </c>
      <c r="N84" s="9">
        <v>12</v>
      </c>
      <c r="O84" s="9">
        <v>22</v>
      </c>
      <c r="P84" s="9">
        <v>26.821489832989801</v>
      </c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9">
        <v>26.812231832998801</v>
      </c>
      <c r="AC84" s="9">
        <v>26.821489832989801</v>
      </c>
      <c r="AD84" s="9">
        <v>27.305410166998598</v>
      </c>
      <c r="AE84" s="9">
        <v>27.305410166998598</v>
      </c>
      <c r="AF84" s="9">
        <v>27.305410166998598</v>
      </c>
      <c r="AG84" s="9">
        <v>27.930066457993199</v>
      </c>
      <c r="AH84" s="10" t="s">
        <v>59</v>
      </c>
      <c r="AI84" s="9">
        <v>1</v>
      </c>
      <c r="AJ84" s="9">
        <v>0.61902549999649603</v>
      </c>
      <c r="AK84" s="10" t="s">
        <v>51</v>
      </c>
      <c r="AL84" s="8"/>
      <c r="AM84" s="8"/>
      <c r="AN84" s="8"/>
      <c r="AO84" s="8"/>
      <c r="AP84" s="9">
        <v>4</v>
      </c>
      <c r="AQ84" s="9">
        <v>1</v>
      </c>
      <c r="AR84" s="10" t="s">
        <v>98</v>
      </c>
      <c r="AS84" s="10" t="s">
        <v>53</v>
      </c>
      <c r="AT84" s="8"/>
      <c r="AU84" s="10" t="s">
        <v>54</v>
      </c>
      <c r="AV84" s="10" t="s">
        <v>51</v>
      </c>
      <c r="AW84" s="10" t="s">
        <v>99</v>
      </c>
      <c r="AX84" s="8"/>
    </row>
    <row r="85" spans="1:50" x14ac:dyDescent="0.15">
      <c r="A85" s="11" t="s">
        <v>56</v>
      </c>
      <c r="B85" s="12" t="s">
        <v>57</v>
      </c>
      <c r="C85" s="10" t="s">
        <v>58</v>
      </c>
      <c r="D85" s="10" t="s">
        <v>59</v>
      </c>
      <c r="E85" s="9">
        <v>15</v>
      </c>
      <c r="F85" s="9">
        <v>15</v>
      </c>
      <c r="G85" s="9">
        <v>0</v>
      </c>
      <c r="H85" s="10" t="s">
        <v>59</v>
      </c>
      <c r="I85" s="9">
        <v>1</v>
      </c>
      <c r="J85" s="9">
        <v>0.33556416699138902</v>
      </c>
      <c r="K85" s="10" t="s">
        <v>51</v>
      </c>
      <c r="L85" s="9">
        <v>0</v>
      </c>
      <c r="M85" s="9">
        <v>15</v>
      </c>
      <c r="N85" s="9">
        <v>15</v>
      </c>
      <c r="O85" s="9">
        <v>16</v>
      </c>
      <c r="P85" s="9">
        <v>29.904735291987901</v>
      </c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9">
        <v>29.895361624992798</v>
      </c>
      <c r="AC85" s="9">
        <v>29.904735291987901</v>
      </c>
      <c r="AD85" s="9">
        <v>30.389019582988102</v>
      </c>
      <c r="AE85" s="9">
        <v>30.389019582988102</v>
      </c>
      <c r="AF85" s="9">
        <v>30.389019582988102</v>
      </c>
      <c r="AG85" s="9">
        <v>30.730499249999401</v>
      </c>
      <c r="AH85" s="10" t="s">
        <v>59</v>
      </c>
      <c r="AI85" s="9">
        <v>1</v>
      </c>
      <c r="AJ85" s="9">
        <v>0.33556416699138902</v>
      </c>
      <c r="AK85" s="10" t="s">
        <v>51</v>
      </c>
      <c r="AL85" s="8"/>
      <c r="AM85" s="8"/>
      <c r="AN85" s="8"/>
      <c r="AO85" s="8"/>
      <c r="AP85" s="9">
        <v>4</v>
      </c>
      <c r="AQ85" s="9">
        <v>1</v>
      </c>
      <c r="AR85" s="10" t="s">
        <v>98</v>
      </c>
      <c r="AS85" s="10" t="s">
        <v>53</v>
      </c>
      <c r="AT85" s="8"/>
      <c r="AU85" s="10" t="s">
        <v>54</v>
      </c>
      <c r="AV85" s="10" t="s">
        <v>51</v>
      </c>
      <c r="AW85" s="10" t="s">
        <v>99</v>
      </c>
      <c r="AX85" s="8"/>
    </row>
    <row r="86" spans="1:50" x14ac:dyDescent="0.15">
      <c r="A86" s="11" t="s">
        <v>75</v>
      </c>
      <c r="B86" s="12" t="s">
        <v>57</v>
      </c>
      <c r="C86" s="10" t="s">
        <v>58</v>
      </c>
      <c r="D86" s="10" t="s">
        <v>59</v>
      </c>
      <c r="E86" s="9">
        <v>17</v>
      </c>
      <c r="F86" s="9">
        <v>17</v>
      </c>
      <c r="G86" s="9">
        <v>0</v>
      </c>
      <c r="H86" s="10" t="s">
        <v>59</v>
      </c>
      <c r="I86" s="9">
        <v>1</v>
      </c>
      <c r="J86" s="9">
        <v>0.294249291007873</v>
      </c>
      <c r="K86" s="10" t="s">
        <v>51</v>
      </c>
      <c r="L86" s="9">
        <v>0</v>
      </c>
      <c r="M86" s="9">
        <v>17</v>
      </c>
      <c r="N86" s="9">
        <v>17</v>
      </c>
      <c r="O86" s="9">
        <v>18</v>
      </c>
      <c r="P86" s="9">
        <v>31.5623443749937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9">
        <v>31.552772166993201</v>
      </c>
      <c r="AC86" s="9">
        <v>31.5623443749937</v>
      </c>
      <c r="AD86" s="9">
        <v>32.048320207992198</v>
      </c>
      <c r="AE86" s="9">
        <v>32.048320207992198</v>
      </c>
      <c r="AF86" s="9">
        <v>32.048320207992198</v>
      </c>
      <c r="AG86" s="9">
        <v>32.347773541987401</v>
      </c>
      <c r="AH86" s="10" t="s">
        <v>59</v>
      </c>
      <c r="AI86" s="9">
        <v>1</v>
      </c>
      <c r="AJ86" s="9">
        <v>0.294249291007873</v>
      </c>
      <c r="AK86" s="10" t="s">
        <v>51</v>
      </c>
      <c r="AL86" s="8"/>
      <c r="AM86" s="8"/>
      <c r="AN86" s="8"/>
      <c r="AO86" s="8"/>
      <c r="AP86" s="9">
        <v>4</v>
      </c>
      <c r="AQ86" s="9">
        <v>1</v>
      </c>
      <c r="AR86" s="10" t="s">
        <v>98</v>
      </c>
      <c r="AS86" s="10" t="s">
        <v>53</v>
      </c>
      <c r="AT86" s="8"/>
      <c r="AU86" s="10" t="s">
        <v>54</v>
      </c>
      <c r="AV86" s="10" t="s">
        <v>51</v>
      </c>
      <c r="AW86" s="10" t="s">
        <v>99</v>
      </c>
      <c r="AX86" s="8"/>
    </row>
    <row r="87" spans="1:50" x14ac:dyDescent="0.15">
      <c r="A87" s="11" t="s">
        <v>68</v>
      </c>
      <c r="B87" s="12" t="s">
        <v>57</v>
      </c>
      <c r="C87" s="10" t="s">
        <v>58</v>
      </c>
      <c r="D87" s="10" t="s">
        <v>59</v>
      </c>
      <c r="E87" s="9">
        <v>18</v>
      </c>
      <c r="F87" s="9">
        <v>18</v>
      </c>
      <c r="G87" s="9">
        <v>1</v>
      </c>
      <c r="H87" s="10" t="s">
        <v>59</v>
      </c>
      <c r="I87" s="9">
        <v>1</v>
      </c>
      <c r="J87" s="9">
        <v>0.31159066699910898</v>
      </c>
      <c r="K87" s="10" t="s">
        <v>51</v>
      </c>
      <c r="L87" s="9">
        <v>1</v>
      </c>
      <c r="M87" s="9">
        <v>18</v>
      </c>
      <c r="N87" s="9">
        <v>18</v>
      </c>
      <c r="O87" s="9">
        <v>22</v>
      </c>
      <c r="P87" s="9">
        <v>32.3607210419868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9">
        <v>32.352303082996499</v>
      </c>
      <c r="AC87" s="9">
        <v>32.3607210419868</v>
      </c>
      <c r="AD87" s="9">
        <v>32.847964749991696</v>
      </c>
      <c r="AE87" s="9">
        <v>32.847964749991696</v>
      </c>
      <c r="AF87" s="9">
        <v>32.847964749991696</v>
      </c>
      <c r="AG87" s="9">
        <v>33.163582666995403</v>
      </c>
      <c r="AH87" s="10" t="s">
        <v>59</v>
      </c>
      <c r="AI87" s="9">
        <v>1</v>
      </c>
      <c r="AJ87" s="9">
        <v>0.31159066699910898</v>
      </c>
      <c r="AK87" s="10" t="s">
        <v>51</v>
      </c>
      <c r="AL87" s="8"/>
      <c r="AM87" s="8"/>
      <c r="AN87" s="8"/>
      <c r="AO87" s="8"/>
      <c r="AP87" s="9">
        <v>4</v>
      </c>
      <c r="AQ87" s="9">
        <v>1</v>
      </c>
      <c r="AR87" s="10" t="s">
        <v>98</v>
      </c>
      <c r="AS87" s="10" t="s">
        <v>53</v>
      </c>
      <c r="AT87" s="8"/>
      <c r="AU87" s="10" t="s">
        <v>54</v>
      </c>
      <c r="AV87" s="10" t="s">
        <v>51</v>
      </c>
      <c r="AW87" s="10" t="s">
        <v>99</v>
      </c>
      <c r="AX87" s="8"/>
    </row>
    <row r="88" spans="1:50" x14ac:dyDescent="0.15">
      <c r="A88" s="11" t="s">
        <v>56</v>
      </c>
      <c r="B88" s="12" t="s">
        <v>57</v>
      </c>
      <c r="C88" s="10" t="s">
        <v>58</v>
      </c>
      <c r="D88" s="10" t="s">
        <v>59</v>
      </c>
      <c r="E88" s="9">
        <v>21</v>
      </c>
      <c r="F88" s="9">
        <v>21</v>
      </c>
      <c r="G88" s="9">
        <v>1</v>
      </c>
      <c r="H88" s="10" t="s">
        <v>59</v>
      </c>
      <c r="I88" s="9">
        <v>1</v>
      </c>
      <c r="J88" s="9">
        <v>0.43613308299973103</v>
      </c>
      <c r="K88" s="10" t="s">
        <v>51</v>
      </c>
      <c r="L88" s="9">
        <v>1</v>
      </c>
      <c r="M88" s="9">
        <v>21</v>
      </c>
      <c r="N88" s="9">
        <v>21</v>
      </c>
      <c r="O88" s="9">
        <v>16</v>
      </c>
      <c r="P88" s="9">
        <v>34.944176541990601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9">
        <v>34.934492832995602</v>
      </c>
      <c r="AC88" s="9">
        <v>34.944176541990601</v>
      </c>
      <c r="AD88" s="9">
        <v>35.4316137919959</v>
      </c>
      <c r="AE88" s="9">
        <v>35.4316137919959</v>
      </c>
      <c r="AF88" s="9">
        <v>35.4316137919959</v>
      </c>
      <c r="AG88" s="9">
        <v>35.874190207992797</v>
      </c>
      <c r="AH88" s="10" t="s">
        <v>59</v>
      </c>
      <c r="AI88" s="9">
        <v>1</v>
      </c>
      <c r="AJ88" s="9">
        <v>0.43613308299973103</v>
      </c>
      <c r="AK88" s="10" t="s">
        <v>51</v>
      </c>
      <c r="AL88" s="8"/>
      <c r="AM88" s="8"/>
      <c r="AN88" s="8"/>
      <c r="AO88" s="8"/>
      <c r="AP88" s="9">
        <v>4</v>
      </c>
      <c r="AQ88" s="9">
        <v>1</v>
      </c>
      <c r="AR88" s="10" t="s">
        <v>98</v>
      </c>
      <c r="AS88" s="10" t="s">
        <v>53</v>
      </c>
      <c r="AT88" s="8"/>
      <c r="AU88" s="10" t="s">
        <v>54</v>
      </c>
      <c r="AV88" s="10" t="s">
        <v>51</v>
      </c>
      <c r="AW88" s="10" t="s">
        <v>99</v>
      </c>
      <c r="AX88" s="8"/>
    </row>
    <row r="89" spans="1:50" x14ac:dyDescent="0.15">
      <c r="A89" s="11" t="s">
        <v>72</v>
      </c>
      <c r="B89" s="12" t="s">
        <v>57</v>
      </c>
      <c r="C89" s="10" t="s">
        <v>62</v>
      </c>
      <c r="D89" s="10" t="s">
        <v>63</v>
      </c>
      <c r="E89" s="9">
        <v>23</v>
      </c>
      <c r="F89" s="9">
        <v>23</v>
      </c>
      <c r="G89" s="9">
        <v>0</v>
      </c>
      <c r="H89" s="10" t="s">
        <v>63</v>
      </c>
      <c r="I89" s="9">
        <v>1</v>
      </c>
      <c r="J89" s="9">
        <v>0.34033787500811702</v>
      </c>
      <c r="K89" s="10" t="s">
        <v>51</v>
      </c>
      <c r="L89" s="9">
        <v>0</v>
      </c>
      <c r="M89" s="9">
        <v>23</v>
      </c>
      <c r="N89" s="9">
        <v>23</v>
      </c>
      <c r="O89" s="9">
        <v>25</v>
      </c>
      <c r="P89" s="9">
        <v>36.688348291994799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9">
        <v>36.679452917000198</v>
      </c>
      <c r="AC89" s="9">
        <v>36.688348291994799</v>
      </c>
      <c r="AD89" s="9">
        <v>37.1723795829894</v>
      </c>
      <c r="AE89" s="9">
        <v>37.1723795829894</v>
      </c>
      <c r="AF89" s="9">
        <v>37.1723795829894</v>
      </c>
      <c r="AG89" s="9">
        <v>37.524561250000303</v>
      </c>
      <c r="AH89" s="10" t="s">
        <v>63</v>
      </c>
      <c r="AI89" s="9">
        <v>1</v>
      </c>
      <c r="AJ89" s="9">
        <v>0.34033787500811702</v>
      </c>
      <c r="AK89" s="10" t="s">
        <v>51</v>
      </c>
      <c r="AL89" s="8"/>
      <c r="AM89" s="8"/>
      <c r="AN89" s="8"/>
      <c r="AO89" s="8"/>
      <c r="AP89" s="9">
        <v>4</v>
      </c>
      <c r="AQ89" s="9">
        <v>1</v>
      </c>
      <c r="AR89" s="10" t="s">
        <v>98</v>
      </c>
      <c r="AS89" s="10" t="s">
        <v>53</v>
      </c>
      <c r="AT89" s="8"/>
      <c r="AU89" s="10" t="s">
        <v>54</v>
      </c>
      <c r="AV89" s="10" t="s">
        <v>51</v>
      </c>
      <c r="AW89" s="10" t="s">
        <v>99</v>
      </c>
      <c r="AX89" s="8"/>
    </row>
    <row r="90" spans="1:50" x14ac:dyDescent="0.15">
      <c r="A90" s="11" t="s">
        <v>72</v>
      </c>
      <c r="B90" s="12" t="s">
        <v>57</v>
      </c>
      <c r="C90" s="10" t="s">
        <v>62</v>
      </c>
      <c r="D90" s="10" t="s">
        <v>63</v>
      </c>
      <c r="E90" s="9">
        <v>29</v>
      </c>
      <c r="F90" s="9">
        <v>29</v>
      </c>
      <c r="G90" s="9">
        <v>1</v>
      </c>
      <c r="H90" s="10" t="s">
        <v>63</v>
      </c>
      <c r="I90" s="9">
        <v>1</v>
      </c>
      <c r="J90" s="9">
        <v>0.761668708000798</v>
      </c>
      <c r="K90" s="10" t="s">
        <v>51</v>
      </c>
      <c r="L90" s="9">
        <v>1</v>
      </c>
      <c r="M90" s="9">
        <v>29</v>
      </c>
      <c r="N90" s="9">
        <v>29</v>
      </c>
      <c r="O90" s="9">
        <v>25</v>
      </c>
      <c r="P90" s="9">
        <v>41.655926583000102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9">
        <v>41.6465939579939</v>
      </c>
      <c r="AC90" s="9">
        <v>41.655926583000102</v>
      </c>
      <c r="AD90" s="9">
        <v>42.139259457995699</v>
      </c>
      <c r="AE90" s="9">
        <v>42.139259457995699</v>
      </c>
      <c r="AF90" s="9">
        <v>42.139259457995699</v>
      </c>
      <c r="AG90" s="9">
        <v>42.908118791994603</v>
      </c>
      <c r="AH90" s="10" t="s">
        <v>63</v>
      </c>
      <c r="AI90" s="9">
        <v>1</v>
      </c>
      <c r="AJ90" s="9">
        <v>0.761668708000798</v>
      </c>
      <c r="AK90" s="10" t="s">
        <v>51</v>
      </c>
      <c r="AL90" s="8"/>
      <c r="AM90" s="8"/>
      <c r="AN90" s="8"/>
      <c r="AO90" s="8"/>
      <c r="AP90" s="9">
        <v>4</v>
      </c>
      <c r="AQ90" s="9">
        <v>1</v>
      </c>
      <c r="AR90" s="10" t="s">
        <v>98</v>
      </c>
      <c r="AS90" s="10" t="s">
        <v>53</v>
      </c>
      <c r="AT90" s="8"/>
      <c r="AU90" s="10" t="s">
        <v>54</v>
      </c>
      <c r="AV90" s="10" t="s">
        <v>51</v>
      </c>
      <c r="AW90" s="10" t="s">
        <v>99</v>
      </c>
      <c r="AX90" s="8"/>
    </row>
    <row r="91" spans="1:50" x14ac:dyDescent="0.15">
      <c r="A91" s="11" t="s">
        <v>84</v>
      </c>
      <c r="B91" s="12" t="s">
        <v>57</v>
      </c>
      <c r="C91" s="10" t="s">
        <v>58</v>
      </c>
      <c r="D91" s="10" t="s">
        <v>59</v>
      </c>
      <c r="E91" s="9">
        <v>34</v>
      </c>
      <c r="F91" s="9">
        <v>34</v>
      </c>
      <c r="G91" s="9">
        <v>0</v>
      </c>
      <c r="H91" s="10" t="s">
        <v>59</v>
      </c>
      <c r="I91" s="9">
        <v>1</v>
      </c>
      <c r="J91" s="9">
        <v>0.47475341599783899</v>
      </c>
      <c r="K91" s="10" t="s">
        <v>51</v>
      </c>
      <c r="L91" s="9">
        <v>0</v>
      </c>
      <c r="M91" s="9">
        <v>34</v>
      </c>
      <c r="N91" s="9">
        <v>34</v>
      </c>
      <c r="O91" s="9">
        <v>20</v>
      </c>
      <c r="P91" s="9">
        <v>46.538168749990298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9">
        <v>46.529094916986701</v>
      </c>
      <c r="AC91" s="9">
        <v>46.538168749990298</v>
      </c>
      <c r="AD91" s="9">
        <v>47.023014291990002</v>
      </c>
      <c r="AE91" s="9">
        <v>47.023014291990002</v>
      </c>
      <c r="AF91" s="9">
        <v>47.023014291990002</v>
      </c>
      <c r="AG91" s="9">
        <v>47.508264291987899</v>
      </c>
      <c r="AH91" s="10" t="s">
        <v>59</v>
      </c>
      <c r="AI91" s="9">
        <v>1</v>
      </c>
      <c r="AJ91" s="9">
        <v>0.47475341599783899</v>
      </c>
      <c r="AK91" s="10" t="s">
        <v>51</v>
      </c>
      <c r="AL91" s="8"/>
      <c r="AM91" s="8"/>
      <c r="AN91" s="8"/>
      <c r="AO91" s="8"/>
      <c r="AP91" s="9">
        <v>4</v>
      </c>
      <c r="AQ91" s="9">
        <v>1</v>
      </c>
      <c r="AR91" s="10" t="s">
        <v>98</v>
      </c>
      <c r="AS91" s="10" t="s">
        <v>53</v>
      </c>
      <c r="AT91" s="8"/>
      <c r="AU91" s="10" t="s">
        <v>54</v>
      </c>
      <c r="AV91" s="10" t="s">
        <v>51</v>
      </c>
      <c r="AW91" s="10" t="s">
        <v>99</v>
      </c>
      <c r="AX91" s="8"/>
    </row>
    <row r="92" spans="1:50" x14ac:dyDescent="0.15">
      <c r="A92" s="11" t="s">
        <v>84</v>
      </c>
      <c r="B92" s="12" t="s">
        <v>57</v>
      </c>
      <c r="C92" s="10" t="s">
        <v>58</v>
      </c>
      <c r="D92" s="10" t="s">
        <v>59</v>
      </c>
      <c r="E92" s="9">
        <v>38</v>
      </c>
      <c r="F92" s="9">
        <v>38</v>
      </c>
      <c r="G92" s="9">
        <v>1</v>
      </c>
      <c r="H92" s="10" t="s">
        <v>59</v>
      </c>
      <c r="I92" s="9">
        <v>1</v>
      </c>
      <c r="J92" s="9">
        <v>0.35750179098977197</v>
      </c>
      <c r="K92" s="10" t="s">
        <v>51</v>
      </c>
      <c r="L92" s="9">
        <v>1</v>
      </c>
      <c r="M92" s="9">
        <v>38</v>
      </c>
      <c r="N92" s="9">
        <v>38</v>
      </c>
      <c r="O92" s="9">
        <v>20</v>
      </c>
      <c r="P92" s="9">
        <v>50.994811500000701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9">
        <v>50.985682749989799</v>
      </c>
      <c r="AC92" s="9">
        <v>50.994811500000701</v>
      </c>
      <c r="AD92" s="9">
        <v>51.482570166990598</v>
      </c>
      <c r="AE92" s="9">
        <v>51.482570166990598</v>
      </c>
      <c r="AF92" s="9">
        <v>51.482570166990598</v>
      </c>
      <c r="AG92" s="9">
        <v>51.841773666994399</v>
      </c>
      <c r="AH92" s="10" t="s">
        <v>59</v>
      </c>
      <c r="AI92" s="9">
        <v>1</v>
      </c>
      <c r="AJ92" s="9">
        <v>0.35750179098977197</v>
      </c>
      <c r="AK92" s="10" t="s">
        <v>51</v>
      </c>
      <c r="AL92" s="8"/>
      <c r="AM92" s="8"/>
      <c r="AN92" s="8"/>
      <c r="AO92" s="8"/>
      <c r="AP92" s="9">
        <v>4</v>
      </c>
      <c r="AQ92" s="9">
        <v>1</v>
      </c>
      <c r="AR92" s="10" t="s">
        <v>98</v>
      </c>
      <c r="AS92" s="10" t="s">
        <v>53</v>
      </c>
      <c r="AT92" s="8"/>
      <c r="AU92" s="10" t="s">
        <v>54</v>
      </c>
      <c r="AV92" s="10" t="s">
        <v>51</v>
      </c>
      <c r="AW92" s="10" t="s">
        <v>99</v>
      </c>
      <c r="AX92" s="8"/>
    </row>
    <row r="93" spans="1:50" x14ac:dyDescent="0.15">
      <c r="A93" s="11" t="s">
        <v>68</v>
      </c>
      <c r="B93" s="12" t="s">
        <v>57</v>
      </c>
      <c r="C93" s="10" t="s">
        <v>62</v>
      </c>
      <c r="D93" s="10" t="s">
        <v>63</v>
      </c>
      <c r="E93" s="9">
        <v>40</v>
      </c>
      <c r="F93" s="9">
        <v>40</v>
      </c>
      <c r="G93" s="9">
        <v>0</v>
      </c>
      <c r="H93" s="10" t="s">
        <v>63</v>
      </c>
      <c r="I93" s="9">
        <v>1</v>
      </c>
      <c r="J93" s="9">
        <v>0.58557124900107704</v>
      </c>
      <c r="K93" s="10" t="s">
        <v>51</v>
      </c>
      <c r="L93" s="9">
        <v>0</v>
      </c>
      <c r="M93" s="9">
        <v>40</v>
      </c>
      <c r="N93" s="9">
        <v>40</v>
      </c>
      <c r="O93" s="9">
        <v>23</v>
      </c>
      <c r="P93" s="9">
        <v>52.695445457997302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9">
        <v>52.686282124996097</v>
      </c>
      <c r="AC93" s="9">
        <v>52.695445457997302</v>
      </c>
      <c r="AD93" s="9">
        <v>53.182455292000697</v>
      </c>
      <c r="AE93" s="9">
        <v>53.182455292000697</v>
      </c>
      <c r="AF93" s="9">
        <v>53.182455292000697</v>
      </c>
      <c r="AG93" s="9">
        <v>53.775138957993498</v>
      </c>
      <c r="AH93" s="10" t="s">
        <v>63</v>
      </c>
      <c r="AI93" s="9">
        <v>1</v>
      </c>
      <c r="AJ93" s="9">
        <v>0.58557124900107704</v>
      </c>
      <c r="AK93" s="10" t="s">
        <v>51</v>
      </c>
      <c r="AL93" s="8"/>
      <c r="AM93" s="8"/>
      <c r="AN93" s="8"/>
      <c r="AO93" s="8"/>
      <c r="AP93" s="9">
        <v>4</v>
      </c>
      <c r="AQ93" s="9">
        <v>1</v>
      </c>
      <c r="AR93" s="10" t="s">
        <v>98</v>
      </c>
      <c r="AS93" s="10" t="s">
        <v>53</v>
      </c>
      <c r="AT93" s="8"/>
      <c r="AU93" s="10" t="s">
        <v>54</v>
      </c>
      <c r="AV93" s="10" t="s">
        <v>51</v>
      </c>
      <c r="AW93" s="10" t="s">
        <v>99</v>
      </c>
      <c r="AX93" s="8"/>
    </row>
    <row r="94" spans="1:50" x14ac:dyDescent="0.15">
      <c r="A94" s="11" t="s">
        <v>65</v>
      </c>
      <c r="B94" s="12" t="s">
        <v>57</v>
      </c>
      <c r="C94" s="10" t="s">
        <v>58</v>
      </c>
      <c r="D94" s="10" t="s">
        <v>59</v>
      </c>
      <c r="E94" s="9">
        <v>44</v>
      </c>
      <c r="F94" s="9">
        <v>44</v>
      </c>
      <c r="G94" s="9">
        <v>0</v>
      </c>
      <c r="H94" s="10" t="s">
        <v>59</v>
      </c>
      <c r="I94" s="9">
        <v>1</v>
      </c>
      <c r="J94" s="9">
        <v>0.37407058299868401</v>
      </c>
      <c r="K94" s="10" t="s">
        <v>51</v>
      </c>
      <c r="L94" s="9">
        <v>0</v>
      </c>
      <c r="M94" s="9">
        <v>44</v>
      </c>
      <c r="N94" s="9">
        <v>44</v>
      </c>
      <c r="O94" s="9">
        <v>30</v>
      </c>
      <c r="P94" s="9">
        <v>56.455117499994202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9">
        <v>56.446260457989403</v>
      </c>
      <c r="AC94" s="9">
        <v>56.455117499994202</v>
      </c>
      <c r="AD94" s="9">
        <v>56.939955707988702</v>
      </c>
      <c r="AE94" s="9">
        <v>56.939955707988702</v>
      </c>
      <c r="AF94" s="9">
        <v>56.939955707988702</v>
      </c>
      <c r="AG94" s="9">
        <v>57.325307582999798</v>
      </c>
      <c r="AH94" s="10" t="s">
        <v>59</v>
      </c>
      <c r="AI94" s="9">
        <v>1</v>
      </c>
      <c r="AJ94" s="9">
        <v>0.37407058299868401</v>
      </c>
      <c r="AK94" s="10" t="s">
        <v>51</v>
      </c>
      <c r="AL94" s="8"/>
      <c r="AM94" s="8"/>
      <c r="AN94" s="8"/>
      <c r="AO94" s="8"/>
      <c r="AP94" s="9">
        <v>4</v>
      </c>
      <c r="AQ94" s="9">
        <v>1</v>
      </c>
      <c r="AR94" s="10" t="s">
        <v>98</v>
      </c>
      <c r="AS94" s="10" t="s">
        <v>53</v>
      </c>
      <c r="AT94" s="8"/>
      <c r="AU94" s="10" t="s">
        <v>54</v>
      </c>
      <c r="AV94" s="10" t="s">
        <v>51</v>
      </c>
      <c r="AW94" s="10" t="s">
        <v>99</v>
      </c>
      <c r="AX94" s="8"/>
    </row>
    <row r="95" spans="1:50" x14ac:dyDescent="0.15">
      <c r="A95" s="11" t="s">
        <v>75</v>
      </c>
      <c r="B95" s="12" t="s">
        <v>57</v>
      </c>
      <c r="C95" s="10" t="s">
        <v>58</v>
      </c>
      <c r="D95" s="10" t="s">
        <v>59</v>
      </c>
      <c r="E95" s="9">
        <v>51</v>
      </c>
      <c r="F95" s="9">
        <v>51</v>
      </c>
      <c r="G95" s="9">
        <v>1</v>
      </c>
      <c r="H95" s="10" t="s">
        <v>59</v>
      </c>
      <c r="I95" s="9">
        <v>1</v>
      </c>
      <c r="J95" s="9">
        <v>0.33353379099571601</v>
      </c>
      <c r="K95" s="10" t="s">
        <v>51</v>
      </c>
      <c r="L95" s="9">
        <v>1</v>
      </c>
      <c r="M95" s="9">
        <v>51</v>
      </c>
      <c r="N95" s="9">
        <v>51</v>
      </c>
      <c r="O95" s="9">
        <v>18</v>
      </c>
      <c r="P95" s="9">
        <v>62.495148166999599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9">
        <v>62.485364291991601</v>
      </c>
      <c r="AC95" s="9">
        <v>62.495148166999599</v>
      </c>
      <c r="AD95" s="9">
        <v>62.982759916994802</v>
      </c>
      <c r="AE95" s="9">
        <v>62.982759916994802</v>
      </c>
      <c r="AF95" s="9">
        <v>62.982759916994802</v>
      </c>
      <c r="AG95" s="9">
        <v>63.325520832993803</v>
      </c>
      <c r="AH95" s="10" t="s">
        <v>59</v>
      </c>
      <c r="AI95" s="9">
        <v>1</v>
      </c>
      <c r="AJ95" s="9">
        <v>0.33353379099571601</v>
      </c>
      <c r="AK95" s="10" t="s">
        <v>51</v>
      </c>
      <c r="AL95" s="8"/>
      <c r="AM95" s="8"/>
      <c r="AN95" s="8"/>
      <c r="AO95" s="8"/>
      <c r="AP95" s="9">
        <v>4</v>
      </c>
      <c r="AQ95" s="9">
        <v>1</v>
      </c>
      <c r="AR95" s="10" t="s">
        <v>98</v>
      </c>
      <c r="AS95" s="10" t="s">
        <v>53</v>
      </c>
      <c r="AT95" s="8"/>
      <c r="AU95" s="10" t="s">
        <v>54</v>
      </c>
      <c r="AV95" s="10" t="s">
        <v>51</v>
      </c>
      <c r="AW95" s="10" t="s">
        <v>99</v>
      </c>
      <c r="AX95" s="8"/>
    </row>
    <row r="96" spans="1:50" x14ac:dyDescent="0.15">
      <c r="A96" s="11" t="s">
        <v>65</v>
      </c>
      <c r="B96" s="12" t="s">
        <v>57</v>
      </c>
      <c r="C96" s="10" t="s">
        <v>62</v>
      </c>
      <c r="D96" s="10" t="s">
        <v>63</v>
      </c>
      <c r="E96" s="9">
        <v>54</v>
      </c>
      <c r="F96" s="9">
        <v>54</v>
      </c>
      <c r="G96" s="9">
        <v>0</v>
      </c>
      <c r="H96" s="10" t="s">
        <v>63</v>
      </c>
      <c r="I96" s="9">
        <v>1</v>
      </c>
      <c r="J96" s="9">
        <v>0.46206666699436</v>
      </c>
      <c r="K96" s="10" t="s">
        <v>51</v>
      </c>
      <c r="L96" s="9">
        <v>0</v>
      </c>
      <c r="M96" s="9">
        <v>54</v>
      </c>
      <c r="N96" s="9">
        <v>54</v>
      </c>
      <c r="O96" s="9">
        <v>31</v>
      </c>
      <c r="P96" s="9">
        <v>65.196118957988801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9">
        <v>65.186254374988494</v>
      </c>
      <c r="AC96" s="9">
        <v>65.196118957988801</v>
      </c>
      <c r="AD96" s="9">
        <v>65.683288457992603</v>
      </c>
      <c r="AE96" s="9">
        <v>65.683288457992603</v>
      </c>
      <c r="AF96" s="9">
        <v>65.683288457992603</v>
      </c>
      <c r="AG96" s="9">
        <v>66.148410041991198</v>
      </c>
      <c r="AH96" s="10" t="s">
        <v>63</v>
      </c>
      <c r="AI96" s="9">
        <v>1</v>
      </c>
      <c r="AJ96" s="9">
        <v>0.46206666699436</v>
      </c>
      <c r="AK96" s="10" t="s">
        <v>51</v>
      </c>
      <c r="AL96" s="8"/>
      <c r="AM96" s="8"/>
      <c r="AN96" s="8"/>
      <c r="AO96" s="8"/>
      <c r="AP96" s="9">
        <v>4</v>
      </c>
      <c r="AQ96" s="9">
        <v>1</v>
      </c>
      <c r="AR96" s="10" t="s">
        <v>98</v>
      </c>
      <c r="AS96" s="10" t="s">
        <v>53</v>
      </c>
      <c r="AT96" s="8"/>
      <c r="AU96" s="10" t="s">
        <v>54</v>
      </c>
      <c r="AV96" s="10" t="s">
        <v>51</v>
      </c>
      <c r="AW96" s="10" t="s">
        <v>99</v>
      </c>
      <c r="AX96" s="8"/>
    </row>
    <row r="97" spans="1:50" x14ac:dyDescent="0.15">
      <c r="A97" s="11" t="s">
        <v>71</v>
      </c>
      <c r="B97" s="12" t="s">
        <v>57</v>
      </c>
      <c r="C97" s="10" t="s">
        <v>58</v>
      </c>
      <c r="D97" s="10" t="s">
        <v>59</v>
      </c>
      <c r="E97" s="9">
        <v>58</v>
      </c>
      <c r="F97" s="9">
        <v>58</v>
      </c>
      <c r="G97" s="9">
        <v>0</v>
      </c>
      <c r="H97" s="10" t="s">
        <v>59</v>
      </c>
      <c r="I97" s="9">
        <v>1</v>
      </c>
      <c r="J97" s="9">
        <v>0.351369333002367</v>
      </c>
      <c r="K97" s="10" t="s">
        <v>51</v>
      </c>
      <c r="L97" s="9">
        <v>0</v>
      </c>
      <c r="M97" s="9">
        <v>58</v>
      </c>
      <c r="N97" s="9">
        <v>58</v>
      </c>
      <c r="O97" s="9">
        <v>28</v>
      </c>
      <c r="P97" s="9">
        <v>68.824699082993902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9">
        <v>68.815789000000194</v>
      </c>
      <c r="AC97" s="9">
        <v>68.824699082993902</v>
      </c>
      <c r="AD97" s="9">
        <v>69.306957124994398</v>
      </c>
      <c r="AE97" s="9">
        <v>69.306957124994398</v>
      </c>
      <c r="AF97" s="9">
        <v>69.306957124994398</v>
      </c>
      <c r="AG97" s="9">
        <v>69.665258458000594</v>
      </c>
      <c r="AH97" s="10" t="s">
        <v>59</v>
      </c>
      <c r="AI97" s="9">
        <v>1</v>
      </c>
      <c r="AJ97" s="9">
        <v>0.351369333002367</v>
      </c>
      <c r="AK97" s="10" t="s">
        <v>51</v>
      </c>
      <c r="AL97" s="8"/>
      <c r="AM97" s="8"/>
      <c r="AN97" s="8"/>
      <c r="AO97" s="8"/>
      <c r="AP97" s="9">
        <v>4</v>
      </c>
      <c r="AQ97" s="9">
        <v>1</v>
      </c>
      <c r="AR97" s="10" t="s">
        <v>98</v>
      </c>
      <c r="AS97" s="10" t="s">
        <v>53</v>
      </c>
      <c r="AT97" s="8"/>
      <c r="AU97" s="10" t="s">
        <v>54</v>
      </c>
      <c r="AV97" s="10" t="s">
        <v>51</v>
      </c>
      <c r="AW97" s="10" t="s">
        <v>99</v>
      </c>
      <c r="AX97" s="8"/>
    </row>
    <row r="98" spans="1:50" x14ac:dyDescent="0.15">
      <c r="A98" s="11" t="s">
        <v>75</v>
      </c>
      <c r="B98" s="12" t="s">
        <v>57</v>
      </c>
      <c r="C98" s="10" t="s">
        <v>58</v>
      </c>
      <c r="D98" s="10" t="s">
        <v>59</v>
      </c>
      <c r="E98" s="9">
        <v>65</v>
      </c>
      <c r="F98" s="9">
        <v>65</v>
      </c>
      <c r="G98" s="9">
        <v>2</v>
      </c>
      <c r="H98" s="10" t="s">
        <v>59</v>
      </c>
      <c r="I98" s="9">
        <v>1</v>
      </c>
      <c r="J98" s="9">
        <v>0.48708270800125297</v>
      </c>
      <c r="K98" s="10" t="s">
        <v>51</v>
      </c>
      <c r="L98" s="9">
        <v>2</v>
      </c>
      <c r="M98" s="9">
        <v>65</v>
      </c>
      <c r="N98" s="9">
        <v>65</v>
      </c>
      <c r="O98" s="9">
        <v>18</v>
      </c>
      <c r="P98" s="9">
        <v>75.422176124993697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9">
        <v>75.413349750000606</v>
      </c>
      <c r="AC98" s="9">
        <v>75.422176124993697</v>
      </c>
      <c r="AD98" s="9">
        <v>75.907348749999102</v>
      </c>
      <c r="AE98" s="9">
        <v>75.907348749999102</v>
      </c>
      <c r="AF98" s="9">
        <v>75.907348749999102</v>
      </c>
      <c r="AG98" s="9">
        <v>76.3985499169939</v>
      </c>
      <c r="AH98" s="10" t="s">
        <v>59</v>
      </c>
      <c r="AI98" s="9">
        <v>1</v>
      </c>
      <c r="AJ98" s="9">
        <v>0.48708270800125297</v>
      </c>
      <c r="AK98" s="10" t="s">
        <v>51</v>
      </c>
      <c r="AL98" s="8"/>
      <c r="AM98" s="8"/>
      <c r="AN98" s="8"/>
      <c r="AO98" s="8"/>
      <c r="AP98" s="9">
        <v>4</v>
      </c>
      <c r="AQ98" s="9">
        <v>1</v>
      </c>
      <c r="AR98" s="10" t="s">
        <v>98</v>
      </c>
      <c r="AS98" s="10" t="s">
        <v>53</v>
      </c>
      <c r="AT98" s="8"/>
      <c r="AU98" s="10" t="s">
        <v>54</v>
      </c>
      <c r="AV98" s="10" t="s">
        <v>51</v>
      </c>
      <c r="AW98" s="10" t="s">
        <v>99</v>
      </c>
      <c r="AX98" s="8"/>
    </row>
    <row r="99" spans="1:50" x14ac:dyDescent="0.15">
      <c r="A99" s="11" t="s">
        <v>75</v>
      </c>
      <c r="B99" s="12" t="s">
        <v>57</v>
      </c>
      <c r="C99" s="10" t="s">
        <v>58</v>
      </c>
      <c r="D99" s="10" t="s">
        <v>59</v>
      </c>
      <c r="E99" s="9">
        <v>69</v>
      </c>
      <c r="F99" s="9">
        <v>69</v>
      </c>
      <c r="G99" s="9">
        <v>3</v>
      </c>
      <c r="H99" s="10" t="s">
        <v>59</v>
      </c>
      <c r="I99" s="9">
        <v>1</v>
      </c>
      <c r="J99" s="9">
        <v>0.28614391700830299</v>
      </c>
      <c r="K99" s="10" t="s">
        <v>51</v>
      </c>
      <c r="L99" s="9">
        <v>3</v>
      </c>
      <c r="M99" s="9">
        <v>69</v>
      </c>
      <c r="N99" s="9">
        <v>69</v>
      </c>
      <c r="O99" s="9">
        <v>18</v>
      </c>
      <c r="P99" s="9">
        <v>79.356651957990806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9">
        <v>79.3473094999936</v>
      </c>
      <c r="AC99" s="9">
        <v>79.356651957990806</v>
      </c>
      <c r="AD99" s="9">
        <v>79.8413671249873</v>
      </c>
      <c r="AE99" s="9">
        <v>79.8413671249873</v>
      </c>
      <c r="AF99" s="9">
        <v>79.8413671249873</v>
      </c>
      <c r="AG99" s="9">
        <v>80.132343582998203</v>
      </c>
      <c r="AH99" s="10" t="s">
        <v>59</v>
      </c>
      <c r="AI99" s="9">
        <v>1</v>
      </c>
      <c r="AJ99" s="9">
        <v>0.28614391700830299</v>
      </c>
      <c r="AK99" s="10" t="s">
        <v>51</v>
      </c>
      <c r="AL99" s="8"/>
      <c r="AM99" s="8"/>
      <c r="AN99" s="8"/>
      <c r="AO99" s="8"/>
      <c r="AP99" s="9">
        <v>4</v>
      </c>
      <c r="AQ99" s="9">
        <v>1</v>
      </c>
      <c r="AR99" s="10" t="s">
        <v>98</v>
      </c>
      <c r="AS99" s="10" t="s">
        <v>53</v>
      </c>
      <c r="AT99" s="8"/>
      <c r="AU99" s="10" t="s">
        <v>54</v>
      </c>
      <c r="AV99" s="10" t="s">
        <v>51</v>
      </c>
      <c r="AW99" s="10" t="s">
        <v>99</v>
      </c>
      <c r="AX99" s="8"/>
    </row>
    <row r="100" spans="1:50" x14ac:dyDescent="0.15">
      <c r="A100" s="11" t="s">
        <v>65</v>
      </c>
      <c r="B100" s="12" t="s">
        <v>57</v>
      </c>
      <c r="C100" s="10" t="s">
        <v>58</v>
      </c>
      <c r="D100" s="10" t="s">
        <v>59</v>
      </c>
      <c r="E100" s="9">
        <v>71</v>
      </c>
      <c r="F100" s="9">
        <v>71</v>
      </c>
      <c r="G100" s="9">
        <v>1</v>
      </c>
      <c r="H100" s="10" t="s">
        <v>59</v>
      </c>
      <c r="I100" s="9">
        <v>1</v>
      </c>
      <c r="J100" s="9">
        <v>0.36796866600343497</v>
      </c>
      <c r="K100" s="10" t="s">
        <v>51</v>
      </c>
      <c r="L100" s="9">
        <v>1</v>
      </c>
      <c r="M100" s="9">
        <v>71</v>
      </c>
      <c r="N100" s="9">
        <v>71</v>
      </c>
      <c r="O100" s="9">
        <v>30</v>
      </c>
      <c r="P100" s="9">
        <v>81.057259416993503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9">
        <v>81.0478482499893</v>
      </c>
      <c r="AC100" s="9">
        <v>81.057259416993503</v>
      </c>
      <c r="AD100" s="9">
        <v>81.540700124998693</v>
      </c>
      <c r="AE100" s="9">
        <v>81.540700124998693</v>
      </c>
      <c r="AF100" s="9">
        <v>81.540700124998693</v>
      </c>
      <c r="AG100" s="9">
        <v>81.916053875000202</v>
      </c>
      <c r="AH100" s="10" t="s">
        <v>59</v>
      </c>
      <c r="AI100" s="9">
        <v>1</v>
      </c>
      <c r="AJ100" s="9">
        <v>0.36796866600343497</v>
      </c>
      <c r="AK100" s="10" t="s">
        <v>51</v>
      </c>
      <c r="AL100" s="8"/>
      <c r="AM100" s="8"/>
      <c r="AN100" s="8"/>
      <c r="AO100" s="8"/>
      <c r="AP100" s="9">
        <v>4</v>
      </c>
      <c r="AQ100" s="9">
        <v>1</v>
      </c>
      <c r="AR100" s="10" t="s">
        <v>98</v>
      </c>
      <c r="AS100" s="10" t="s">
        <v>53</v>
      </c>
      <c r="AT100" s="8"/>
      <c r="AU100" s="10" t="s">
        <v>54</v>
      </c>
      <c r="AV100" s="10" t="s">
        <v>51</v>
      </c>
      <c r="AW100" s="10" t="s">
        <v>99</v>
      </c>
      <c r="AX100" s="8"/>
    </row>
    <row r="101" spans="1:50" x14ac:dyDescent="0.15">
      <c r="A101" s="11" t="s">
        <v>84</v>
      </c>
      <c r="B101" s="12" t="s">
        <v>57</v>
      </c>
      <c r="C101" s="10" t="s">
        <v>62</v>
      </c>
      <c r="D101" s="10" t="s">
        <v>63</v>
      </c>
      <c r="E101" s="9">
        <v>72</v>
      </c>
      <c r="F101" s="9">
        <v>72</v>
      </c>
      <c r="G101" s="9">
        <v>0</v>
      </c>
      <c r="H101" s="10" t="s">
        <v>63</v>
      </c>
      <c r="I101" s="9">
        <v>1</v>
      </c>
      <c r="J101" s="9">
        <v>0.32316775000072101</v>
      </c>
      <c r="K101" s="10" t="s">
        <v>51</v>
      </c>
      <c r="L101" s="9">
        <v>0</v>
      </c>
      <c r="M101" s="9">
        <v>72</v>
      </c>
      <c r="N101" s="9">
        <v>72</v>
      </c>
      <c r="O101" s="9">
        <v>21</v>
      </c>
      <c r="P101" s="9">
        <v>81.930055832999599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9">
        <v>81.920077582995901</v>
      </c>
      <c r="AC101" s="9">
        <v>81.930055832999599</v>
      </c>
      <c r="AD101" s="9">
        <v>82.416535083000795</v>
      </c>
      <c r="AE101" s="9">
        <v>82.416535083000795</v>
      </c>
      <c r="AF101" s="9">
        <v>82.416535083000795</v>
      </c>
      <c r="AG101" s="9">
        <v>82.744578916986896</v>
      </c>
      <c r="AH101" s="10" t="s">
        <v>63</v>
      </c>
      <c r="AI101" s="9">
        <v>1</v>
      </c>
      <c r="AJ101" s="9">
        <v>0.32316775000072101</v>
      </c>
      <c r="AK101" s="10" t="s">
        <v>51</v>
      </c>
      <c r="AL101" s="8"/>
      <c r="AM101" s="8"/>
      <c r="AN101" s="8"/>
      <c r="AO101" s="8"/>
      <c r="AP101" s="9">
        <v>4</v>
      </c>
      <c r="AQ101" s="9">
        <v>1</v>
      </c>
      <c r="AR101" s="10" t="s">
        <v>98</v>
      </c>
      <c r="AS101" s="10" t="s">
        <v>53</v>
      </c>
      <c r="AT101" s="8"/>
      <c r="AU101" s="10" t="s">
        <v>54</v>
      </c>
      <c r="AV101" s="10" t="s">
        <v>51</v>
      </c>
      <c r="AW101" s="10" t="s">
        <v>99</v>
      </c>
      <c r="AX101" s="8"/>
    </row>
    <row r="102" spans="1:50" x14ac:dyDescent="0.15">
      <c r="A102" s="11" t="s">
        <v>72</v>
      </c>
      <c r="B102" s="12" t="s">
        <v>57</v>
      </c>
      <c r="C102" s="10" t="s">
        <v>58</v>
      </c>
      <c r="D102" s="10" t="s">
        <v>59</v>
      </c>
      <c r="E102" s="9">
        <v>73</v>
      </c>
      <c r="F102" s="9">
        <v>73</v>
      </c>
      <c r="G102" s="9">
        <v>0</v>
      </c>
      <c r="H102" s="10" t="s">
        <v>63</v>
      </c>
      <c r="I102" s="9">
        <v>0</v>
      </c>
      <c r="J102" s="9">
        <v>0.38735908300441202</v>
      </c>
      <c r="K102" s="10" t="s">
        <v>51</v>
      </c>
      <c r="L102" s="9">
        <v>0</v>
      </c>
      <c r="M102" s="9">
        <v>73</v>
      </c>
      <c r="N102" s="9">
        <v>73</v>
      </c>
      <c r="O102" s="9">
        <v>24</v>
      </c>
      <c r="P102" s="9">
        <v>82.755517749988897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9">
        <v>82.747287291989807</v>
      </c>
      <c r="AC102" s="9">
        <v>82.755517749988897</v>
      </c>
      <c r="AD102" s="9">
        <v>83.241243332988205</v>
      </c>
      <c r="AE102" s="9">
        <v>83.241243332988205</v>
      </c>
      <c r="AF102" s="9">
        <v>83.241243332988205</v>
      </c>
      <c r="AG102" s="9">
        <v>83.635058125000796</v>
      </c>
      <c r="AH102" s="10" t="s">
        <v>63</v>
      </c>
      <c r="AI102" s="9">
        <v>0</v>
      </c>
      <c r="AJ102" s="9">
        <v>0.38735908300441202</v>
      </c>
      <c r="AK102" s="10" t="s">
        <v>51</v>
      </c>
      <c r="AL102" s="8"/>
      <c r="AM102" s="8"/>
      <c r="AN102" s="8"/>
      <c r="AO102" s="8"/>
      <c r="AP102" s="9">
        <v>4</v>
      </c>
      <c r="AQ102" s="9">
        <v>1</v>
      </c>
      <c r="AR102" s="10" t="s">
        <v>98</v>
      </c>
      <c r="AS102" s="10" t="s">
        <v>53</v>
      </c>
      <c r="AT102" s="8"/>
      <c r="AU102" s="10" t="s">
        <v>54</v>
      </c>
      <c r="AV102" s="10" t="s">
        <v>51</v>
      </c>
      <c r="AW102" s="10" t="s">
        <v>99</v>
      </c>
      <c r="AX102" s="8"/>
    </row>
    <row r="103" spans="1:50" x14ac:dyDescent="0.15">
      <c r="A103" s="11" t="s">
        <v>72</v>
      </c>
      <c r="B103" s="12" t="s">
        <v>57</v>
      </c>
      <c r="C103" s="10" t="s">
        <v>62</v>
      </c>
      <c r="D103" s="10" t="s">
        <v>63</v>
      </c>
      <c r="E103" s="9">
        <v>74</v>
      </c>
      <c r="F103" s="9">
        <v>74</v>
      </c>
      <c r="G103" s="9">
        <v>2</v>
      </c>
      <c r="H103" s="10" t="s">
        <v>63</v>
      </c>
      <c r="I103" s="9">
        <v>1</v>
      </c>
      <c r="J103" s="9">
        <v>0.47527645800437301</v>
      </c>
      <c r="K103" s="10" t="s">
        <v>51</v>
      </c>
      <c r="L103" s="9">
        <v>2</v>
      </c>
      <c r="M103" s="9">
        <v>74</v>
      </c>
      <c r="N103" s="9">
        <v>74</v>
      </c>
      <c r="O103" s="9">
        <v>25</v>
      </c>
      <c r="P103" s="9">
        <v>83.646405416991897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9">
        <v>83.636004666987006</v>
      </c>
      <c r="AC103" s="9">
        <v>83.646405416991897</v>
      </c>
      <c r="AD103" s="9">
        <v>84.133338666986702</v>
      </c>
      <c r="AE103" s="9">
        <v>84.133338666986702</v>
      </c>
      <c r="AF103" s="9">
        <v>84.133338666986702</v>
      </c>
      <c r="AG103" s="9">
        <v>84.616146582993693</v>
      </c>
      <c r="AH103" s="10" t="s">
        <v>63</v>
      </c>
      <c r="AI103" s="9">
        <v>1</v>
      </c>
      <c r="AJ103" s="9">
        <v>0.47527645800437301</v>
      </c>
      <c r="AK103" s="10" t="s">
        <v>51</v>
      </c>
      <c r="AL103" s="8"/>
      <c r="AM103" s="8"/>
      <c r="AN103" s="8"/>
      <c r="AO103" s="8"/>
      <c r="AP103" s="9">
        <v>4</v>
      </c>
      <c r="AQ103" s="9">
        <v>1</v>
      </c>
      <c r="AR103" s="10" t="s">
        <v>98</v>
      </c>
      <c r="AS103" s="10" t="s">
        <v>53</v>
      </c>
      <c r="AT103" s="8"/>
      <c r="AU103" s="10" t="s">
        <v>54</v>
      </c>
      <c r="AV103" s="10" t="s">
        <v>51</v>
      </c>
      <c r="AW103" s="10" t="s">
        <v>99</v>
      </c>
      <c r="AX103" s="8"/>
    </row>
    <row r="104" spans="1:50" x14ac:dyDescent="0.15">
      <c r="A104" s="11" t="s">
        <v>84</v>
      </c>
      <c r="B104" s="12" t="s">
        <v>57</v>
      </c>
      <c r="C104" s="10" t="s">
        <v>62</v>
      </c>
      <c r="D104" s="10" t="s">
        <v>63</v>
      </c>
      <c r="E104" s="9">
        <v>75</v>
      </c>
      <c r="F104" s="9">
        <v>75</v>
      </c>
      <c r="G104" s="9">
        <v>1</v>
      </c>
      <c r="H104" s="10" t="s">
        <v>63</v>
      </c>
      <c r="I104" s="9">
        <v>1</v>
      </c>
      <c r="J104" s="9">
        <v>0.78928879200248103</v>
      </c>
      <c r="K104" s="10" t="s">
        <v>51</v>
      </c>
      <c r="L104" s="9">
        <v>1</v>
      </c>
      <c r="M104" s="9">
        <v>75</v>
      </c>
      <c r="N104" s="9">
        <v>75</v>
      </c>
      <c r="O104" s="9">
        <v>21</v>
      </c>
      <c r="P104" s="9">
        <v>84.630158624990102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9">
        <v>84.620563457996496</v>
      </c>
      <c r="AC104" s="9">
        <v>84.630158624990102</v>
      </c>
      <c r="AD104" s="9">
        <v>85.116369374998598</v>
      </c>
      <c r="AE104" s="9">
        <v>85.116369374998598</v>
      </c>
      <c r="AF104" s="9">
        <v>85.116369374998598</v>
      </c>
      <c r="AG104" s="9">
        <v>85.909710832987898</v>
      </c>
      <c r="AH104" s="10" t="s">
        <v>63</v>
      </c>
      <c r="AI104" s="9">
        <v>1</v>
      </c>
      <c r="AJ104" s="9">
        <v>0.78928879200248103</v>
      </c>
      <c r="AK104" s="10" t="s">
        <v>51</v>
      </c>
      <c r="AL104" s="8"/>
      <c r="AM104" s="8"/>
      <c r="AN104" s="8"/>
      <c r="AO104" s="8"/>
      <c r="AP104" s="9">
        <v>4</v>
      </c>
      <c r="AQ104" s="9">
        <v>1</v>
      </c>
      <c r="AR104" s="10" t="s">
        <v>98</v>
      </c>
      <c r="AS104" s="10" t="s">
        <v>53</v>
      </c>
      <c r="AT104" s="8"/>
      <c r="AU104" s="10" t="s">
        <v>54</v>
      </c>
      <c r="AV104" s="10" t="s">
        <v>51</v>
      </c>
      <c r="AW104" s="10" t="s">
        <v>99</v>
      </c>
      <c r="AX104" s="8"/>
    </row>
    <row r="105" spans="1:50" x14ac:dyDescent="0.15">
      <c r="A105" s="11" t="s">
        <v>71</v>
      </c>
      <c r="B105" s="12" t="s">
        <v>57</v>
      </c>
      <c r="C105" s="10" t="s">
        <v>58</v>
      </c>
      <c r="D105" s="10" t="s">
        <v>59</v>
      </c>
      <c r="E105" s="9">
        <v>77</v>
      </c>
      <c r="F105" s="9">
        <v>77</v>
      </c>
      <c r="G105" s="9">
        <v>1</v>
      </c>
      <c r="H105" s="10" t="s">
        <v>59</v>
      </c>
      <c r="I105" s="9">
        <v>1</v>
      </c>
      <c r="J105" s="9">
        <v>0.34669920800661203</v>
      </c>
      <c r="K105" s="10" t="s">
        <v>51</v>
      </c>
      <c r="L105" s="9">
        <v>1</v>
      </c>
      <c r="M105" s="9">
        <v>77</v>
      </c>
      <c r="N105" s="9">
        <v>77</v>
      </c>
      <c r="O105" s="9">
        <v>28</v>
      </c>
      <c r="P105" s="9">
        <v>86.807591042001206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9">
        <v>86.798211582994597</v>
      </c>
      <c r="AC105" s="9">
        <v>86.807591042001206</v>
      </c>
      <c r="AD105" s="9">
        <v>87.290984916995498</v>
      </c>
      <c r="AE105" s="9">
        <v>87.290984916995498</v>
      </c>
      <c r="AF105" s="9">
        <v>87.290984916995498</v>
      </c>
      <c r="AG105" s="9">
        <v>87.643104707996798</v>
      </c>
      <c r="AH105" s="10" t="s">
        <v>59</v>
      </c>
      <c r="AI105" s="9">
        <v>1</v>
      </c>
      <c r="AJ105" s="9">
        <v>0.34669920800661203</v>
      </c>
      <c r="AK105" s="10" t="s">
        <v>51</v>
      </c>
      <c r="AL105" s="8"/>
      <c r="AM105" s="8"/>
      <c r="AN105" s="8"/>
      <c r="AO105" s="8"/>
      <c r="AP105" s="9">
        <v>4</v>
      </c>
      <c r="AQ105" s="9">
        <v>1</v>
      </c>
      <c r="AR105" s="10" t="s">
        <v>98</v>
      </c>
      <c r="AS105" s="10" t="s">
        <v>53</v>
      </c>
      <c r="AT105" s="8"/>
      <c r="AU105" s="10" t="s">
        <v>54</v>
      </c>
      <c r="AV105" s="10" t="s">
        <v>51</v>
      </c>
      <c r="AW105" s="10" t="s">
        <v>99</v>
      </c>
      <c r="AX105" s="8"/>
    </row>
    <row r="106" spans="1:50" x14ac:dyDescent="0.15">
      <c r="A106" s="11" t="s">
        <v>75</v>
      </c>
      <c r="B106" s="12" t="s">
        <v>57</v>
      </c>
      <c r="C106" s="10" t="s">
        <v>58</v>
      </c>
      <c r="D106" s="10" t="s">
        <v>59</v>
      </c>
      <c r="E106" s="9">
        <v>78</v>
      </c>
      <c r="F106" s="9">
        <v>78</v>
      </c>
      <c r="G106" s="9">
        <v>4</v>
      </c>
      <c r="H106" s="10" t="s">
        <v>59</v>
      </c>
      <c r="I106" s="9">
        <v>1</v>
      </c>
      <c r="J106" s="9">
        <v>0.37573104200419</v>
      </c>
      <c r="K106" s="10" t="s">
        <v>51</v>
      </c>
      <c r="L106" s="9">
        <v>4</v>
      </c>
      <c r="M106" s="9">
        <v>78</v>
      </c>
      <c r="N106" s="9">
        <v>78</v>
      </c>
      <c r="O106" s="9">
        <v>18</v>
      </c>
      <c r="P106" s="9">
        <v>87.656921624991796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9">
        <v>87.647870124987094</v>
      </c>
      <c r="AC106" s="9">
        <v>87.656921624991796</v>
      </c>
      <c r="AD106" s="9">
        <v>88.140995416994002</v>
      </c>
      <c r="AE106" s="9">
        <v>88.140995416994002</v>
      </c>
      <c r="AF106" s="9">
        <v>88.140995416994002</v>
      </c>
      <c r="AG106" s="9">
        <v>88.526473416990498</v>
      </c>
      <c r="AH106" s="10" t="s">
        <v>59</v>
      </c>
      <c r="AI106" s="9">
        <v>1</v>
      </c>
      <c r="AJ106" s="9">
        <v>0.37573104200419</v>
      </c>
      <c r="AK106" s="10" t="s">
        <v>51</v>
      </c>
      <c r="AL106" s="8"/>
      <c r="AM106" s="8"/>
      <c r="AN106" s="8"/>
      <c r="AO106" s="8"/>
      <c r="AP106" s="9">
        <v>4</v>
      </c>
      <c r="AQ106" s="9">
        <v>1</v>
      </c>
      <c r="AR106" s="10" t="s">
        <v>98</v>
      </c>
      <c r="AS106" s="10" t="s">
        <v>53</v>
      </c>
      <c r="AT106" s="8"/>
      <c r="AU106" s="10" t="s">
        <v>54</v>
      </c>
      <c r="AV106" s="10" t="s">
        <v>51</v>
      </c>
      <c r="AW106" s="10" t="s">
        <v>99</v>
      </c>
      <c r="AX106" s="8"/>
    </row>
    <row r="107" spans="1:50" x14ac:dyDescent="0.15">
      <c r="A107" s="11" t="s">
        <v>68</v>
      </c>
      <c r="B107" s="12" t="s">
        <v>57</v>
      </c>
      <c r="C107" s="10" t="s">
        <v>62</v>
      </c>
      <c r="D107" s="10" t="s">
        <v>63</v>
      </c>
      <c r="E107" s="9">
        <v>79</v>
      </c>
      <c r="F107" s="9">
        <v>79</v>
      </c>
      <c r="G107" s="9">
        <v>1</v>
      </c>
      <c r="H107" s="10" t="s">
        <v>63</v>
      </c>
      <c r="I107" s="9">
        <v>1</v>
      </c>
      <c r="J107" s="9">
        <v>0.52744624999468204</v>
      </c>
      <c r="K107" s="10" t="s">
        <v>51</v>
      </c>
      <c r="L107" s="9">
        <v>1</v>
      </c>
      <c r="M107" s="9">
        <v>79</v>
      </c>
      <c r="N107" s="9">
        <v>79</v>
      </c>
      <c r="O107" s="9">
        <v>23</v>
      </c>
      <c r="P107" s="9">
        <v>88.541928457998395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9">
        <v>88.532806707997196</v>
      </c>
      <c r="AC107" s="9">
        <v>88.541928457998395</v>
      </c>
      <c r="AD107" s="9">
        <v>89.024327874998605</v>
      </c>
      <c r="AE107" s="9">
        <v>89.024327874998605</v>
      </c>
      <c r="AF107" s="9">
        <v>89.024327874998605</v>
      </c>
      <c r="AG107" s="9">
        <v>89.559980874997606</v>
      </c>
      <c r="AH107" s="10" t="s">
        <v>63</v>
      </c>
      <c r="AI107" s="9">
        <v>1</v>
      </c>
      <c r="AJ107" s="9">
        <v>0.52744624999468204</v>
      </c>
      <c r="AK107" s="10" t="s">
        <v>51</v>
      </c>
      <c r="AL107" s="8"/>
      <c r="AM107" s="8"/>
      <c r="AN107" s="8"/>
      <c r="AO107" s="8"/>
      <c r="AP107" s="9">
        <v>4</v>
      </c>
      <c r="AQ107" s="9">
        <v>1</v>
      </c>
      <c r="AR107" s="10" t="s">
        <v>98</v>
      </c>
      <c r="AS107" s="10" t="s">
        <v>53</v>
      </c>
      <c r="AT107" s="8"/>
      <c r="AU107" s="10" t="s">
        <v>54</v>
      </c>
      <c r="AV107" s="10" t="s">
        <v>51</v>
      </c>
      <c r="AW107" s="10" t="s">
        <v>99</v>
      </c>
      <c r="AX107" s="8"/>
    </row>
    <row r="108" spans="1:50" x14ac:dyDescent="0.15">
      <c r="A108" s="11" t="s">
        <v>68</v>
      </c>
      <c r="B108" s="12" t="s">
        <v>57</v>
      </c>
      <c r="C108" s="10" t="s">
        <v>58</v>
      </c>
      <c r="D108" s="10" t="s">
        <v>59</v>
      </c>
      <c r="E108" s="9">
        <v>81</v>
      </c>
      <c r="F108" s="9">
        <v>81</v>
      </c>
      <c r="G108" s="9">
        <v>2</v>
      </c>
      <c r="H108" s="10" t="s">
        <v>59</v>
      </c>
      <c r="I108" s="9">
        <v>1</v>
      </c>
      <c r="J108" s="9">
        <v>0.36069841599965002</v>
      </c>
      <c r="K108" s="10" t="s">
        <v>51</v>
      </c>
      <c r="L108" s="9">
        <v>2</v>
      </c>
      <c r="M108" s="9">
        <v>81</v>
      </c>
      <c r="N108" s="9">
        <v>81</v>
      </c>
      <c r="O108" s="9">
        <v>22</v>
      </c>
      <c r="P108" s="9">
        <v>90.530609207999106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9">
        <v>90.520317916991203</v>
      </c>
      <c r="AC108" s="9">
        <v>90.530609207999106</v>
      </c>
      <c r="AD108" s="9">
        <v>91.017054832991604</v>
      </c>
      <c r="AE108" s="9">
        <v>91.017054832991604</v>
      </c>
      <c r="AF108" s="9">
        <v>91.017054832991604</v>
      </c>
      <c r="AG108" s="9">
        <v>91.382465082991999</v>
      </c>
      <c r="AH108" s="10" t="s">
        <v>59</v>
      </c>
      <c r="AI108" s="9">
        <v>1</v>
      </c>
      <c r="AJ108" s="9">
        <v>0.36069841599965002</v>
      </c>
      <c r="AK108" s="10" t="s">
        <v>51</v>
      </c>
      <c r="AL108" s="8"/>
      <c r="AM108" s="8"/>
      <c r="AN108" s="8"/>
      <c r="AO108" s="8"/>
      <c r="AP108" s="9">
        <v>4</v>
      </c>
      <c r="AQ108" s="9">
        <v>1</v>
      </c>
      <c r="AR108" s="10" t="s">
        <v>98</v>
      </c>
      <c r="AS108" s="10" t="s">
        <v>53</v>
      </c>
      <c r="AT108" s="8"/>
      <c r="AU108" s="10" t="s">
        <v>54</v>
      </c>
      <c r="AV108" s="10" t="s">
        <v>51</v>
      </c>
      <c r="AW108" s="10" t="s">
        <v>99</v>
      </c>
      <c r="AX108" s="8"/>
    </row>
    <row r="109" spans="1:50" x14ac:dyDescent="0.15">
      <c r="A109" s="11" t="s">
        <v>84</v>
      </c>
      <c r="B109" s="12" t="s">
        <v>57</v>
      </c>
      <c r="C109" s="10" t="s">
        <v>62</v>
      </c>
      <c r="D109" s="10" t="s">
        <v>63</v>
      </c>
      <c r="E109" s="9">
        <v>83</v>
      </c>
      <c r="F109" s="9">
        <v>83</v>
      </c>
      <c r="G109" s="9">
        <v>2</v>
      </c>
      <c r="H109" s="10" t="s">
        <v>63</v>
      </c>
      <c r="I109" s="9">
        <v>1</v>
      </c>
      <c r="J109" s="9">
        <v>0.40329774998826901</v>
      </c>
      <c r="K109" s="10" t="s">
        <v>51</v>
      </c>
      <c r="L109" s="9">
        <v>2</v>
      </c>
      <c r="M109" s="9">
        <v>83</v>
      </c>
      <c r="N109" s="9">
        <v>83</v>
      </c>
      <c r="O109" s="9">
        <v>21</v>
      </c>
      <c r="P109" s="9">
        <v>92.190820832998696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9">
        <v>92.181937374989502</v>
      </c>
      <c r="AC109" s="9">
        <v>92.190820832998696</v>
      </c>
      <c r="AD109" s="9">
        <v>92.674461999995401</v>
      </c>
      <c r="AE109" s="9">
        <v>92.674461999995401</v>
      </c>
      <c r="AF109" s="9">
        <v>92.674461999995401</v>
      </c>
      <c r="AG109" s="9">
        <v>93.082503832993098</v>
      </c>
      <c r="AH109" s="10" t="s">
        <v>63</v>
      </c>
      <c r="AI109" s="9">
        <v>1</v>
      </c>
      <c r="AJ109" s="9">
        <v>0.40329774998826901</v>
      </c>
      <c r="AK109" s="10" t="s">
        <v>51</v>
      </c>
      <c r="AL109" s="8"/>
      <c r="AM109" s="8"/>
      <c r="AN109" s="8"/>
      <c r="AO109" s="8"/>
      <c r="AP109" s="9">
        <v>4</v>
      </c>
      <c r="AQ109" s="9">
        <v>1</v>
      </c>
      <c r="AR109" s="10" t="s">
        <v>98</v>
      </c>
      <c r="AS109" s="10" t="s">
        <v>53</v>
      </c>
      <c r="AT109" s="8"/>
      <c r="AU109" s="10" t="s">
        <v>54</v>
      </c>
      <c r="AV109" s="10" t="s">
        <v>51</v>
      </c>
      <c r="AW109" s="10" t="s">
        <v>99</v>
      </c>
      <c r="AX109" s="8"/>
    </row>
    <row r="110" spans="1:50" x14ac:dyDescent="0.15">
      <c r="A110" s="11" t="s">
        <v>72</v>
      </c>
      <c r="B110" s="12" t="s">
        <v>57</v>
      </c>
      <c r="C110" s="10" t="s">
        <v>62</v>
      </c>
      <c r="D110" s="10" t="s">
        <v>63</v>
      </c>
      <c r="E110" s="9">
        <v>84</v>
      </c>
      <c r="F110" s="9">
        <v>84</v>
      </c>
      <c r="G110" s="9">
        <v>3</v>
      </c>
      <c r="H110" s="10" t="s">
        <v>63</v>
      </c>
      <c r="I110" s="9">
        <v>1</v>
      </c>
      <c r="J110" s="9">
        <v>0.30514599900925499</v>
      </c>
      <c r="K110" s="10" t="s">
        <v>51</v>
      </c>
      <c r="L110" s="9">
        <v>3</v>
      </c>
      <c r="M110" s="9">
        <v>84</v>
      </c>
      <c r="N110" s="9">
        <v>84</v>
      </c>
      <c r="O110" s="9">
        <v>25</v>
      </c>
      <c r="P110" s="9">
        <v>93.096830541995601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9">
        <v>93.087559374995195</v>
      </c>
      <c r="AC110" s="9">
        <v>93.096830541995601</v>
      </c>
      <c r="AD110" s="9">
        <v>93.583686499987394</v>
      </c>
      <c r="AE110" s="9">
        <v>93.583686499987394</v>
      </c>
      <c r="AF110" s="9">
        <v>93.583686499987394</v>
      </c>
      <c r="AG110" s="9">
        <v>93.893318832997494</v>
      </c>
      <c r="AH110" s="10" t="s">
        <v>63</v>
      </c>
      <c r="AI110" s="9">
        <v>1</v>
      </c>
      <c r="AJ110" s="9">
        <v>0.30514599900925499</v>
      </c>
      <c r="AK110" s="10" t="s">
        <v>51</v>
      </c>
      <c r="AL110" s="8"/>
      <c r="AM110" s="8"/>
      <c r="AN110" s="8"/>
      <c r="AO110" s="8"/>
      <c r="AP110" s="9">
        <v>4</v>
      </c>
      <c r="AQ110" s="9">
        <v>1</v>
      </c>
      <c r="AR110" s="10" t="s">
        <v>98</v>
      </c>
      <c r="AS110" s="10" t="s">
        <v>53</v>
      </c>
      <c r="AT110" s="8"/>
      <c r="AU110" s="10" t="s">
        <v>54</v>
      </c>
      <c r="AV110" s="10" t="s">
        <v>51</v>
      </c>
      <c r="AW110" s="10" t="s">
        <v>99</v>
      </c>
      <c r="AX110" s="8"/>
    </row>
    <row r="111" spans="1:50" x14ac:dyDescent="0.15">
      <c r="A111" s="11" t="s">
        <v>75</v>
      </c>
      <c r="B111" s="12" t="s">
        <v>57</v>
      </c>
      <c r="C111" s="10" t="s">
        <v>62</v>
      </c>
      <c r="D111" s="10" t="s">
        <v>63</v>
      </c>
      <c r="E111" s="9">
        <v>85</v>
      </c>
      <c r="F111" s="9">
        <v>85</v>
      </c>
      <c r="G111" s="9">
        <v>0</v>
      </c>
      <c r="H111" s="10" t="s">
        <v>63</v>
      </c>
      <c r="I111" s="9">
        <v>1</v>
      </c>
      <c r="J111" s="9">
        <v>0.31266866700025298</v>
      </c>
      <c r="K111" s="10" t="s">
        <v>51</v>
      </c>
      <c r="L111" s="9">
        <v>0</v>
      </c>
      <c r="M111" s="9">
        <v>85</v>
      </c>
      <c r="N111" s="9">
        <v>85</v>
      </c>
      <c r="O111" s="9">
        <v>19</v>
      </c>
      <c r="P111" s="9">
        <v>93.906827707993202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9">
        <v>93.897951999999407</v>
      </c>
      <c r="AC111" s="9">
        <v>93.906827707993202</v>
      </c>
      <c r="AD111" s="9">
        <v>94.391193374991403</v>
      </c>
      <c r="AE111" s="9">
        <v>94.391193374991403</v>
      </c>
      <c r="AF111" s="9">
        <v>94.391193374991403</v>
      </c>
      <c r="AG111" s="9">
        <v>94.709762291997293</v>
      </c>
      <c r="AH111" s="10" t="s">
        <v>63</v>
      </c>
      <c r="AI111" s="9">
        <v>1</v>
      </c>
      <c r="AJ111" s="9">
        <v>0.31266866700025298</v>
      </c>
      <c r="AK111" s="10" t="s">
        <v>51</v>
      </c>
      <c r="AL111" s="8"/>
      <c r="AM111" s="8"/>
      <c r="AN111" s="8"/>
      <c r="AO111" s="8"/>
      <c r="AP111" s="9">
        <v>4</v>
      </c>
      <c r="AQ111" s="9">
        <v>1</v>
      </c>
      <c r="AR111" s="10" t="s">
        <v>98</v>
      </c>
      <c r="AS111" s="10" t="s">
        <v>53</v>
      </c>
      <c r="AT111" s="8"/>
      <c r="AU111" s="10" t="s">
        <v>54</v>
      </c>
      <c r="AV111" s="10" t="s">
        <v>51</v>
      </c>
      <c r="AW111" s="10" t="s">
        <v>99</v>
      </c>
      <c r="AX111" s="8"/>
    </row>
    <row r="112" spans="1:50" x14ac:dyDescent="0.15">
      <c r="A112" s="11" t="s">
        <v>72</v>
      </c>
      <c r="B112" s="12" t="s">
        <v>57</v>
      </c>
      <c r="C112" s="10" t="s">
        <v>58</v>
      </c>
      <c r="D112" s="10" t="s">
        <v>59</v>
      </c>
      <c r="E112" s="9">
        <v>89</v>
      </c>
      <c r="F112" s="9">
        <v>89</v>
      </c>
      <c r="G112" s="9">
        <v>1</v>
      </c>
      <c r="H112" s="10" t="s">
        <v>59</v>
      </c>
      <c r="I112" s="9">
        <v>1</v>
      </c>
      <c r="J112" s="9">
        <v>0.26117566699395001</v>
      </c>
      <c r="K112" s="10" t="s">
        <v>51</v>
      </c>
      <c r="L112" s="9">
        <v>1</v>
      </c>
      <c r="M112" s="9">
        <v>89</v>
      </c>
      <c r="N112" s="9">
        <v>89</v>
      </c>
      <c r="O112" s="9">
        <v>24</v>
      </c>
      <c r="P112" s="9">
        <v>97.390479582987595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9">
        <v>97.381143249993301</v>
      </c>
      <c r="AC112" s="9">
        <v>97.390479582987595</v>
      </c>
      <c r="AD112" s="9">
        <v>97.874779957986902</v>
      </c>
      <c r="AE112" s="9">
        <v>97.874779957986902</v>
      </c>
      <c r="AF112" s="9">
        <v>97.874779957986902</v>
      </c>
      <c r="AG112" s="9">
        <v>98.143441583000794</v>
      </c>
      <c r="AH112" s="10" t="s">
        <v>59</v>
      </c>
      <c r="AI112" s="9">
        <v>1</v>
      </c>
      <c r="AJ112" s="9">
        <v>0.26117566699395001</v>
      </c>
      <c r="AK112" s="10" t="s">
        <v>51</v>
      </c>
      <c r="AL112" s="8"/>
      <c r="AM112" s="8"/>
      <c r="AN112" s="8"/>
      <c r="AO112" s="8"/>
      <c r="AP112" s="9">
        <v>4</v>
      </c>
      <c r="AQ112" s="9">
        <v>1</v>
      </c>
      <c r="AR112" s="10" t="s">
        <v>98</v>
      </c>
      <c r="AS112" s="10" t="s">
        <v>53</v>
      </c>
      <c r="AT112" s="8"/>
      <c r="AU112" s="10" t="s">
        <v>54</v>
      </c>
      <c r="AV112" s="10" t="s">
        <v>51</v>
      </c>
      <c r="AW112" s="10" t="s">
        <v>99</v>
      </c>
      <c r="AX112" s="8"/>
    </row>
    <row r="113" spans="1:50" x14ac:dyDescent="0.15">
      <c r="A113" s="11" t="s">
        <v>65</v>
      </c>
      <c r="B113" s="12" t="s">
        <v>57</v>
      </c>
      <c r="C113" s="10" t="s">
        <v>62</v>
      </c>
      <c r="D113" s="10" t="s">
        <v>63</v>
      </c>
      <c r="E113" s="9">
        <v>92</v>
      </c>
      <c r="F113" s="9">
        <v>92</v>
      </c>
      <c r="G113" s="9">
        <v>1</v>
      </c>
      <c r="H113" s="10" t="s">
        <v>63</v>
      </c>
      <c r="I113" s="9">
        <v>1</v>
      </c>
      <c r="J113" s="9">
        <v>0.36869291700713802</v>
      </c>
      <c r="K113" s="10" t="s">
        <v>51</v>
      </c>
      <c r="L113" s="9">
        <v>1</v>
      </c>
      <c r="M113" s="9">
        <v>92</v>
      </c>
      <c r="N113" s="9">
        <v>92</v>
      </c>
      <c r="O113" s="9">
        <v>31</v>
      </c>
      <c r="P113" s="9">
        <v>99.823237124990598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9">
        <v>99.814292791998</v>
      </c>
      <c r="AC113" s="9">
        <v>99.823237124990598</v>
      </c>
      <c r="AD113" s="9">
        <v>100.308248292</v>
      </c>
      <c r="AE113" s="9">
        <v>100.308248292</v>
      </c>
      <c r="AF113" s="9">
        <v>100.308248292</v>
      </c>
      <c r="AG113" s="9">
        <v>100.683256582997</v>
      </c>
      <c r="AH113" s="10" t="s">
        <v>63</v>
      </c>
      <c r="AI113" s="9">
        <v>1</v>
      </c>
      <c r="AJ113" s="9">
        <v>0.36869291700713802</v>
      </c>
      <c r="AK113" s="10" t="s">
        <v>51</v>
      </c>
      <c r="AL113" s="8"/>
      <c r="AM113" s="8"/>
      <c r="AN113" s="8"/>
      <c r="AO113" s="8"/>
      <c r="AP113" s="9">
        <v>4</v>
      </c>
      <c r="AQ113" s="9">
        <v>1</v>
      </c>
      <c r="AR113" s="10" t="s">
        <v>98</v>
      </c>
      <c r="AS113" s="10" t="s">
        <v>53</v>
      </c>
      <c r="AT113" s="8"/>
      <c r="AU113" s="10" t="s">
        <v>54</v>
      </c>
      <c r="AV113" s="10" t="s">
        <v>51</v>
      </c>
      <c r="AW113" s="10" t="s">
        <v>99</v>
      </c>
      <c r="AX113" s="8"/>
    </row>
    <row r="114" spans="1:50" x14ac:dyDescent="0.15">
      <c r="A114" s="11" t="s">
        <v>72</v>
      </c>
      <c r="B114" s="12" t="s">
        <v>57</v>
      </c>
      <c r="C114" s="10" t="s">
        <v>58</v>
      </c>
      <c r="D114" s="10" t="s">
        <v>59</v>
      </c>
      <c r="E114" s="9">
        <v>94</v>
      </c>
      <c r="F114" s="9">
        <v>94</v>
      </c>
      <c r="G114" s="9">
        <v>2</v>
      </c>
      <c r="H114" s="10" t="s">
        <v>59</v>
      </c>
      <c r="I114" s="9">
        <v>1</v>
      </c>
      <c r="J114" s="9">
        <v>0.44124370798817802</v>
      </c>
      <c r="K114" s="10" t="s">
        <v>51</v>
      </c>
      <c r="L114" s="9">
        <v>2</v>
      </c>
      <c r="M114" s="9">
        <v>94</v>
      </c>
      <c r="N114" s="9">
        <v>94</v>
      </c>
      <c r="O114" s="9">
        <v>24</v>
      </c>
      <c r="P114" s="9">
        <v>101.58112591699999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9">
        <v>101.572199457994</v>
      </c>
      <c r="AC114" s="9">
        <v>101.58112591699999</v>
      </c>
      <c r="AD114" s="9">
        <v>102.067570332991</v>
      </c>
      <c r="AE114" s="9">
        <v>102.067570332991</v>
      </c>
      <c r="AF114" s="9">
        <v>102.067570332991</v>
      </c>
      <c r="AG114" s="9">
        <v>102.515355999989</v>
      </c>
      <c r="AH114" s="10" t="s">
        <v>59</v>
      </c>
      <c r="AI114" s="9">
        <v>1</v>
      </c>
      <c r="AJ114" s="9">
        <v>0.44124370798817802</v>
      </c>
      <c r="AK114" s="10" t="s">
        <v>51</v>
      </c>
      <c r="AL114" s="8"/>
      <c r="AM114" s="8"/>
      <c r="AN114" s="8"/>
      <c r="AO114" s="8"/>
      <c r="AP114" s="9">
        <v>4</v>
      </c>
      <c r="AQ114" s="9">
        <v>1</v>
      </c>
      <c r="AR114" s="10" t="s">
        <v>98</v>
      </c>
      <c r="AS114" s="10" t="s">
        <v>53</v>
      </c>
      <c r="AT114" s="8"/>
      <c r="AU114" s="10" t="s">
        <v>54</v>
      </c>
      <c r="AV114" s="10" t="s">
        <v>51</v>
      </c>
      <c r="AW114" s="10" t="s">
        <v>99</v>
      </c>
      <c r="AX114" s="8"/>
    </row>
    <row r="115" spans="1:50" x14ac:dyDescent="0.15">
      <c r="A115" s="11" t="s">
        <v>68</v>
      </c>
      <c r="B115" s="12" t="s">
        <v>57</v>
      </c>
      <c r="C115" s="10" t="s">
        <v>58</v>
      </c>
      <c r="D115" s="10" t="s">
        <v>59</v>
      </c>
      <c r="E115" s="9">
        <v>96</v>
      </c>
      <c r="F115" s="9">
        <v>96</v>
      </c>
      <c r="G115" s="9">
        <v>3</v>
      </c>
      <c r="H115" s="10" t="s">
        <v>59</v>
      </c>
      <c r="I115" s="9">
        <v>1</v>
      </c>
      <c r="J115" s="9">
        <v>0.28440404099819699</v>
      </c>
      <c r="K115" s="10" t="s">
        <v>51</v>
      </c>
      <c r="L115" s="9">
        <v>3</v>
      </c>
      <c r="M115" s="9">
        <v>96</v>
      </c>
      <c r="N115" s="9">
        <v>96</v>
      </c>
      <c r="O115" s="9">
        <v>22</v>
      </c>
      <c r="P115" s="9">
        <v>103.31475795799599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9">
        <v>103.30554816698699</v>
      </c>
      <c r="AC115" s="9">
        <v>103.31475795799599</v>
      </c>
      <c r="AD115" s="9">
        <v>103.798660791988</v>
      </c>
      <c r="AE115" s="9">
        <v>103.798660791988</v>
      </c>
      <c r="AF115" s="9">
        <v>103.798660791988</v>
      </c>
      <c r="AG115" s="9">
        <v>104.09427954199801</v>
      </c>
      <c r="AH115" s="10" t="s">
        <v>59</v>
      </c>
      <c r="AI115" s="9">
        <v>1</v>
      </c>
      <c r="AJ115" s="9">
        <v>0.28440404099819699</v>
      </c>
      <c r="AK115" s="10" t="s">
        <v>51</v>
      </c>
      <c r="AL115" s="8"/>
      <c r="AM115" s="8"/>
      <c r="AN115" s="8"/>
      <c r="AO115" s="8"/>
      <c r="AP115" s="9">
        <v>4</v>
      </c>
      <c r="AQ115" s="9">
        <v>1</v>
      </c>
      <c r="AR115" s="10" t="s">
        <v>98</v>
      </c>
      <c r="AS115" s="10" t="s">
        <v>53</v>
      </c>
      <c r="AT115" s="8"/>
      <c r="AU115" s="10" t="s">
        <v>54</v>
      </c>
      <c r="AV115" s="10" t="s">
        <v>51</v>
      </c>
      <c r="AW115" s="10" t="s">
        <v>99</v>
      </c>
      <c r="AX115" s="8"/>
    </row>
    <row r="116" spans="1:50" x14ac:dyDescent="0.15">
      <c r="A116" s="11" t="s">
        <v>78</v>
      </c>
      <c r="B116" s="12" t="s">
        <v>57</v>
      </c>
      <c r="C116" s="10" t="s">
        <v>62</v>
      </c>
      <c r="D116" s="10" t="s">
        <v>63</v>
      </c>
      <c r="E116" s="9">
        <v>98</v>
      </c>
      <c r="F116" s="9">
        <v>98</v>
      </c>
      <c r="G116" s="9">
        <v>0</v>
      </c>
      <c r="H116" s="10" t="s">
        <v>63</v>
      </c>
      <c r="I116" s="9">
        <v>1</v>
      </c>
      <c r="J116" s="9">
        <v>0.42812612499983499</v>
      </c>
      <c r="K116" s="10" t="s">
        <v>51</v>
      </c>
      <c r="L116" s="9">
        <v>0</v>
      </c>
      <c r="M116" s="9">
        <v>98</v>
      </c>
      <c r="N116" s="9">
        <v>98</v>
      </c>
      <c r="O116" s="9">
        <v>27</v>
      </c>
      <c r="P116" s="9">
        <v>105.33111591699701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9">
        <v>105.32143337499301</v>
      </c>
      <c r="AC116" s="9">
        <v>105.33111591699701</v>
      </c>
      <c r="AD116" s="9">
        <v>105.81790112498901</v>
      </c>
      <c r="AE116" s="9">
        <v>105.81790112498901</v>
      </c>
      <c r="AF116" s="9">
        <v>105.81790112498901</v>
      </c>
      <c r="AG116" s="9">
        <v>106.249493291994</v>
      </c>
      <c r="AH116" s="10" t="s">
        <v>63</v>
      </c>
      <c r="AI116" s="9">
        <v>1</v>
      </c>
      <c r="AJ116" s="9">
        <v>0.42812612499983499</v>
      </c>
      <c r="AK116" s="10" t="s">
        <v>51</v>
      </c>
      <c r="AL116" s="8"/>
      <c r="AM116" s="8"/>
      <c r="AN116" s="8"/>
      <c r="AO116" s="8"/>
      <c r="AP116" s="9">
        <v>4</v>
      </c>
      <c r="AQ116" s="9">
        <v>1</v>
      </c>
      <c r="AR116" s="10" t="s">
        <v>98</v>
      </c>
      <c r="AS116" s="10" t="s">
        <v>53</v>
      </c>
      <c r="AT116" s="8"/>
      <c r="AU116" s="10" t="s">
        <v>54</v>
      </c>
      <c r="AV116" s="10" t="s">
        <v>51</v>
      </c>
      <c r="AW116" s="10" t="s">
        <v>99</v>
      </c>
      <c r="AX116" s="8"/>
    </row>
    <row r="117" spans="1:50" x14ac:dyDescent="0.15">
      <c r="A117" s="11" t="s">
        <v>75</v>
      </c>
      <c r="B117" s="12" t="s">
        <v>57</v>
      </c>
      <c r="C117" s="10" t="s">
        <v>62</v>
      </c>
      <c r="D117" s="10" t="s">
        <v>63</v>
      </c>
      <c r="E117" s="9">
        <v>100</v>
      </c>
      <c r="F117" s="9">
        <v>100</v>
      </c>
      <c r="G117" s="9">
        <v>1</v>
      </c>
      <c r="H117" s="10" t="s">
        <v>63</v>
      </c>
      <c r="I117" s="9">
        <v>1</v>
      </c>
      <c r="J117" s="9">
        <v>0.37017183301213702</v>
      </c>
      <c r="K117" s="10" t="s">
        <v>51</v>
      </c>
      <c r="L117" s="9">
        <v>1</v>
      </c>
      <c r="M117" s="9">
        <v>100</v>
      </c>
      <c r="N117" s="9">
        <v>100</v>
      </c>
      <c r="O117" s="9">
        <v>19</v>
      </c>
      <c r="P117" s="9">
        <v>107.11408291698901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9">
        <v>107.104635124997</v>
      </c>
      <c r="AC117" s="9">
        <v>107.11408291698901</v>
      </c>
      <c r="AD117" s="9">
        <v>107.600989207989</v>
      </c>
      <c r="AE117" s="9">
        <v>107.600989207989</v>
      </c>
      <c r="AF117" s="9">
        <v>107.600989207989</v>
      </c>
      <c r="AG117" s="9">
        <v>107.977499916989</v>
      </c>
      <c r="AH117" s="10" t="s">
        <v>63</v>
      </c>
      <c r="AI117" s="9">
        <v>1</v>
      </c>
      <c r="AJ117" s="9">
        <v>0.37017183301213702</v>
      </c>
      <c r="AK117" s="10" t="s">
        <v>51</v>
      </c>
      <c r="AL117" s="8"/>
      <c r="AM117" s="8"/>
      <c r="AN117" s="8"/>
      <c r="AO117" s="8"/>
      <c r="AP117" s="9">
        <v>4</v>
      </c>
      <c r="AQ117" s="9">
        <v>1</v>
      </c>
      <c r="AR117" s="10" t="s">
        <v>98</v>
      </c>
      <c r="AS117" s="10" t="s">
        <v>53</v>
      </c>
      <c r="AT117" s="8"/>
      <c r="AU117" s="10" t="s">
        <v>54</v>
      </c>
      <c r="AV117" s="10" t="s">
        <v>51</v>
      </c>
      <c r="AW117" s="10" t="s">
        <v>99</v>
      </c>
      <c r="AX117" s="8"/>
    </row>
    <row r="118" spans="1:50" x14ac:dyDescent="0.15">
      <c r="A118" s="11" t="s">
        <v>56</v>
      </c>
      <c r="B118" s="12" t="s">
        <v>57</v>
      </c>
      <c r="C118" s="10" t="s">
        <v>62</v>
      </c>
      <c r="D118" s="10" t="s">
        <v>63</v>
      </c>
      <c r="E118" s="9">
        <v>102</v>
      </c>
      <c r="F118" s="9">
        <v>102</v>
      </c>
      <c r="G118" s="9">
        <v>1</v>
      </c>
      <c r="H118" s="10" t="s">
        <v>63</v>
      </c>
      <c r="I118" s="9">
        <v>1</v>
      </c>
      <c r="J118" s="9">
        <v>0.29259187501156703</v>
      </c>
      <c r="K118" s="10" t="s">
        <v>51</v>
      </c>
      <c r="L118" s="9">
        <v>1</v>
      </c>
      <c r="M118" s="9">
        <v>102</v>
      </c>
      <c r="N118" s="9">
        <v>102</v>
      </c>
      <c r="O118" s="9">
        <v>17</v>
      </c>
      <c r="P118" s="9">
        <v>108.823530207999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9">
        <v>108.81439099999299</v>
      </c>
      <c r="AC118" s="9">
        <v>108.823530207999</v>
      </c>
      <c r="AD118" s="9">
        <v>109.30855845799699</v>
      </c>
      <c r="AE118" s="9">
        <v>109.30855845799699</v>
      </c>
      <c r="AF118" s="9">
        <v>109.30855845799699</v>
      </c>
      <c r="AG118" s="9">
        <v>109.610643374996</v>
      </c>
      <c r="AH118" s="10" t="s">
        <v>63</v>
      </c>
      <c r="AI118" s="9">
        <v>1</v>
      </c>
      <c r="AJ118" s="9">
        <v>0.29259187501156703</v>
      </c>
      <c r="AK118" s="10" t="s">
        <v>51</v>
      </c>
      <c r="AL118" s="8"/>
      <c r="AM118" s="8"/>
      <c r="AN118" s="8"/>
      <c r="AO118" s="8"/>
      <c r="AP118" s="9">
        <v>4</v>
      </c>
      <c r="AQ118" s="9">
        <v>1</v>
      </c>
      <c r="AR118" s="10" t="s">
        <v>98</v>
      </c>
      <c r="AS118" s="10" t="s">
        <v>53</v>
      </c>
      <c r="AT118" s="8"/>
      <c r="AU118" s="10" t="s">
        <v>54</v>
      </c>
      <c r="AV118" s="10" t="s">
        <v>51</v>
      </c>
      <c r="AW118" s="10" t="s">
        <v>99</v>
      </c>
      <c r="AX118" s="8"/>
    </row>
    <row r="119" spans="1:50" x14ac:dyDescent="0.15">
      <c r="A119" s="11" t="s">
        <v>75</v>
      </c>
      <c r="B119" s="12" t="s">
        <v>57</v>
      </c>
      <c r="C119" s="10" t="s">
        <v>62</v>
      </c>
      <c r="D119" s="10" t="s">
        <v>63</v>
      </c>
      <c r="E119" s="9">
        <v>103</v>
      </c>
      <c r="F119" s="9">
        <v>103</v>
      </c>
      <c r="G119" s="9">
        <v>2</v>
      </c>
      <c r="H119" s="10" t="s">
        <v>63</v>
      </c>
      <c r="I119" s="9">
        <v>1</v>
      </c>
      <c r="J119" s="9">
        <v>0.31863258300290898</v>
      </c>
      <c r="K119" s="10" t="s">
        <v>51</v>
      </c>
      <c r="L119" s="9">
        <v>2</v>
      </c>
      <c r="M119" s="9">
        <v>103</v>
      </c>
      <c r="N119" s="9">
        <v>103</v>
      </c>
      <c r="O119" s="9">
        <v>19</v>
      </c>
      <c r="P119" s="9">
        <v>109.623965332998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9">
        <v>109.614908249991</v>
      </c>
      <c r="AC119" s="9">
        <v>109.623965332998</v>
      </c>
      <c r="AD119" s="9">
        <v>110.108457707989</v>
      </c>
      <c r="AE119" s="9">
        <v>110.108457707989</v>
      </c>
      <c r="AF119" s="9">
        <v>110.108457707989</v>
      </c>
      <c r="AG119" s="9">
        <v>110.433407999997</v>
      </c>
      <c r="AH119" s="10" t="s">
        <v>63</v>
      </c>
      <c r="AI119" s="9">
        <v>1</v>
      </c>
      <c r="AJ119" s="9">
        <v>0.31863258300290898</v>
      </c>
      <c r="AK119" s="10" t="s">
        <v>51</v>
      </c>
      <c r="AL119" s="8"/>
      <c r="AM119" s="8"/>
      <c r="AN119" s="8"/>
      <c r="AO119" s="8"/>
      <c r="AP119" s="9">
        <v>4</v>
      </c>
      <c r="AQ119" s="9">
        <v>1</v>
      </c>
      <c r="AR119" s="10" t="s">
        <v>98</v>
      </c>
      <c r="AS119" s="10" t="s">
        <v>53</v>
      </c>
      <c r="AT119" s="8"/>
      <c r="AU119" s="10" t="s">
        <v>54</v>
      </c>
      <c r="AV119" s="10" t="s">
        <v>51</v>
      </c>
      <c r="AW119" s="10" t="s">
        <v>99</v>
      </c>
      <c r="AX119" s="8"/>
    </row>
    <row r="120" spans="1:50" x14ac:dyDescent="0.15">
      <c r="A120" s="11" t="s">
        <v>84</v>
      </c>
      <c r="B120" s="12" t="s">
        <v>57</v>
      </c>
      <c r="C120" s="10" t="s">
        <v>58</v>
      </c>
      <c r="D120" s="10" t="s">
        <v>59</v>
      </c>
      <c r="E120" s="9">
        <v>104</v>
      </c>
      <c r="F120" s="9">
        <v>104</v>
      </c>
      <c r="G120" s="9">
        <v>2</v>
      </c>
      <c r="H120" s="10" t="s">
        <v>59</v>
      </c>
      <c r="I120" s="9">
        <v>1</v>
      </c>
      <c r="J120" s="9">
        <v>0.47173595799540602</v>
      </c>
      <c r="K120" s="10" t="s">
        <v>51</v>
      </c>
      <c r="L120" s="9">
        <v>2</v>
      </c>
      <c r="M120" s="9">
        <v>104</v>
      </c>
      <c r="N120" s="9">
        <v>104</v>
      </c>
      <c r="O120" s="9">
        <v>20</v>
      </c>
      <c r="P120" s="9">
        <v>110.447516207991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9">
        <v>110.437389582992</v>
      </c>
      <c r="AC120" s="9">
        <v>110.447516207991</v>
      </c>
      <c r="AD120" s="9">
        <v>110.93457045799001</v>
      </c>
      <c r="AE120" s="9">
        <v>110.93457045799001</v>
      </c>
      <c r="AF120" s="9">
        <v>110.93457045799001</v>
      </c>
      <c r="AG120" s="9">
        <v>111.410421749999</v>
      </c>
      <c r="AH120" s="10" t="s">
        <v>59</v>
      </c>
      <c r="AI120" s="9">
        <v>1</v>
      </c>
      <c r="AJ120" s="9">
        <v>0.47173595799540602</v>
      </c>
      <c r="AK120" s="10" t="s">
        <v>51</v>
      </c>
      <c r="AL120" s="8"/>
      <c r="AM120" s="8"/>
      <c r="AN120" s="8"/>
      <c r="AO120" s="8"/>
      <c r="AP120" s="9">
        <v>4</v>
      </c>
      <c r="AQ120" s="9">
        <v>1</v>
      </c>
      <c r="AR120" s="10" t="s">
        <v>98</v>
      </c>
      <c r="AS120" s="10" t="s">
        <v>53</v>
      </c>
      <c r="AT120" s="8"/>
      <c r="AU120" s="10" t="s">
        <v>54</v>
      </c>
      <c r="AV120" s="10" t="s">
        <v>51</v>
      </c>
      <c r="AW120" s="10" t="s">
        <v>99</v>
      </c>
      <c r="AX120" s="8"/>
    </row>
    <row r="121" spans="1:50" x14ac:dyDescent="0.15">
      <c r="A121" s="11" t="s">
        <v>84</v>
      </c>
      <c r="B121" s="12" t="s">
        <v>57</v>
      </c>
      <c r="C121" s="10" t="s">
        <v>58</v>
      </c>
      <c r="D121" s="10" t="s">
        <v>59</v>
      </c>
      <c r="E121" s="9">
        <v>109</v>
      </c>
      <c r="F121" s="9">
        <v>109</v>
      </c>
      <c r="G121" s="9">
        <v>3</v>
      </c>
      <c r="H121" s="10" t="s">
        <v>59</v>
      </c>
      <c r="I121" s="9">
        <v>1</v>
      </c>
      <c r="J121" s="9">
        <v>0.409412748995237</v>
      </c>
      <c r="K121" s="10" t="s">
        <v>51</v>
      </c>
      <c r="L121" s="9">
        <v>3</v>
      </c>
      <c r="M121" s="9">
        <v>109</v>
      </c>
      <c r="N121" s="9">
        <v>109</v>
      </c>
      <c r="O121" s="9">
        <v>20</v>
      </c>
      <c r="P121" s="9">
        <v>114.807739832992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9">
        <v>114.798568457991</v>
      </c>
      <c r="AC121" s="9">
        <v>114.807739832992</v>
      </c>
      <c r="AD121" s="9">
        <v>115.291919416995</v>
      </c>
      <c r="AE121" s="9">
        <v>115.291919416995</v>
      </c>
      <c r="AF121" s="9">
        <v>115.291919416995</v>
      </c>
      <c r="AG121" s="9">
        <v>115.710831332995</v>
      </c>
      <c r="AH121" s="10" t="s">
        <v>59</v>
      </c>
      <c r="AI121" s="9">
        <v>1</v>
      </c>
      <c r="AJ121" s="9">
        <v>0.409412748995237</v>
      </c>
      <c r="AK121" s="10" t="s">
        <v>51</v>
      </c>
      <c r="AL121" s="8"/>
      <c r="AM121" s="8"/>
      <c r="AN121" s="8"/>
      <c r="AO121" s="8"/>
      <c r="AP121" s="9">
        <v>4</v>
      </c>
      <c r="AQ121" s="9">
        <v>1</v>
      </c>
      <c r="AR121" s="10" t="s">
        <v>98</v>
      </c>
      <c r="AS121" s="10" t="s">
        <v>53</v>
      </c>
      <c r="AT121" s="8"/>
      <c r="AU121" s="10" t="s">
        <v>54</v>
      </c>
      <c r="AV121" s="10" t="s">
        <v>51</v>
      </c>
      <c r="AW121" s="10" t="s">
        <v>99</v>
      </c>
      <c r="AX121" s="8"/>
    </row>
    <row r="122" spans="1:50" x14ac:dyDescent="0.15">
      <c r="A122" s="11" t="s">
        <v>71</v>
      </c>
      <c r="B122" s="12" t="s">
        <v>57</v>
      </c>
      <c r="C122" s="10" t="s">
        <v>62</v>
      </c>
      <c r="D122" s="10" t="s">
        <v>63</v>
      </c>
      <c r="E122" s="9">
        <v>112</v>
      </c>
      <c r="F122" s="9">
        <v>112</v>
      </c>
      <c r="G122" s="9">
        <v>0</v>
      </c>
      <c r="H122" s="10" t="s">
        <v>63</v>
      </c>
      <c r="I122" s="9">
        <v>1</v>
      </c>
      <c r="J122" s="9">
        <v>0.45635979100188701</v>
      </c>
      <c r="K122" s="10" t="s">
        <v>51</v>
      </c>
      <c r="L122" s="9">
        <v>0</v>
      </c>
      <c r="M122" s="9">
        <v>112</v>
      </c>
      <c r="N122" s="9">
        <v>112</v>
      </c>
      <c r="O122" s="9">
        <v>29</v>
      </c>
      <c r="P122" s="9">
        <v>117.77462070799101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9">
        <v>117.765598916987</v>
      </c>
      <c r="AC122" s="9">
        <v>117.77462070799101</v>
      </c>
      <c r="AD122" s="9">
        <v>118.258961916988</v>
      </c>
      <c r="AE122" s="9">
        <v>118.258961916988</v>
      </c>
      <c r="AF122" s="9">
        <v>118.258961916988</v>
      </c>
      <c r="AG122" s="9">
        <v>118.726783124992</v>
      </c>
      <c r="AH122" s="10" t="s">
        <v>63</v>
      </c>
      <c r="AI122" s="9">
        <v>1</v>
      </c>
      <c r="AJ122" s="9">
        <v>0.45635979100188701</v>
      </c>
      <c r="AK122" s="10" t="s">
        <v>51</v>
      </c>
      <c r="AL122" s="8"/>
      <c r="AM122" s="8"/>
      <c r="AN122" s="8"/>
      <c r="AO122" s="8"/>
      <c r="AP122" s="9">
        <v>4</v>
      </c>
      <c r="AQ122" s="9">
        <v>1</v>
      </c>
      <c r="AR122" s="10" t="s">
        <v>98</v>
      </c>
      <c r="AS122" s="10" t="s">
        <v>53</v>
      </c>
      <c r="AT122" s="8"/>
      <c r="AU122" s="10" t="s">
        <v>54</v>
      </c>
      <c r="AV122" s="10" t="s">
        <v>51</v>
      </c>
      <c r="AW122" s="10" t="s">
        <v>99</v>
      </c>
      <c r="AX122" s="8"/>
    </row>
    <row r="123" spans="1:50" x14ac:dyDescent="0.15">
      <c r="A123" s="11" t="s">
        <v>71</v>
      </c>
      <c r="B123" s="12" t="s">
        <v>57</v>
      </c>
      <c r="C123" s="10" t="s">
        <v>62</v>
      </c>
      <c r="D123" s="10" t="s">
        <v>63</v>
      </c>
      <c r="E123" s="9">
        <v>114</v>
      </c>
      <c r="F123" s="9">
        <v>114</v>
      </c>
      <c r="G123" s="9">
        <v>1</v>
      </c>
      <c r="H123" s="10" t="s">
        <v>63</v>
      </c>
      <c r="I123" s="9">
        <v>1</v>
      </c>
      <c r="J123" s="9">
        <v>0.37840845799655698</v>
      </c>
      <c r="K123" s="10" t="s">
        <v>51</v>
      </c>
      <c r="L123" s="9">
        <v>1</v>
      </c>
      <c r="M123" s="9">
        <v>114</v>
      </c>
      <c r="N123" s="9">
        <v>114</v>
      </c>
      <c r="O123" s="9">
        <v>29</v>
      </c>
      <c r="P123" s="9">
        <v>119.74083545799699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9">
        <v>119.731861458</v>
      </c>
      <c r="AC123" s="9">
        <v>119.74083545799699</v>
      </c>
      <c r="AD123" s="9">
        <v>120.226009249993</v>
      </c>
      <c r="AE123" s="9">
        <v>120.226009249993</v>
      </c>
      <c r="AF123" s="9">
        <v>120.226009249993</v>
      </c>
      <c r="AG123" s="9">
        <v>120.611016416995</v>
      </c>
      <c r="AH123" s="10" t="s">
        <v>63</v>
      </c>
      <c r="AI123" s="9">
        <v>1</v>
      </c>
      <c r="AJ123" s="9">
        <v>0.37840845799655698</v>
      </c>
      <c r="AK123" s="10" t="s">
        <v>51</v>
      </c>
      <c r="AL123" s="8"/>
      <c r="AM123" s="8"/>
      <c r="AN123" s="8"/>
      <c r="AO123" s="8"/>
      <c r="AP123" s="9">
        <v>4</v>
      </c>
      <c r="AQ123" s="9">
        <v>1</v>
      </c>
      <c r="AR123" s="10" t="s">
        <v>98</v>
      </c>
      <c r="AS123" s="10" t="s">
        <v>53</v>
      </c>
      <c r="AT123" s="8"/>
      <c r="AU123" s="10" t="s">
        <v>54</v>
      </c>
      <c r="AV123" s="10" t="s">
        <v>51</v>
      </c>
      <c r="AW123" s="10" t="s">
        <v>99</v>
      </c>
      <c r="AX123" s="8"/>
    </row>
    <row r="124" spans="1:50" x14ac:dyDescent="0.15">
      <c r="A124" s="11" t="s">
        <v>78</v>
      </c>
      <c r="B124" s="12" t="s">
        <v>57</v>
      </c>
      <c r="C124" s="10" t="s">
        <v>62</v>
      </c>
      <c r="D124" s="10" t="s">
        <v>63</v>
      </c>
      <c r="E124" s="9">
        <v>121</v>
      </c>
      <c r="F124" s="9">
        <v>121</v>
      </c>
      <c r="G124" s="9">
        <v>1</v>
      </c>
      <c r="H124" s="10" t="s">
        <v>63</v>
      </c>
      <c r="I124" s="9">
        <v>1</v>
      </c>
      <c r="J124" s="9">
        <v>0.38852070800203398</v>
      </c>
      <c r="K124" s="10" t="s">
        <v>51</v>
      </c>
      <c r="L124" s="9">
        <v>1</v>
      </c>
      <c r="M124" s="9">
        <v>121</v>
      </c>
      <c r="N124" s="9">
        <v>121</v>
      </c>
      <c r="O124" s="9">
        <v>27</v>
      </c>
      <c r="P124" s="9">
        <v>126.13061074999899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9">
        <v>126.12129941699099</v>
      </c>
      <c r="AC124" s="9">
        <v>126.13061074999899</v>
      </c>
      <c r="AD124" s="9">
        <v>126.619136416994</v>
      </c>
      <c r="AE124" s="9">
        <v>126.619136416994</v>
      </c>
      <c r="AF124" s="9">
        <v>126.619136416994</v>
      </c>
      <c r="AG124" s="9">
        <v>127.011037624994</v>
      </c>
      <c r="AH124" s="10" t="s">
        <v>63</v>
      </c>
      <c r="AI124" s="9">
        <v>1</v>
      </c>
      <c r="AJ124" s="9">
        <v>0.38852070800203398</v>
      </c>
      <c r="AK124" s="10" t="s">
        <v>51</v>
      </c>
      <c r="AL124" s="8"/>
      <c r="AM124" s="8"/>
      <c r="AN124" s="8"/>
      <c r="AO124" s="8"/>
      <c r="AP124" s="9">
        <v>4</v>
      </c>
      <c r="AQ124" s="9">
        <v>1</v>
      </c>
      <c r="AR124" s="10" t="s">
        <v>98</v>
      </c>
      <c r="AS124" s="10" t="s">
        <v>53</v>
      </c>
      <c r="AT124" s="8"/>
      <c r="AU124" s="10" t="s">
        <v>54</v>
      </c>
      <c r="AV124" s="10" t="s">
        <v>51</v>
      </c>
      <c r="AW124" s="10" t="s">
        <v>99</v>
      </c>
      <c r="AX124" s="8"/>
    </row>
    <row r="125" spans="1:50" x14ac:dyDescent="0.15">
      <c r="A125" s="11" t="s">
        <v>71</v>
      </c>
      <c r="B125" s="12" t="s">
        <v>57</v>
      </c>
      <c r="C125" s="10" t="s">
        <v>62</v>
      </c>
      <c r="D125" s="10" t="s">
        <v>63</v>
      </c>
      <c r="E125" s="9">
        <v>125</v>
      </c>
      <c r="F125" s="9">
        <v>125</v>
      </c>
      <c r="G125" s="9">
        <v>2</v>
      </c>
      <c r="H125" s="10" t="s">
        <v>63</v>
      </c>
      <c r="I125" s="9">
        <v>1</v>
      </c>
      <c r="J125" s="9">
        <v>0.44269016600446798</v>
      </c>
      <c r="K125" s="10" t="s">
        <v>51</v>
      </c>
      <c r="L125" s="9">
        <v>2</v>
      </c>
      <c r="M125" s="9">
        <v>125</v>
      </c>
      <c r="N125" s="9">
        <v>125</v>
      </c>
      <c r="O125" s="9">
        <v>29</v>
      </c>
      <c r="P125" s="9">
        <v>129.89218324999101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9">
        <v>129.88316812498701</v>
      </c>
      <c r="AC125" s="9">
        <v>129.89218324999101</v>
      </c>
      <c r="AD125" s="9">
        <v>130.375888874987</v>
      </c>
      <c r="AE125" s="9">
        <v>130.375888874987</v>
      </c>
      <c r="AF125" s="9">
        <v>130.375888874987</v>
      </c>
      <c r="AG125" s="9">
        <v>130.82842087499699</v>
      </c>
      <c r="AH125" s="10" t="s">
        <v>63</v>
      </c>
      <c r="AI125" s="9">
        <v>1</v>
      </c>
      <c r="AJ125" s="9">
        <v>0.44269016600446798</v>
      </c>
      <c r="AK125" s="10" t="s">
        <v>51</v>
      </c>
      <c r="AL125" s="8"/>
      <c r="AM125" s="8"/>
      <c r="AN125" s="8"/>
      <c r="AO125" s="8"/>
      <c r="AP125" s="9">
        <v>4</v>
      </c>
      <c r="AQ125" s="9">
        <v>1</v>
      </c>
      <c r="AR125" s="10" t="s">
        <v>98</v>
      </c>
      <c r="AS125" s="10" t="s">
        <v>53</v>
      </c>
      <c r="AT125" s="8"/>
      <c r="AU125" s="10" t="s">
        <v>54</v>
      </c>
      <c r="AV125" s="10" t="s">
        <v>51</v>
      </c>
      <c r="AW125" s="10" t="s">
        <v>99</v>
      </c>
      <c r="AX125" s="8"/>
    </row>
    <row r="126" spans="1:50" x14ac:dyDescent="0.15">
      <c r="A126" s="11" t="s">
        <v>71</v>
      </c>
      <c r="B126" s="12" t="s">
        <v>57</v>
      </c>
      <c r="C126" s="10" t="s">
        <v>58</v>
      </c>
      <c r="D126" s="10" t="s">
        <v>59</v>
      </c>
      <c r="E126" s="9">
        <v>128</v>
      </c>
      <c r="F126" s="9">
        <v>128</v>
      </c>
      <c r="G126" s="9">
        <v>2</v>
      </c>
      <c r="H126" s="10" t="s">
        <v>59</v>
      </c>
      <c r="I126" s="9">
        <v>1</v>
      </c>
      <c r="J126" s="9">
        <v>0.43846045799728001</v>
      </c>
      <c r="K126" s="10" t="s">
        <v>51</v>
      </c>
      <c r="L126" s="9">
        <v>2</v>
      </c>
      <c r="M126" s="9">
        <v>128</v>
      </c>
      <c r="N126" s="9">
        <v>128</v>
      </c>
      <c r="O126" s="9">
        <v>28</v>
      </c>
      <c r="P126" s="9">
        <v>132.499358624991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9">
        <v>132.48999679199201</v>
      </c>
      <c r="AC126" s="9">
        <v>132.499358624991</v>
      </c>
      <c r="AD126" s="9">
        <v>132.984134957995</v>
      </c>
      <c r="AE126" s="9">
        <v>132.984134957995</v>
      </c>
      <c r="AF126" s="9">
        <v>132.984134957995</v>
      </c>
      <c r="AG126" s="9">
        <v>133.42826345798699</v>
      </c>
      <c r="AH126" s="10" t="s">
        <v>59</v>
      </c>
      <c r="AI126" s="9">
        <v>1</v>
      </c>
      <c r="AJ126" s="9">
        <v>0.43846045799728001</v>
      </c>
      <c r="AK126" s="10" t="s">
        <v>51</v>
      </c>
      <c r="AL126" s="8"/>
      <c r="AM126" s="8"/>
      <c r="AN126" s="8"/>
      <c r="AO126" s="8"/>
      <c r="AP126" s="9">
        <v>4</v>
      </c>
      <c r="AQ126" s="9">
        <v>1</v>
      </c>
      <c r="AR126" s="10" t="s">
        <v>98</v>
      </c>
      <c r="AS126" s="10" t="s">
        <v>53</v>
      </c>
      <c r="AT126" s="8"/>
      <c r="AU126" s="10" t="s">
        <v>54</v>
      </c>
      <c r="AV126" s="10" t="s">
        <v>51</v>
      </c>
      <c r="AW126" s="10" t="s">
        <v>99</v>
      </c>
      <c r="AX126" s="8"/>
    </row>
    <row r="127" spans="1:50" x14ac:dyDescent="0.15">
      <c r="A127" s="11" t="s">
        <v>65</v>
      </c>
      <c r="B127" s="12" t="s">
        <v>57</v>
      </c>
      <c r="C127" s="10" t="s">
        <v>58</v>
      </c>
      <c r="D127" s="10" t="s">
        <v>59</v>
      </c>
      <c r="E127" s="9">
        <v>131</v>
      </c>
      <c r="F127" s="9">
        <v>131</v>
      </c>
      <c r="G127" s="9">
        <v>2</v>
      </c>
      <c r="H127" s="10" t="s">
        <v>59</v>
      </c>
      <c r="I127" s="9">
        <v>1</v>
      </c>
      <c r="J127" s="9">
        <v>0.31639929099765102</v>
      </c>
      <c r="K127" s="10" t="s">
        <v>51</v>
      </c>
      <c r="L127" s="9">
        <v>2</v>
      </c>
      <c r="M127" s="9">
        <v>131</v>
      </c>
      <c r="N127" s="9">
        <v>131</v>
      </c>
      <c r="O127" s="9">
        <v>30</v>
      </c>
      <c r="P127" s="9">
        <v>135.514473999996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9">
        <v>135.50474320798801</v>
      </c>
      <c r="AC127" s="9">
        <v>135.514473999996</v>
      </c>
      <c r="AD127" s="9">
        <v>136.00230062499801</v>
      </c>
      <c r="AE127" s="9">
        <v>136.00230062499801</v>
      </c>
      <c r="AF127" s="9">
        <v>136.00230062499801</v>
      </c>
      <c r="AG127" s="9">
        <v>136.328170832989</v>
      </c>
      <c r="AH127" s="10" t="s">
        <v>59</v>
      </c>
      <c r="AI127" s="9">
        <v>1</v>
      </c>
      <c r="AJ127" s="9">
        <v>0.31639929099765102</v>
      </c>
      <c r="AK127" s="10" t="s">
        <v>51</v>
      </c>
      <c r="AL127" s="8"/>
      <c r="AM127" s="8"/>
      <c r="AN127" s="8"/>
      <c r="AO127" s="8"/>
      <c r="AP127" s="9">
        <v>4</v>
      </c>
      <c r="AQ127" s="9">
        <v>1</v>
      </c>
      <c r="AR127" s="10" t="s">
        <v>98</v>
      </c>
      <c r="AS127" s="10" t="s">
        <v>53</v>
      </c>
      <c r="AT127" s="8"/>
      <c r="AU127" s="10" t="s">
        <v>54</v>
      </c>
      <c r="AV127" s="10" t="s">
        <v>51</v>
      </c>
      <c r="AW127" s="10" t="s">
        <v>99</v>
      </c>
      <c r="AX127" s="8"/>
    </row>
    <row r="128" spans="1:50" x14ac:dyDescent="0.15">
      <c r="A128" s="11" t="s">
        <v>78</v>
      </c>
      <c r="B128" s="12" t="s">
        <v>57</v>
      </c>
      <c r="C128" s="10" t="s">
        <v>62</v>
      </c>
      <c r="D128" s="10" t="s">
        <v>63</v>
      </c>
      <c r="E128" s="9">
        <v>132</v>
      </c>
      <c r="F128" s="9">
        <v>132</v>
      </c>
      <c r="G128" s="9">
        <v>2</v>
      </c>
      <c r="H128" s="10" t="s">
        <v>59</v>
      </c>
      <c r="I128" s="9">
        <v>0</v>
      </c>
      <c r="J128" s="9">
        <v>0.31667991600988898</v>
      </c>
      <c r="K128" s="10" t="s">
        <v>51</v>
      </c>
      <c r="L128" s="9">
        <v>2</v>
      </c>
      <c r="M128" s="9">
        <v>132</v>
      </c>
      <c r="N128" s="9">
        <v>132</v>
      </c>
      <c r="O128" s="9">
        <v>27</v>
      </c>
      <c r="P128" s="9">
        <v>136.34223020799999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9">
        <v>136.33338879198701</v>
      </c>
      <c r="AC128" s="9">
        <v>136.34223020799999</v>
      </c>
      <c r="AD128" s="9">
        <v>136.82606679199699</v>
      </c>
      <c r="AE128" s="9">
        <v>136.82606679199699</v>
      </c>
      <c r="AF128" s="9">
        <v>136.82606679199699</v>
      </c>
      <c r="AG128" s="9">
        <v>137.14491504199401</v>
      </c>
      <c r="AH128" s="10" t="s">
        <v>59</v>
      </c>
      <c r="AI128" s="9">
        <v>0</v>
      </c>
      <c r="AJ128" s="9">
        <v>0.31667991600988898</v>
      </c>
      <c r="AK128" s="10" t="s">
        <v>51</v>
      </c>
      <c r="AL128" s="8"/>
      <c r="AM128" s="8"/>
      <c r="AN128" s="8"/>
      <c r="AO128" s="8"/>
      <c r="AP128" s="9">
        <v>4</v>
      </c>
      <c r="AQ128" s="9">
        <v>1</v>
      </c>
      <c r="AR128" s="10" t="s">
        <v>98</v>
      </c>
      <c r="AS128" s="10" t="s">
        <v>53</v>
      </c>
      <c r="AT128" s="8"/>
      <c r="AU128" s="10" t="s">
        <v>54</v>
      </c>
      <c r="AV128" s="10" t="s">
        <v>51</v>
      </c>
      <c r="AW128" s="10" t="s">
        <v>99</v>
      </c>
      <c r="AX128" s="8"/>
    </row>
    <row r="129" spans="1:50" x14ac:dyDescent="0.15">
      <c r="A129" s="11" t="s">
        <v>72</v>
      </c>
      <c r="B129" s="12" t="s">
        <v>57</v>
      </c>
      <c r="C129" s="10" t="s">
        <v>58</v>
      </c>
      <c r="D129" s="10" t="s">
        <v>59</v>
      </c>
      <c r="E129" s="9">
        <v>136</v>
      </c>
      <c r="F129" s="9">
        <v>136</v>
      </c>
      <c r="G129" s="9">
        <v>3</v>
      </c>
      <c r="H129" s="10" t="s">
        <v>59</v>
      </c>
      <c r="I129" s="9">
        <v>1</v>
      </c>
      <c r="J129" s="9">
        <v>0.66367329099739403</v>
      </c>
      <c r="K129" s="10" t="s">
        <v>51</v>
      </c>
      <c r="L129" s="9">
        <v>3</v>
      </c>
      <c r="M129" s="9">
        <v>136</v>
      </c>
      <c r="N129" s="9">
        <v>136</v>
      </c>
      <c r="O129" s="9">
        <v>24</v>
      </c>
      <c r="P129" s="9">
        <v>140.30947558299499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9">
        <v>140.30064175000001</v>
      </c>
      <c r="AC129" s="9">
        <v>140.30947558299499</v>
      </c>
      <c r="AD129" s="9">
        <v>140.79318304199799</v>
      </c>
      <c r="AE129" s="9">
        <v>140.79318304199799</v>
      </c>
      <c r="AF129" s="9">
        <v>140.79318304199799</v>
      </c>
      <c r="AG129" s="9">
        <v>141.461796916992</v>
      </c>
      <c r="AH129" s="10" t="s">
        <v>59</v>
      </c>
      <c r="AI129" s="9">
        <v>1</v>
      </c>
      <c r="AJ129" s="9">
        <v>0.66367329099739403</v>
      </c>
      <c r="AK129" s="10" t="s">
        <v>51</v>
      </c>
      <c r="AL129" s="8"/>
      <c r="AM129" s="8"/>
      <c r="AN129" s="8"/>
      <c r="AO129" s="8"/>
      <c r="AP129" s="9">
        <v>4</v>
      </c>
      <c r="AQ129" s="9">
        <v>1</v>
      </c>
      <c r="AR129" s="10" t="s">
        <v>98</v>
      </c>
      <c r="AS129" s="10" t="s">
        <v>53</v>
      </c>
      <c r="AT129" s="8"/>
      <c r="AU129" s="10" t="s">
        <v>54</v>
      </c>
      <c r="AV129" s="10" t="s">
        <v>51</v>
      </c>
      <c r="AW129" s="10" t="s">
        <v>99</v>
      </c>
      <c r="AX129" s="8"/>
    </row>
    <row r="130" spans="1:50" x14ac:dyDescent="0.15">
      <c r="A130" s="11" t="s">
        <v>75</v>
      </c>
      <c r="B130" s="12" t="s">
        <v>57</v>
      </c>
      <c r="C130" s="10" t="s">
        <v>62</v>
      </c>
      <c r="D130" s="10" t="s">
        <v>63</v>
      </c>
      <c r="E130" s="9">
        <v>140</v>
      </c>
      <c r="F130" s="9">
        <v>140</v>
      </c>
      <c r="G130" s="9">
        <v>3</v>
      </c>
      <c r="H130" s="10" t="s">
        <v>63</v>
      </c>
      <c r="I130" s="9">
        <v>1</v>
      </c>
      <c r="J130" s="9">
        <v>0.328240165996249</v>
      </c>
      <c r="K130" s="10" t="s">
        <v>51</v>
      </c>
      <c r="L130" s="9">
        <v>3</v>
      </c>
      <c r="M130" s="9">
        <v>140</v>
      </c>
      <c r="N130" s="9">
        <v>140</v>
      </c>
      <c r="O130" s="9">
        <v>19</v>
      </c>
      <c r="P130" s="9">
        <v>144.29253716699901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9">
        <v>144.283793874987</v>
      </c>
      <c r="AC130" s="9">
        <v>144.29253716699901</v>
      </c>
      <c r="AD130" s="9">
        <v>144.77643891699</v>
      </c>
      <c r="AE130" s="9">
        <v>144.77643891699</v>
      </c>
      <c r="AF130" s="9">
        <v>144.77643891699</v>
      </c>
      <c r="AG130" s="9">
        <v>145.11187920799401</v>
      </c>
      <c r="AH130" s="10" t="s">
        <v>63</v>
      </c>
      <c r="AI130" s="9">
        <v>1</v>
      </c>
      <c r="AJ130" s="9">
        <v>0.328240165996249</v>
      </c>
      <c r="AK130" s="10" t="s">
        <v>51</v>
      </c>
      <c r="AL130" s="8"/>
      <c r="AM130" s="8"/>
      <c r="AN130" s="8"/>
      <c r="AO130" s="8"/>
      <c r="AP130" s="9">
        <v>4</v>
      </c>
      <c r="AQ130" s="9">
        <v>1</v>
      </c>
      <c r="AR130" s="10" t="s">
        <v>98</v>
      </c>
      <c r="AS130" s="10" t="s">
        <v>53</v>
      </c>
      <c r="AT130" s="8"/>
      <c r="AU130" s="10" t="s">
        <v>54</v>
      </c>
      <c r="AV130" s="10" t="s">
        <v>51</v>
      </c>
      <c r="AW130" s="10" t="s">
        <v>99</v>
      </c>
      <c r="AX130" s="8"/>
    </row>
    <row r="131" spans="1:50" x14ac:dyDescent="0.15">
      <c r="A131" s="11" t="s">
        <v>56</v>
      </c>
      <c r="B131" s="12" t="s">
        <v>57</v>
      </c>
      <c r="C131" s="10" t="s">
        <v>58</v>
      </c>
      <c r="D131" s="10" t="s">
        <v>59</v>
      </c>
      <c r="E131" s="9">
        <v>142</v>
      </c>
      <c r="F131" s="9">
        <v>142</v>
      </c>
      <c r="G131" s="9">
        <v>2</v>
      </c>
      <c r="H131" s="10" t="s">
        <v>59</v>
      </c>
      <c r="I131" s="9">
        <v>1</v>
      </c>
      <c r="J131" s="9">
        <v>0.33904029100085598</v>
      </c>
      <c r="K131" s="10" t="s">
        <v>51</v>
      </c>
      <c r="L131" s="9">
        <v>2</v>
      </c>
      <c r="M131" s="9">
        <v>142</v>
      </c>
      <c r="N131" s="9">
        <v>142</v>
      </c>
      <c r="O131" s="9">
        <v>16</v>
      </c>
      <c r="P131" s="9">
        <v>145.97083875000001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9">
        <v>145.96329579199701</v>
      </c>
      <c r="AC131" s="9">
        <v>145.97083875000001</v>
      </c>
      <c r="AD131" s="9">
        <v>146.45984716698899</v>
      </c>
      <c r="AE131" s="9">
        <v>146.45984716698899</v>
      </c>
      <c r="AF131" s="9">
        <v>146.45984716698899</v>
      </c>
      <c r="AG131" s="9">
        <v>146.80120058299499</v>
      </c>
      <c r="AH131" s="10" t="s">
        <v>59</v>
      </c>
      <c r="AI131" s="9">
        <v>1</v>
      </c>
      <c r="AJ131" s="9">
        <v>0.33904029100085598</v>
      </c>
      <c r="AK131" s="10" t="s">
        <v>51</v>
      </c>
      <c r="AL131" s="8"/>
      <c r="AM131" s="8"/>
      <c r="AN131" s="8"/>
      <c r="AO131" s="8"/>
      <c r="AP131" s="9">
        <v>4</v>
      </c>
      <c r="AQ131" s="9">
        <v>1</v>
      </c>
      <c r="AR131" s="10" t="s">
        <v>98</v>
      </c>
      <c r="AS131" s="10" t="s">
        <v>53</v>
      </c>
      <c r="AT131" s="8"/>
      <c r="AU131" s="10" t="s">
        <v>54</v>
      </c>
      <c r="AV131" s="10" t="s">
        <v>51</v>
      </c>
      <c r="AW131" s="10" t="s">
        <v>99</v>
      </c>
      <c r="AX131" s="8"/>
    </row>
    <row r="132" spans="1:50" x14ac:dyDescent="0.15">
      <c r="A132" s="11" t="s">
        <v>78</v>
      </c>
      <c r="B132" s="12" t="s">
        <v>57</v>
      </c>
      <c r="C132" s="10" t="s">
        <v>58</v>
      </c>
      <c r="D132" s="10" t="s">
        <v>59</v>
      </c>
      <c r="E132" s="9">
        <v>144</v>
      </c>
      <c r="F132" s="9">
        <v>144</v>
      </c>
      <c r="G132" s="9">
        <v>1</v>
      </c>
      <c r="H132" s="10" t="s">
        <v>59</v>
      </c>
      <c r="I132" s="9">
        <v>1</v>
      </c>
      <c r="J132" s="9">
        <v>0.338865165991592</v>
      </c>
      <c r="K132" s="10" t="s">
        <v>51</v>
      </c>
      <c r="L132" s="9">
        <v>1</v>
      </c>
      <c r="M132" s="9">
        <v>144</v>
      </c>
      <c r="N132" s="9">
        <v>144</v>
      </c>
      <c r="O132" s="9">
        <v>26</v>
      </c>
      <c r="P132" s="9">
        <v>147.77542429199099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9">
        <v>147.76662041699501</v>
      </c>
      <c r="AC132" s="9">
        <v>147.77542429199099</v>
      </c>
      <c r="AD132" s="9">
        <v>148.26002162499901</v>
      </c>
      <c r="AE132" s="9">
        <v>148.26002162499901</v>
      </c>
      <c r="AF132" s="9">
        <v>148.26002162499901</v>
      </c>
      <c r="AG132" s="9">
        <v>148.600647667001</v>
      </c>
      <c r="AH132" s="10" t="s">
        <v>59</v>
      </c>
      <c r="AI132" s="9">
        <v>1</v>
      </c>
      <c r="AJ132" s="9">
        <v>0.338865165991592</v>
      </c>
      <c r="AK132" s="10" t="s">
        <v>51</v>
      </c>
      <c r="AL132" s="8"/>
      <c r="AM132" s="8"/>
      <c r="AN132" s="8"/>
      <c r="AO132" s="8"/>
      <c r="AP132" s="9">
        <v>4</v>
      </c>
      <c r="AQ132" s="9">
        <v>1</v>
      </c>
      <c r="AR132" s="10" t="s">
        <v>98</v>
      </c>
      <c r="AS132" s="10" t="s">
        <v>53</v>
      </c>
      <c r="AT132" s="8"/>
      <c r="AU132" s="10" t="s">
        <v>54</v>
      </c>
      <c r="AV132" s="10" t="s">
        <v>51</v>
      </c>
      <c r="AW132" s="10" t="s">
        <v>99</v>
      </c>
      <c r="AX132" s="8"/>
    </row>
    <row r="133" spans="1:50" x14ac:dyDescent="0.15">
      <c r="A133" s="11" t="s">
        <v>56</v>
      </c>
      <c r="B133" s="12" t="s">
        <v>57</v>
      </c>
      <c r="C133" s="10" t="s">
        <v>62</v>
      </c>
      <c r="D133" s="10" t="s">
        <v>63</v>
      </c>
      <c r="E133" s="9">
        <v>148</v>
      </c>
      <c r="F133" s="9">
        <v>148</v>
      </c>
      <c r="G133" s="9">
        <v>2</v>
      </c>
      <c r="H133" s="10" t="s">
        <v>63</v>
      </c>
      <c r="I133" s="9">
        <v>1</v>
      </c>
      <c r="J133" s="9">
        <v>0.31463108300522402</v>
      </c>
      <c r="K133" s="10" t="s">
        <v>51</v>
      </c>
      <c r="L133" s="9">
        <v>2</v>
      </c>
      <c r="M133" s="9">
        <v>148</v>
      </c>
      <c r="N133" s="9">
        <v>148</v>
      </c>
      <c r="O133" s="9">
        <v>17</v>
      </c>
      <c r="P133" s="9">
        <v>151.25877904199299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9">
        <v>151.24959974999399</v>
      </c>
      <c r="AC133" s="9">
        <v>151.25877904199299</v>
      </c>
      <c r="AD133" s="9">
        <v>151.743507583</v>
      </c>
      <c r="AE133" s="9">
        <v>151.743507583</v>
      </c>
      <c r="AF133" s="9">
        <v>151.743507583</v>
      </c>
      <c r="AG133" s="9">
        <v>152.062127166995</v>
      </c>
      <c r="AH133" s="10" t="s">
        <v>63</v>
      </c>
      <c r="AI133" s="9">
        <v>1</v>
      </c>
      <c r="AJ133" s="9">
        <v>0.31463108300522402</v>
      </c>
      <c r="AK133" s="10" t="s">
        <v>51</v>
      </c>
      <c r="AL133" s="8"/>
      <c r="AM133" s="8"/>
      <c r="AN133" s="8"/>
      <c r="AO133" s="8"/>
      <c r="AP133" s="9">
        <v>4</v>
      </c>
      <c r="AQ133" s="9">
        <v>1</v>
      </c>
      <c r="AR133" s="10" t="s">
        <v>98</v>
      </c>
      <c r="AS133" s="10" t="s">
        <v>53</v>
      </c>
      <c r="AT133" s="8"/>
      <c r="AU133" s="10" t="s">
        <v>54</v>
      </c>
      <c r="AV133" s="10" t="s">
        <v>51</v>
      </c>
      <c r="AW133" s="10" t="s">
        <v>99</v>
      </c>
      <c r="AX133" s="8"/>
    </row>
    <row r="134" spans="1:50" x14ac:dyDescent="0.15">
      <c r="A134" s="11" t="s">
        <v>68</v>
      </c>
      <c r="B134" s="12" t="s">
        <v>57</v>
      </c>
      <c r="C134" s="10" t="s">
        <v>62</v>
      </c>
      <c r="D134" s="10" t="s">
        <v>63</v>
      </c>
      <c r="E134" s="9">
        <v>149</v>
      </c>
      <c r="F134" s="9">
        <v>149</v>
      </c>
      <c r="G134" s="9">
        <v>2</v>
      </c>
      <c r="H134" s="10" t="s">
        <v>63</v>
      </c>
      <c r="I134" s="9">
        <v>1</v>
      </c>
      <c r="J134" s="9">
        <v>0.284779583002091</v>
      </c>
      <c r="K134" s="10" t="s">
        <v>51</v>
      </c>
      <c r="L134" s="9">
        <v>2</v>
      </c>
      <c r="M134" s="9">
        <v>149</v>
      </c>
      <c r="N134" s="9">
        <v>149</v>
      </c>
      <c r="O134" s="9">
        <v>23</v>
      </c>
      <c r="P134" s="9">
        <v>152.07665174998701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9">
        <v>152.067452207993</v>
      </c>
      <c r="AC134" s="9">
        <v>152.07665174998701</v>
      </c>
      <c r="AD134" s="9">
        <v>152.56010345798899</v>
      </c>
      <c r="AE134" s="9">
        <v>152.56010345798899</v>
      </c>
      <c r="AF134" s="9">
        <v>152.56010345798899</v>
      </c>
      <c r="AG134" s="9">
        <v>152.85126741699099</v>
      </c>
      <c r="AH134" s="10" t="s">
        <v>63</v>
      </c>
      <c r="AI134" s="9">
        <v>1</v>
      </c>
      <c r="AJ134" s="9">
        <v>0.284779583002091</v>
      </c>
      <c r="AK134" s="10" t="s">
        <v>51</v>
      </c>
      <c r="AL134" s="8"/>
      <c r="AM134" s="8"/>
      <c r="AN134" s="8"/>
      <c r="AO134" s="8"/>
      <c r="AP134" s="9">
        <v>4</v>
      </c>
      <c r="AQ134" s="9">
        <v>1</v>
      </c>
      <c r="AR134" s="10" t="s">
        <v>98</v>
      </c>
      <c r="AS134" s="10" t="s">
        <v>53</v>
      </c>
      <c r="AT134" s="8"/>
      <c r="AU134" s="10" t="s">
        <v>54</v>
      </c>
      <c r="AV134" s="10" t="s">
        <v>51</v>
      </c>
      <c r="AW134" s="10" t="s">
        <v>99</v>
      </c>
      <c r="AX134" s="8"/>
    </row>
    <row r="135" spans="1:50" x14ac:dyDescent="0.15">
      <c r="A135" s="11" t="s">
        <v>68</v>
      </c>
      <c r="B135" s="12" t="s">
        <v>57</v>
      </c>
      <c r="C135" s="10" t="s">
        <v>58</v>
      </c>
      <c r="D135" s="10" t="s">
        <v>59</v>
      </c>
      <c r="E135" s="9">
        <v>150</v>
      </c>
      <c r="F135" s="9">
        <v>150</v>
      </c>
      <c r="G135" s="9">
        <v>4</v>
      </c>
      <c r="H135" s="10" t="s">
        <v>59</v>
      </c>
      <c r="I135" s="9">
        <v>1</v>
      </c>
      <c r="J135" s="9">
        <v>0.55563733300368801</v>
      </c>
      <c r="K135" s="10" t="s">
        <v>51</v>
      </c>
      <c r="L135" s="9">
        <v>4</v>
      </c>
      <c r="M135" s="9">
        <v>150</v>
      </c>
      <c r="N135" s="9">
        <v>150</v>
      </c>
      <c r="O135" s="9">
        <v>22</v>
      </c>
      <c r="P135" s="9">
        <v>152.86226362499301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9">
        <v>152.852231375</v>
      </c>
      <c r="AC135" s="9">
        <v>152.86226362499301</v>
      </c>
      <c r="AD135" s="9">
        <v>153.351456291988</v>
      </c>
      <c r="AE135" s="9">
        <v>153.351456291988</v>
      </c>
      <c r="AF135" s="9">
        <v>153.351456291988</v>
      </c>
      <c r="AG135" s="9">
        <v>153.91198395799401</v>
      </c>
      <c r="AH135" s="10" t="s">
        <v>59</v>
      </c>
      <c r="AI135" s="9">
        <v>1</v>
      </c>
      <c r="AJ135" s="9">
        <v>0.55563733300368801</v>
      </c>
      <c r="AK135" s="10" t="s">
        <v>51</v>
      </c>
      <c r="AL135" s="8"/>
      <c r="AM135" s="8"/>
      <c r="AN135" s="8"/>
      <c r="AO135" s="8"/>
      <c r="AP135" s="9">
        <v>4</v>
      </c>
      <c r="AQ135" s="9">
        <v>1</v>
      </c>
      <c r="AR135" s="10" t="s">
        <v>98</v>
      </c>
      <c r="AS135" s="10" t="s">
        <v>53</v>
      </c>
      <c r="AT135" s="8"/>
      <c r="AU135" s="10" t="s">
        <v>54</v>
      </c>
      <c r="AV135" s="10" t="s">
        <v>51</v>
      </c>
      <c r="AW135" s="10" t="s">
        <v>99</v>
      </c>
      <c r="AX135" s="8"/>
    </row>
    <row r="136" spans="1:50" x14ac:dyDescent="0.15">
      <c r="A136" s="11" t="s">
        <v>56</v>
      </c>
      <c r="B136" s="12" t="s">
        <v>57</v>
      </c>
      <c r="C136" s="10" t="s">
        <v>62</v>
      </c>
      <c r="D136" s="10" t="s">
        <v>63</v>
      </c>
      <c r="E136" s="9">
        <v>154</v>
      </c>
      <c r="F136" s="9">
        <v>154</v>
      </c>
      <c r="G136" s="9">
        <v>3</v>
      </c>
      <c r="H136" s="10" t="s">
        <v>63</v>
      </c>
      <c r="I136" s="9">
        <v>1</v>
      </c>
      <c r="J136" s="9">
        <v>0.421169915993232</v>
      </c>
      <c r="K136" s="10" t="s">
        <v>51</v>
      </c>
      <c r="L136" s="9">
        <v>3</v>
      </c>
      <c r="M136" s="9">
        <v>154</v>
      </c>
      <c r="N136" s="9">
        <v>154</v>
      </c>
      <c r="O136" s="9">
        <v>17</v>
      </c>
      <c r="P136" s="9">
        <v>156.69867054199901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9">
        <v>156.68912087498799</v>
      </c>
      <c r="AC136" s="9">
        <v>156.69867054199901</v>
      </c>
      <c r="AD136" s="9">
        <v>157.18601908298999</v>
      </c>
      <c r="AE136" s="9">
        <v>157.18601908298999</v>
      </c>
      <c r="AF136" s="9">
        <v>157.18601908298999</v>
      </c>
      <c r="AG136" s="9">
        <v>157.61254299999601</v>
      </c>
      <c r="AH136" s="10" t="s">
        <v>63</v>
      </c>
      <c r="AI136" s="9">
        <v>1</v>
      </c>
      <c r="AJ136" s="9">
        <v>0.421169915993232</v>
      </c>
      <c r="AK136" s="10" t="s">
        <v>51</v>
      </c>
      <c r="AL136" s="8"/>
      <c r="AM136" s="8"/>
      <c r="AN136" s="8"/>
      <c r="AO136" s="8"/>
      <c r="AP136" s="9">
        <v>4</v>
      </c>
      <c r="AQ136" s="9">
        <v>1</v>
      </c>
      <c r="AR136" s="10" t="s">
        <v>98</v>
      </c>
      <c r="AS136" s="10" t="s">
        <v>53</v>
      </c>
      <c r="AT136" s="8"/>
      <c r="AU136" s="10" t="s">
        <v>54</v>
      </c>
      <c r="AV136" s="10" t="s">
        <v>51</v>
      </c>
      <c r="AW136" s="10" t="s">
        <v>99</v>
      </c>
      <c r="AX136" s="8"/>
    </row>
    <row r="137" spans="1:50" x14ac:dyDescent="0.15">
      <c r="A137" s="11" t="s">
        <v>65</v>
      </c>
      <c r="B137" s="12" t="s">
        <v>57</v>
      </c>
      <c r="C137" s="10" t="s">
        <v>58</v>
      </c>
      <c r="D137" s="10" t="s">
        <v>59</v>
      </c>
      <c r="E137" s="9">
        <v>160</v>
      </c>
      <c r="F137" s="9">
        <v>160</v>
      </c>
      <c r="G137" s="9">
        <v>3</v>
      </c>
      <c r="H137" s="10" t="s">
        <v>59</v>
      </c>
      <c r="I137" s="9">
        <v>1</v>
      </c>
      <c r="J137" s="9">
        <v>0.48119066700746799</v>
      </c>
      <c r="K137" s="10" t="s">
        <v>51</v>
      </c>
      <c r="L137" s="9">
        <v>3</v>
      </c>
      <c r="M137" s="9">
        <v>160</v>
      </c>
      <c r="N137" s="9">
        <v>160</v>
      </c>
      <c r="O137" s="9">
        <v>30</v>
      </c>
      <c r="P137" s="9">
        <v>162.241918041997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9">
        <v>162.23288812499999</v>
      </c>
      <c r="AC137" s="9">
        <v>162.241918041997</v>
      </c>
      <c r="AD137" s="9">
        <v>162.72698549999001</v>
      </c>
      <c r="AE137" s="9">
        <v>162.72698549999001</v>
      </c>
      <c r="AF137" s="9">
        <v>162.72698549999001</v>
      </c>
      <c r="AG137" s="9">
        <v>163.21288195799599</v>
      </c>
      <c r="AH137" s="10" t="s">
        <v>59</v>
      </c>
      <c r="AI137" s="9">
        <v>1</v>
      </c>
      <c r="AJ137" s="9">
        <v>0.48119066700746799</v>
      </c>
      <c r="AK137" s="10" t="s">
        <v>51</v>
      </c>
      <c r="AL137" s="8"/>
      <c r="AM137" s="8"/>
      <c r="AN137" s="8"/>
      <c r="AO137" s="8"/>
      <c r="AP137" s="9">
        <v>4</v>
      </c>
      <c r="AQ137" s="9">
        <v>1</v>
      </c>
      <c r="AR137" s="10" t="s">
        <v>98</v>
      </c>
      <c r="AS137" s="10" t="s">
        <v>53</v>
      </c>
      <c r="AT137" s="8"/>
      <c r="AU137" s="10" t="s">
        <v>54</v>
      </c>
      <c r="AV137" s="10" t="s">
        <v>51</v>
      </c>
      <c r="AW137" s="10" t="s">
        <v>99</v>
      </c>
      <c r="AX137" s="8"/>
    </row>
    <row r="138" spans="1:50" x14ac:dyDescent="0.15">
      <c r="A138" s="11" t="s">
        <v>84</v>
      </c>
      <c r="B138" s="12" t="s">
        <v>57</v>
      </c>
      <c r="C138" s="10" t="s">
        <v>62</v>
      </c>
      <c r="D138" s="10" t="s">
        <v>63</v>
      </c>
      <c r="E138" s="9">
        <v>164</v>
      </c>
      <c r="F138" s="9">
        <v>164</v>
      </c>
      <c r="G138" s="9">
        <v>3</v>
      </c>
      <c r="H138" s="10" t="s">
        <v>63</v>
      </c>
      <c r="I138" s="9">
        <v>1</v>
      </c>
      <c r="J138" s="9">
        <v>0.39465941600792598</v>
      </c>
      <c r="K138" s="10" t="s">
        <v>51</v>
      </c>
      <c r="L138" s="9">
        <v>3</v>
      </c>
      <c r="M138" s="9">
        <v>164</v>
      </c>
      <c r="N138" s="9">
        <v>164</v>
      </c>
      <c r="O138" s="9">
        <v>21</v>
      </c>
      <c r="P138" s="9">
        <v>165.632546875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9">
        <v>165.62291220799699</v>
      </c>
      <c r="AC138" s="9">
        <v>165.632546875</v>
      </c>
      <c r="AD138" s="9">
        <v>166.11947912498701</v>
      </c>
      <c r="AE138" s="9">
        <v>166.11947912498701</v>
      </c>
      <c r="AF138" s="9">
        <v>166.11947912498701</v>
      </c>
      <c r="AG138" s="9">
        <v>166.51817320799501</v>
      </c>
      <c r="AH138" s="10" t="s">
        <v>63</v>
      </c>
      <c r="AI138" s="9">
        <v>1</v>
      </c>
      <c r="AJ138" s="9">
        <v>0.39465941600792598</v>
      </c>
      <c r="AK138" s="10" t="s">
        <v>51</v>
      </c>
      <c r="AL138" s="8"/>
      <c r="AM138" s="8"/>
      <c r="AN138" s="8"/>
      <c r="AO138" s="8"/>
      <c r="AP138" s="9">
        <v>4</v>
      </c>
      <c r="AQ138" s="9">
        <v>1</v>
      </c>
      <c r="AR138" s="10" t="s">
        <v>98</v>
      </c>
      <c r="AS138" s="10" t="s">
        <v>53</v>
      </c>
      <c r="AT138" s="8"/>
      <c r="AU138" s="10" t="s">
        <v>54</v>
      </c>
      <c r="AV138" s="10" t="s">
        <v>51</v>
      </c>
      <c r="AW138" s="10" t="s">
        <v>99</v>
      </c>
      <c r="AX138" s="8"/>
    </row>
    <row r="139" spans="1:50" x14ac:dyDescent="0.15">
      <c r="A139" s="11" t="s">
        <v>78</v>
      </c>
      <c r="B139" s="12" t="s">
        <v>57</v>
      </c>
      <c r="C139" s="10" t="s">
        <v>58</v>
      </c>
      <c r="D139" s="10" t="s">
        <v>59</v>
      </c>
      <c r="E139" s="9">
        <v>170</v>
      </c>
      <c r="F139" s="9">
        <v>170</v>
      </c>
      <c r="G139" s="9">
        <v>2</v>
      </c>
      <c r="H139" s="10" t="s">
        <v>59</v>
      </c>
      <c r="I139" s="9">
        <v>1</v>
      </c>
      <c r="J139" s="9">
        <v>0.41418275001342397</v>
      </c>
      <c r="K139" s="10" t="s">
        <v>51</v>
      </c>
      <c r="L139" s="9">
        <v>2</v>
      </c>
      <c r="M139" s="9">
        <v>170</v>
      </c>
      <c r="N139" s="9">
        <v>170</v>
      </c>
      <c r="O139" s="9">
        <v>26</v>
      </c>
      <c r="P139" s="9">
        <v>171.45013474999001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9">
        <v>171.440564457997</v>
      </c>
      <c r="AC139" s="9">
        <v>171.45013474999001</v>
      </c>
      <c r="AD139" s="9">
        <v>171.93702704199001</v>
      </c>
      <c r="AE139" s="9">
        <v>171.93702704199001</v>
      </c>
      <c r="AF139" s="9">
        <v>171.93702704199001</v>
      </c>
      <c r="AG139" s="9">
        <v>172.36274687499099</v>
      </c>
      <c r="AH139" s="10" t="s">
        <v>59</v>
      </c>
      <c r="AI139" s="9">
        <v>1</v>
      </c>
      <c r="AJ139" s="9">
        <v>0.41418275001342397</v>
      </c>
      <c r="AK139" s="10" t="s">
        <v>51</v>
      </c>
      <c r="AL139" s="8"/>
      <c r="AM139" s="8"/>
      <c r="AN139" s="8"/>
      <c r="AO139" s="8"/>
      <c r="AP139" s="9">
        <v>4</v>
      </c>
      <c r="AQ139" s="9">
        <v>1</v>
      </c>
      <c r="AR139" s="10" t="s">
        <v>98</v>
      </c>
      <c r="AS139" s="10" t="s">
        <v>53</v>
      </c>
      <c r="AT139" s="8"/>
      <c r="AU139" s="10" t="s">
        <v>54</v>
      </c>
      <c r="AV139" s="10" t="s">
        <v>51</v>
      </c>
      <c r="AW139" s="10" t="s">
        <v>99</v>
      </c>
      <c r="AX139" s="8"/>
    </row>
    <row r="140" spans="1:50" x14ac:dyDescent="0.15">
      <c r="A140" s="11" t="s">
        <v>56</v>
      </c>
      <c r="B140" s="12" t="s">
        <v>57</v>
      </c>
      <c r="C140" s="10" t="s">
        <v>62</v>
      </c>
      <c r="D140" s="10" t="s">
        <v>63</v>
      </c>
      <c r="E140" s="9">
        <v>171</v>
      </c>
      <c r="F140" s="9">
        <v>171</v>
      </c>
      <c r="G140" s="9">
        <v>4</v>
      </c>
      <c r="H140" s="10" t="s">
        <v>63</v>
      </c>
      <c r="I140" s="9">
        <v>1</v>
      </c>
      <c r="J140" s="9">
        <v>0.407462749994011</v>
      </c>
      <c r="K140" s="10" t="s">
        <v>51</v>
      </c>
      <c r="L140" s="9">
        <v>4</v>
      </c>
      <c r="M140" s="9">
        <v>171</v>
      </c>
      <c r="N140" s="9">
        <v>171</v>
      </c>
      <c r="O140" s="9">
        <v>17</v>
      </c>
      <c r="P140" s="9">
        <v>172.376268458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9">
        <v>172.36733641699499</v>
      </c>
      <c r="AC140" s="9">
        <v>172.376268458</v>
      </c>
      <c r="AD140" s="9">
        <v>172.86071129199999</v>
      </c>
      <c r="AE140" s="9">
        <v>172.86071129199999</v>
      </c>
      <c r="AF140" s="9">
        <v>172.86071129199999</v>
      </c>
      <c r="AG140" s="9">
        <v>173.279874332991</v>
      </c>
      <c r="AH140" s="10" t="s">
        <v>63</v>
      </c>
      <c r="AI140" s="9">
        <v>1</v>
      </c>
      <c r="AJ140" s="9">
        <v>0.407462749994011</v>
      </c>
      <c r="AK140" s="10" t="s">
        <v>51</v>
      </c>
      <c r="AL140" s="8"/>
      <c r="AM140" s="8"/>
      <c r="AN140" s="8"/>
      <c r="AO140" s="8"/>
      <c r="AP140" s="9">
        <v>4</v>
      </c>
      <c r="AQ140" s="9">
        <v>1</v>
      </c>
      <c r="AR140" s="10" t="s">
        <v>98</v>
      </c>
      <c r="AS140" s="10" t="s">
        <v>53</v>
      </c>
      <c r="AT140" s="8"/>
      <c r="AU140" s="10" t="s">
        <v>54</v>
      </c>
      <c r="AV140" s="10" t="s">
        <v>51</v>
      </c>
      <c r="AW140" s="10" t="s">
        <v>99</v>
      </c>
      <c r="AX140" s="8"/>
    </row>
    <row r="141" spans="1:50" x14ac:dyDescent="0.15">
      <c r="A141" s="11" t="s">
        <v>68</v>
      </c>
      <c r="B141" s="12" t="s">
        <v>57</v>
      </c>
      <c r="C141" s="10" t="s">
        <v>62</v>
      </c>
      <c r="D141" s="10" t="s">
        <v>63</v>
      </c>
      <c r="E141" s="9">
        <v>172</v>
      </c>
      <c r="F141" s="9">
        <v>172</v>
      </c>
      <c r="G141" s="9">
        <v>3</v>
      </c>
      <c r="H141" s="10" t="s">
        <v>63</v>
      </c>
      <c r="I141" s="9">
        <v>1</v>
      </c>
      <c r="J141" s="9">
        <v>0.45634112399420701</v>
      </c>
      <c r="K141" s="10" t="s">
        <v>51</v>
      </c>
      <c r="L141" s="9">
        <v>3</v>
      </c>
      <c r="M141" s="9">
        <v>172</v>
      </c>
      <c r="N141" s="9">
        <v>172</v>
      </c>
      <c r="O141" s="9">
        <v>23</v>
      </c>
      <c r="P141" s="9">
        <v>173.294513791989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9">
        <v>173.28568741699601</v>
      </c>
      <c r="AC141" s="9">
        <v>173.294513791989</v>
      </c>
      <c r="AD141" s="9">
        <v>173.77793316698799</v>
      </c>
      <c r="AE141" s="9">
        <v>173.77793316698799</v>
      </c>
      <c r="AF141" s="9">
        <v>173.77793316698799</v>
      </c>
      <c r="AG141" s="9">
        <v>174.23565933299</v>
      </c>
      <c r="AH141" s="10" t="s">
        <v>63</v>
      </c>
      <c r="AI141" s="9">
        <v>1</v>
      </c>
      <c r="AJ141" s="9">
        <v>0.45634112399420701</v>
      </c>
      <c r="AK141" s="10" t="s">
        <v>51</v>
      </c>
      <c r="AL141" s="8"/>
      <c r="AM141" s="8"/>
      <c r="AN141" s="8"/>
      <c r="AO141" s="8"/>
      <c r="AP141" s="9">
        <v>4</v>
      </c>
      <c r="AQ141" s="9">
        <v>1</v>
      </c>
      <c r="AR141" s="10" t="s">
        <v>98</v>
      </c>
      <c r="AS141" s="10" t="s">
        <v>53</v>
      </c>
      <c r="AT141" s="8"/>
      <c r="AU141" s="10" t="s">
        <v>54</v>
      </c>
      <c r="AV141" s="10" t="s">
        <v>51</v>
      </c>
      <c r="AW141" s="10" t="s">
        <v>99</v>
      </c>
      <c r="AX141" s="8"/>
    </row>
    <row r="142" spans="1:50" x14ac:dyDescent="0.15">
      <c r="A142" s="11" t="s">
        <v>84</v>
      </c>
      <c r="B142" s="12" t="s">
        <v>57</v>
      </c>
      <c r="C142" s="10" t="s">
        <v>58</v>
      </c>
      <c r="D142" s="10" t="s">
        <v>59</v>
      </c>
      <c r="E142" s="9">
        <v>174</v>
      </c>
      <c r="F142" s="9">
        <v>174</v>
      </c>
      <c r="G142" s="9">
        <v>4</v>
      </c>
      <c r="H142" s="10" t="s">
        <v>59</v>
      </c>
      <c r="I142" s="9">
        <v>1</v>
      </c>
      <c r="J142" s="9">
        <v>0.35538083300343698</v>
      </c>
      <c r="K142" s="10" t="s">
        <v>51</v>
      </c>
      <c r="L142" s="9">
        <v>4</v>
      </c>
      <c r="M142" s="9">
        <v>174</v>
      </c>
      <c r="N142" s="9">
        <v>174</v>
      </c>
      <c r="O142" s="9">
        <v>20</v>
      </c>
      <c r="P142" s="9">
        <v>175.177039666989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9">
        <v>175.16810870799199</v>
      </c>
      <c r="AC142" s="9">
        <v>175.177039666989</v>
      </c>
      <c r="AD142" s="9">
        <v>175.66092995798701</v>
      </c>
      <c r="AE142" s="9">
        <v>175.66092995798701</v>
      </c>
      <c r="AF142" s="9">
        <v>175.66092995798701</v>
      </c>
      <c r="AG142" s="9">
        <v>176.01891916699199</v>
      </c>
      <c r="AH142" s="10" t="s">
        <v>59</v>
      </c>
      <c r="AI142" s="9">
        <v>1</v>
      </c>
      <c r="AJ142" s="9">
        <v>0.35538083300343698</v>
      </c>
      <c r="AK142" s="10" t="s">
        <v>51</v>
      </c>
      <c r="AL142" s="8"/>
      <c r="AM142" s="8"/>
      <c r="AN142" s="8"/>
      <c r="AO142" s="8"/>
      <c r="AP142" s="9">
        <v>4</v>
      </c>
      <c r="AQ142" s="9">
        <v>1</v>
      </c>
      <c r="AR142" s="10" t="s">
        <v>98</v>
      </c>
      <c r="AS142" s="10" t="s">
        <v>53</v>
      </c>
      <c r="AT142" s="8"/>
      <c r="AU142" s="10" t="s">
        <v>54</v>
      </c>
      <c r="AV142" s="10" t="s">
        <v>51</v>
      </c>
      <c r="AW142" s="10" t="s">
        <v>99</v>
      </c>
      <c r="AX142" s="8"/>
    </row>
    <row r="143" spans="1:50" x14ac:dyDescent="0.15">
      <c r="A143" s="11" t="s">
        <v>68</v>
      </c>
      <c r="B143" s="12" t="s">
        <v>57</v>
      </c>
      <c r="C143" s="10" t="s">
        <v>62</v>
      </c>
      <c r="D143" s="10" t="s">
        <v>63</v>
      </c>
      <c r="E143" s="9">
        <v>175</v>
      </c>
      <c r="F143" s="9">
        <v>175</v>
      </c>
      <c r="G143" s="9">
        <v>4</v>
      </c>
      <c r="H143" s="10" t="s">
        <v>63</v>
      </c>
      <c r="I143" s="9">
        <v>1</v>
      </c>
      <c r="J143" s="9">
        <v>0.46192374899692401</v>
      </c>
      <c r="K143" s="10" t="s">
        <v>51</v>
      </c>
      <c r="L143" s="9">
        <v>4</v>
      </c>
      <c r="M143" s="9">
        <v>175</v>
      </c>
      <c r="N143" s="9">
        <v>175</v>
      </c>
      <c r="O143" s="9">
        <v>23</v>
      </c>
      <c r="P143" s="9">
        <v>176.03281008299399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9">
        <v>176.02388399999501</v>
      </c>
      <c r="AC143" s="9">
        <v>176.03281008299399</v>
      </c>
      <c r="AD143" s="9">
        <v>176.51997699998901</v>
      </c>
      <c r="AE143" s="9">
        <v>176.51997699998901</v>
      </c>
      <c r="AF143" s="9">
        <v>176.51997699998901</v>
      </c>
      <c r="AG143" s="9">
        <v>176.98577062499001</v>
      </c>
      <c r="AH143" s="10" t="s">
        <v>63</v>
      </c>
      <c r="AI143" s="9">
        <v>1</v>
      </c>
      <c r="AJ143" s="9">
        <v>0.46192374899692401</v>
      </c>
      <c r="AK143" s="10" t="s">
        <v>51</v>
      </c>
      <c r="AL143" s="8"/>
      <c r="AM143" s="8"/>
      <c r="AN143" s="8"/>
      <c r="AO143" s="8"/>
      <c r="AP143" s="9">
        <v>4</v>
      </c>
      <c r="AQ143" s="9">
        <v>1</v>
      </c>
      <c r="AR143" s="10" t="s">
        <v>98</v>
      </c>
      <c r="AS143" s="10" t="s">
        <v>53</v>
      </c>
      <c r="AT143" s="8"/>
      <c r="AU143" s="10" t="s">
        <v>54</v>
      </c>
      <c r="AV143" s="10" t="s">
        <v>51</v>
      </c>
      <c r="AW143" s="10" t="s">
        <v>99</v>
      </c>
      <c r="AX143" s="8"/>
    </row>
    <row r="144" spans="1:50" x14ac:dyDescent="0.15">
      <c r="A144" s="11" t="s">
        <v>72</v>
      </c>
      <c r="B144" s="12" t="s">
        <v>57</v>
      </c>
      <c r="C144" s="10" t="s">
        <v>62</v>
      </c>
      <c r="D144" s="10" t="s">
        <v>63</v>
      </c>
      <c r="E144" s="9">
        <v>177</v>
      </c>
      <c r="F144" s="9">
        <v>177</v>
      </c>
      <c r="G144" s="9">
        <v>4</v>
      </c>
      <c r="H144" s="10" t="s">
        <v>63</v>
      </c>
      <c r="I144" s="9">
        <v>1</v>
      </c>
      <c r="J144" s="9">
        <v>0.37623120799253201</v>
      </c>
      <c r="K144" s="10" t="s">
        <v>51</v>
      </c>
      <c r="L144" s="9">
        <v>4</v>
      </c>
      <c r="M144" s="9">
        <v>177</v>
      </c>
      <c r="N144" s="9">
        <v>177</v>
      </c>
      <c r="O144" s="9">
        <v>25</v>
      </c>
      <c r="P144" s="9">
        <v>177.83351358299799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9">
        <v>177.82371545799799</v>
      </c>
      <c r="AC144" s="9">
        <v>177.83351358299799</v>
      </c>
      <c r="AD144" s="9">
        <v>178.320078082994</v>
      </c>
      <c r="AE144" s="9">
        <v>178.320078082994</v>
      </c>
      <c r="AF144" s="9">
        <v>178.320078082994</v>
      </c>
      <c r="AG144" s="9">
        <v>178.70228908299799</v>
      </c>
      <c r="AH144" s="10" t="s">
        <v>63</v>
      </c>
      <c r="AI144" s="9">
        <v>1</v>
      </c>
      <c r="AJ144" s="9">
        <v>0.37623120799253201</v>
      </c>
      <c r="AK144" s="10" t="s">
        <v>51</v>
      </c>
      <c r="AL144" s="8"/>
      <c r="AM144" s="8"/>
      <c r="AN144" s="8"/>
      <c r="AO144" s="8"/>
      <c r="AP144" s="9">
        <v>4</v>
      </c>
      <c r="AQ144" s="9">
        <v>1</v>
      </c>
      <c r="AR144" s="10" t="s">
        <v>98</v>
      </c>
      <c r="AS144" s="10" t="s">
        <v>53</v>
      </c>
      <c r="AT144" s="8"/>
      <c r="AU144" s="10" t="s">
        <v>54</v>
      </c>
      <c r="AV144" s="10" t="s">
        <v>51</v>
      </c>
      <c r="AW144" s="10" t="s">
        <v>99</v>
      </c>
      <c r="AX144" s="8"/>
    </row>
    <row r="145" spans="1:50" x14ac:dyDescent="0.15">
      <c r="A145" s="11" t="s">
        <v>72</v>
      </c>
      <c r="B145" s="12" t="s">
        <v>57</v>
      </c>
      <c r="C145" s="10" t="s">
        <v>58</v>
      </c>
      <c r="D145" s="10" t="s">
        <v>59</v>
      </c>
      <c r="E145" s="9">
        <v>183</v>
      </c>
      <c r="F145" s="9">
        <v>183</v>
      </c>
      <c r="G145" s="9">
        <v>4</v>
      </c>
      <c r="H145" s="10" t="s">
        <v>59</v>
      </c>
      <c r="I145" s="9">
        <v>1</v>
      </c>
      <c r="J145" s="9">
        <v>0.39697633299510898</v>
      </c>
      <c r="K145" s="10" t="s">
        <v>51</v>
      </c>
      <c r="L145" s="9">
        <v>4</v>
      </c>
      <c r="M145" s="9">
        <v>183</v>
      </c>
      <c r="N145" s="9">
        <v>183</v>
      </c>
      <c r="O145" s="9">
        <v>24</v>
      </c>
      <c r="P145" s="9">
        <v>183.133577832996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9">
        <v>183.124155166995</v>
      </c>
      <c r="AC145" s="9">
        <v>183.133577832996</v>
      </c>
      <c r="AD145" s="9">
        <v>183.62055662499901</v>
      </c>
      <c r="AE145" s="9">
        <v>183.62055662499901</v>
      </c>
      <c r="AF145" s="9">
        <v>183.62055662499901</v>
      </c>
      <c r="AG145" s="9">
        <v>184.019096166987</v>
      </c>
      <c r="AH145" s="10" t="s">
        <v>59</v>
      </c>
      <c r="AI145" s="9">
        <v>1</v>
      </c>
      <c r="AJ145" s="9">
        <v>0.39697633299510898</v>
      </c>
      <c r="AK145" s="10" t="s">
        <v>51</v>
      </c>
      <c r="AL145" s="8"/>
      <c r="AM145" s="8"/>
      <c r="AN145" s="8"/>
      <c r="AO145" s="8"/>
      <c r="AP145" s="9">
        <v>4</v>
      </c>
      <c r="AQ145" s="9">
        <v>1</v>
      </c>
      <c r="AR145" s="10" t="s">
        <v>98</v>
      </c>
      <c r="AS145" s="10" t="s">
        <v>53</v>
      </c>
      <c r="AT145" s="8"/>
      <c r="AU145" s="10" t="s">
        <v>54</v>
      </c>
      <c r="AV145" s="10" t="s">
        <v>51</v>
      </c>
      <c r="AW145" s="10" t="s">
        <v>99</v>
      </c>
      <c r="AX145" s="8"/>
    </row>
    <row r="146" spans="1:50" x14ac:dyDescent="0.15">
      <c r="A146" s="11" t="s">
        <v>78</v>
      </c>
      <c r="B146" s="12" t="s">
        <v>57</v>
      </c>
      <c r="C146" s="10" t="s">
        <v>62</v>
      </c>
      <c r="D146" s="10" t="s">
        <v>63</v>
      </c>
      <c r="E146" s="9">
        <v>184</v>
      </c>
      <c r="F146" s="9">
        <v>184</v>
      </c>
      <c r="G146" s="9">
        <v>3</v>
      </c>
      <c r="H146" s="10" t="s">
        <v>63</v>
      </c>
      <c r="I146" s="9">
        <v>1</v>
      </c>
      <c r="J146" s="9">
        <v>0.39839316600409802</v>
      </c>
      <c r="K146" s="10" t="s">
        <v>51</v>
      </c>
      <c r="L146" s="9">
        <v>3</v>
      </c>
      <c r="M146" s="9">
        <v>184</v>
      </c>
      <c r="N146" s="9">
        <v>184</v>
      </c>
      <c r="O146" s="9">
        <v>27</v>
      </c>
      <c r="P146" s="9">
        <v>184.03405624999101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9">
        <v>184.024384874996</v>
      </c>
      <c r="AC146" s="9">
        <v>184.03405624999101</v>
      </c>
      <c r="AD146" s="9">
        <v>184.520079249996</v>
      </c>
      <c r="AE146" s="9">
        <v>184.520079249996</v>
      </c>
      <c r="AF146" s="9">
        <v>184.520079249996</v>
      </c>
      <c r="AG146" s="9">
        <v>184.929944291987</v>
      </c>
      <c r="AH146" s="10" t="s">
        <v>63</v>
      </c>
      <c r="AI146" s="9">
        <v>1</v>
      </c>
      <c r="AJ146" s="9">
        <v>0.39839316600409802</v>
      </c>
      <c r="AK146" s="10" t="s">
        <v>51</v>
      </c>
      <c r="AL146" s="8"/>
      <c r="AM146" s="8"/>
      <c r="AN146" s="8"/>
      <c r="AO146" s="8"/>
      <c r="AP146" s="9">
        <v>4</v>
      </c>
      <c r="AQ146" s="9">
        <v>1</v>
      </c>
      <c r="AR146" s="10" t="s">
        <v>98</v>
      </c>
      <c r="AS146" s="10" t="s">
        <v>53</v>
      </c>
      <c r="AT146" s="8"/>
      <c r="AU146" s="10" t="s">
        <v>54</v>
      </c>
      <c r="AV146" s="10" t="s">
        <v>51</v>
      </c>
      <c r="AW146" s="10" t="s">
        <v>99</v>
      </c>
      <c r="AX146" s="8"/>
    </row>
    <row r="147" spans="1:50" x14ac:dyDescent="0.15">
      <c r="A147" s="11" t="s">
        <v>65</v>
      </c>
      <c r="B147" s="12" t="s">
        <v>57</v>
      </c>
      <c r="C147" s="10" t="s">
        <v>58</v>
      </c>
      <c r="D147" s="10" t="s">
        <v>59</v>
      </c>
      <c r="E147" s="9">
        <v>185</v>
      </c>
      <c r="F147" s="9">
        <v>185</v>
      </c>
      <c r="G147" s="9">
        <v>4</v>
      </c>
      <c r="H147" s="10" t="s">
        <v>59</v>
      </c>
      <c r="I147" s="9">
        <v>1</v>
      </c>
      <c r="J147" s="9">
        <v>0.37981774999934698</v>
      </c>
      <c r="K147" s="10" t="s">
        <v>51</v>
      </c>
      <c r="L147" s="9">
        <v>4</v>
      </c>
      <c r="M147" s="9">
        <v>185</v>
      </c>
      <c r="N147" s="9">
        <v>185</v>
      </c>
      <c r="O147" s="9">
        <v>30</v>
      </c>
      <c r="P147" s="9">
        <v>184.94331945799101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9">
        <v>184.93457979199599</v>
      </c>
      <c r="AC147" s="9">
        <v>184.94331945799101</v>
      </c>
      <c r="AD147" s="9">
        <v>185.427770208</v>
      </c>
      <c r="AE147" s="9">
        <v>185.427770208</v>
      </c>
      <c r="AF147" s="9">
        <v>185.427770208</v>
      </c>
      <c r="AG147" s="9">
        <v>185.81346737498799</v>
      </c>
      <c r="AH147" s="10" t="s">
        <v>59</v>
      </c>
      <c r="AI147" s="9">
        <v>1</v>
      </c>
      <c r="AJ147" s="9">
        <v>0.37981774999934698</v>
      </c>
      <c r="AK147" s="10" t="s">
        <v>51</v>
      </c>
      <c r="AL147" s="8"/>
      <c r="AM147" s="8"/>
      <c r="AN147" s="8"/>
      <c r="AO147" s="8"/>
      <c r="AP147" s="9">
        <v>4</v>
      </c>
      <c r="AQ147" s="9">
        <v>1</v>
      </c>
      <c r="AR147" s="10" t="s">
        <v>98</v>
      </c>
      <c r="AS147" s="10" t="s">
        <v>53</v>
      </c>
      <c r="AT147" s="8"/>
      <c r="AU147" s="10" t="s">
        <v>54</v>
      </c>
      <c r="AV147" s="10" t="s">
        <v>51</v>
      </c>
      <c r="AW147" s="10" t="s">
        <v>99</v>
      </c>
      <c r="AX147" s="8"/>
    </row>
    <row r="148" spans="1:50" x14ac:dyDescent="0.15">
      <c r="A148" s="11" t="s">
        <v>56</v>
      </c>
      <c r="B148" s="12" t="s">
        <v>57</v>
      </c>
      <c r="C148" s="10" t="s">
        <v>58</v>
      </c>
      <c r="D148" s="10" t="s">
        <v>59</v>
      </c>
      <c r="E148" s="9">
        <v>188</v>
      </c>
      <c r="F148" s="9">
        <v>188</v>
      </c>
      <c r="G148" s="9">
        <v>3</v>
      </c>
      <c r="H148" s="10" t="s">
        <v>59</v>
      </c>
      <c r="I148" s="9">
        <v>1</v>
      </c>
      <c r="J148" s="9">
        <v>0.296272166000563</v>
      </c>
      <c r="K148" s="10" t="s">
        <v>51</v>
      </c>
      <c r="L148" s="9">
        <v>3</v>
      </c>
      <c r="M148" s="9">
        <v>188</v>
      </c>
      <c r="N148" s="9">
        <v>188</v>
      </c>
      <c r="O148" s="9">
        <v>16</v>
      </c>
      <c r="P148" s="9">
        <v>187.44327762498901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9">
        <v>187.434483166988</v>
      </c>
      <c r="AC148" s="9">
        <v>187.44327762498901</v>
      </c>
      <c r="AD148" s="9">
        <v>187.92842616699599</v>
      </c>
      <c r="AE148" s="9">
        <v>187.92842616699599</v>
      </c>
      <c r="AF148" s="9">
        <v>187.92842616699599</v>
      </c>
      <c r="AG148" s="9">
        <v>188.23002004200001</v>
      </c>
      <c r="AH148" s="10" t="s">
        <v>59</v>
      </c>
      <c r="AI148" s="9">
        <v>1</v>
      </c>
      <c r="AJ148" s="9">
        <v>0.296272166000563</v>
      </c>
      <c r="AK148" s="10" t="s">
        <v>51</v>
      </c>
      <c r="AL148" s="8"/>
      <c r="AM148" s="8"/>
      <c r="AN148" s="8"/>
      <c r="AO148" s="8"/>
      <c r="AP148" s="9">
        <v>4</v>
      </c>
      <c r="AQ148" s="9">
        <v>1</v>
      </c>
      <c r="AR148" s="10" t="s">
        <v>98</v>
      </c>
      <c r="AS148" s="10" t="s">
        <v>53</v>
      </c>
      <c r="AT148" s="8"/>
      <c r="AU148" s="10" t="s">
        <v>54</v>
      </c>
      <c r="AV148" s="10" t="s">
        <v>51</v>
      </c>
      <c r="AW148" s="10" t="s">
        <v>99</v>
      </c>
      <c r="AX148" s="8"/>
    </row>
    <row r="149" spans="1:50" x14ac:dyDescent="0.15">
      <c r="A149" s="11" t="s">
        <v>71</v>
      </c>
      <c r="B149" s="12" t="s">
        <v>57</v>
      </c>
      <c r="C149" s="10" t="s">
        <v>58</v>
      </c>
      <c r="D149" s="10" t="s">
        <v>59</v>
      </c>
      <c r="E149" s="9">
        <v>189</v>
      </c>
      <c r="F149" s="9">
        <v>189</v>
      </c>
      <c r="G149" s="9">
        <v>3</v>
      </c>
      <c r="H149" s="10" t="s">
        <v>59</v>
      </c>
      <c r="I149" s="9">
        <v>1</v>
      </c>
      <c r="J149" s="9">
        <v>0.33612741599790802</v>
      </c>
      <c r="K149" s="10" t="s">
        <v>51</v>
      </c>
      <c r="L149" s="9">
        <v>3</v>
      </c>
      <c r="M149" s="9">
        <v>189</v>
      </c>
      <c r="N149" s="9">
        <v>189</v>
      </c>
      <c r="O149" s="9">
        <v>28</v>
      </c>
      <c r="P149" s="9">
        <v>188.243951957993</v>
      </c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9">
        <v>188.23501870800101</v>
      </c>
      <c r="AC149" s="9">
        <v>188.243951957993</v>
      </c>
      <c r="AD149" s="9">
        <v>188.72830899999801</v>
      </c>
      <c r="AE149" s="9">
        <v>188.72830899999801</v>
      </c>
      <c r="AF149" s="9">
        <v>188.72830899999801</v>
      </c>
      <c r="AG149" s="9">
        <v>189.069059499991</v>
      </c>
      <c r="AH149" s="10" t="s">
        <v>59</v>
      </c>
      <c r="AI149" s="9">
        <v>1</v>
      </c>
      <c r="AJ149" s="9">
        <v>0.33612741599790802</v>
      </c>
      <c r="AK149" s="10" t="s">
        <v>51</v>
      </c>
      <c r="AL149" s="8"/>
      <c r="AM149" s="8"/>
      <c r="AN149" s="8"/>
      <c r="AO149" s="8"/>
      <c r="AP149" s="9">
        <v>4</v>
      </c>
      <c r="AQ149" s="9">
        <v>1</v>
      </c>
      <c r="AR149" s="10" t="s">
        <v>98</v>
      </c>
      <c r="AS149" s="10" t="s">
        <v>53</v>
      </c>
      <c r="AT149" s="8"/>
      <c r="AU149" s="10" t="s">
        <v>54</v>
      </c>
      <c r="AV149" s="10" t="s">
        <v>51</v>
      </c>
      <c r="AW149" s="10" t="s">
        <v>99</v>
      </c>
      <c r="AX149" s="8"/>
    </row>
    <row r="150" spans="1:50" x14ac:dyDescent="0.15">
      <c r="A150" s="11" t="s">
        <v>78</v>
      </c>
      <c r="B150" s="12" t="s">
        <v>57</v>
      </c>
      <c r="C150" s="10" t="s">
        <v>58</v>
      </c>
      <c r="D150" s="10" t="s">
        <v>59</v>
      </c>
      <c r="E150" s="9">
        <v>194</v>
      </c>
      <c r="F150" s="9">
        <v>194</v>
      </c>
      <c r="G150" s="9">
        <v>3</v>
      </c>
      <c r="H150" s="10" t="s">
        <v>59</v>
      </c>
      <c r="I150" s="9">
        <v>1</v>
      </c>
      <c r="J150" s="9">
        <v>0.47310516699508298</v>
      </c>
      <c r="K150" s="10" t="s">
        <v>51</v>
      </c>
      <c r="L150" s="9">
        <v>3</v>
      </c>
      <c r="M150" s="9">
        <v>194</v>
      </c>
      <c r="N150" s="9">
        <v>194</v>
      </c>
      <c r="O150" s="9">
        <v>26</v>
      </c>
      <c r="P150" s="9">
        <v>192.63388691699899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9">
        <v>192.62257137498801</v>
      </c>
      <c r="AC150" s="9">
        <v>192.63388691699899</v>
      </c>
      <c r="AD150" s="9">
        <v>193.120634624996</v>
      </c>
      <c r="AE150" s="9">
        <v>193.120634624996</v>
      </c>
      <c r="AF150" s="9">
        <v>193.120634624996</v>
      </c>
      <c r="AG150" s="9">
        <v>193.59686129199699</v>
      </c>
      <c r="AH150" s="10" t="s">
        <v>59</v>
      </c>
      <c r="AI150" s="9">
        <v>1</v>
      </c>
      <c r="AJ150" s="9">
        <v>0.47310516699508298</v>
      </c>
      <c r="AK150" s="10" t="s">
        <v>51</v>
      </c>
      <c r="AL150" s="8"/>
      <c r="AM150" s="8"/>
      <c r="AN150" s="8"/>
      <c r="AO150" s="8"/>
      <c r="AP150" s="9">
        <v>4</v>
      </c>
      <c r="AQ150" s="9">
        <v>1</v>
      </c>
      <c r="AR150" s="10" t="s">
        <v>98</v>
      </c>
      <c r="AS150" s="10" t="s">
        <v>53</v>
      </c>
      <c r="AT150" s="8"/>
      <c r="AU150" s="10" t="s">
        <v>54</v>
      </c>
      <c r="AV150" s="10" t="s">
        <v>51</v>
      </c>
      <c r="AW150" s="10" t="s">
        <v>99</v>
      </c>
      <c r="AX150" s="8"/>
    </row>
    <row r="151" spans="1:50" x14ac:dyDescent="0.15">
      <c r="A151" s="11" t="s">
        <v>84</v>
      </c>
      <c r="B151" s="12" t="s">
        <v>57</v>
      </c>
      <c r="C151" s="10" t="s">
        <v>62</v>
      </c>
      <c r="D151" s="10" t="s">
        <v>63</v>
      </c>
      <c r="E151" s="9">
        <v>198</v>
      </c>
      <c r="F151" s="9">
        <v>198</v>
      </c>
      <c r="G151" s="9">
        <v>4</v>
      </c>
      <c r="H151" s="10" t="s">
        <v>63</v>
      </c>
      <c r="I151" s="9">
        <v>1</v>
      </c>
      <c r="J151" s="9">
        <v>0.52421712501382001</v>
      </c>
      <c r="K151" s="10" t="s">
        <v>51</v>
      </c>
      <c r="L151" s="9">
        <v>4</v>
      </c>
      <c r="M151" s="9">
        <v>198</v>
      </c>
      <c r="N151" s="9">
        <v>198</v>
      </c>
      <c r="O151" s="9">
        <v>21</v>
      </c>
      <c r="P151" s="9">
        <v>196.244173582993</v>
      </c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9">
        <v>196.23522170799001</v>
      </c>
      <c r="AC151" s="9">
        <v>196.244173582993</v>
      </c>
      <c r="AD151" s="9">
        <v>196.72842533299999</v>
      </c>
      <c r="AE151" s="9">
        <v>196.72842533299999</v>
      </c>
      <c r="AF151" s="9">
        <v>196.72842533299999</v>
      </c>
      <c r="AG151" s="9">
        <v>197.26368216698799</v>
      </c>
      <c r="AH151" s="10" t="s">
        <v>63</v>
      </c>
      <c r="AI151" s="9">
        <v>1</v>
      </c>
      <c r="AJ151" s="9">
        <v>0.52421712501382001</v>
      </c>
      <c r="AK151" s="10" t="s">
        <v>51</v>
      </c>
      <c r="AL151" s="8"/>
      <c r="AM151" s="8"/>
      <c r="AN151" s="8"/>
      <c r="AO151" s="8"/>
      <c r="AP151" s="9">
        <v>4</v>
      </c>
      <c r="AQ151" s="9">
        <v>1</v>
      </c>
      <c r="AR151" s="10" t="s">
        <v>98</v>
      </c>
      <c r="AS151" s="10" t="s">
        <v>53</v>
      </c>
      <c r="AT151" s="8"/>
      <c r="AU151" s="10" t="s">
        <v>54</v>
      </c>
      <c r="AV151" s="10" t="s">
        <v>51</v>
      </c>
      <c r="AW151" s="10" t="s">
        <v>99</v>
      </c>
      <c r="AX151" s="8"/>
    </row>
    <row r="152" spans="1:50" x14ac:dyDescent="0.15">
      <c r="A152" s="11" t="s">
        <v>56</v>
      </c>
      <c r="B152" s="12" t="s">
        <v>57</v>
      </c>
      <c r="C152" s="10" t="s">
        <v>58</v>
      </c>
      <c r="D152" s="10" t="s">
        <v>59</v>
      </c>
      <c r="E152" s="9">
        <v>200</v>
      </c>
      <c r="F152" s="9">
        <v>200</v>
      </c>
      <c r="G152" s="9">
        <v>4</v>
      </c>
      <c r="H152" s="10" t="s">
        <v>63</v>
      </c>
      <c r="I152" s="9">
        <v>0</v>
      </c>
      <c r="J152" s="9">
        <v>0.57142004200431995</v>
      </c>
      <c r="K152" s="10" t="s">
        <v>51</v>
      </c>
      <c r="L152" s="9">
        <v>4</v>
      </c>
      <c r="M152" s="9">
        <v>200</v>
      </c>
      <c r="N152" s="9">
        <v>200</v>
      </c>
      <c r="O152" s="9">
        <v>16</v>
      </c>
      <c r="P152" s="9">
        <v>198.29411924999999</v>
      </c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9">
        <v>198.28495833299499</v>
      </c>
      <c r="AC152" s="9">
        <v>198.29411924999999</v>
      </c>
      <c r="AD152" s="9">
        <v>198.778305791988</v>
      </c>
      <c r="AE152" s="9">
        <v>198.778305791988</v>
      </c>
      <c r="AF152" s="9">
        <v>198.778305791988</v>
      </c>
      <c r="AG152" s="9">
        <v>199.35274879199301</v>
      </c>
      <c r="AH152" s="10" t="s">
        <v>63</v>
      </c>
      <c r="AI152" s="9">
        <v>0</v>
      </c>
      <c r="AJ152" s="9">
        <v>0.57142004200431995</v>
      </c>
      <c r="AK152" s="10" t="s">
        <v>51</v>
      </c>
      <c r="AL152" s="8"/>
      <c r="AM152" s="8"/>
      <c r="AN152" s="8"/>
      <c r="AO152" s="8"/>
      <c r="AP152" s="9">
        <v>4</v>
      </c>
      <c r="AQ152" s="9">
        <v>1</v>
      </c>
      <c r="AR152" s="10" t="s">
        <v>98</v>
      </c>
      <c r="AS152" s="10" t="s">
        <v>53</v>
      </c>
      <c r="AT152" s="8"/>
      <c r="AU152" s="10" t="s">
        <v>54</v>
      </c>
      <c r="AV152" s="10" t="s">
        <v>51</v>
      </c>
      <c r="AW152" s="10" t="s">
        <v>99</v>
      </c>
      <c r="AX152" s="8"/>
    </row>
    <row r="153" spans="1:50" x14ac:dyDescent="0.15">
      <c r="A153" s="11" t="s">
        <v>78</v>
      </c>
      <c r="B153" s="12" t="s">
        <v>57</v>
      </c>
      <c r="C153" s="10" t="s">
        <v>58</v>
      </c>
      <c r="D153" s="10" t="s">
        <v>59</v>
      </c>
      <c r="E153" s="9">
        <v>201</v>
      </c>
      <c r="F153" s="9">
        <v>201</v>
      </c>
      <c r="G153" s="9">
        <v>4</v>
      </c>
      <c r="H153" s="10" t="s">
        <v>63</v>
      </c>
      <c r="I153" s="9">
        <v>0</v>
      </c>
      <c r="J153" s="9">
        <v>0.438933832992916</v>
      </c>
      <c r="K153" s="10" t="s">
        <v>51</v>
      </c>
      <c r="L153" s="9">
        <v>4</v>
      </c>
      <c r="M153" s="9">
        <v>201</v>
      </c>
      <c r="N153" s="9">
        <v>201</v>
      </c>
      <c r="O153" s="9">
        <v>26</v>
      </c>
      <c r="P153" s="9">
        <v>199.36631916699099</v>
      </c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9">
        <v>199.35695487499501</v>
      </c>
      <c r="AC153" s="9">
        <v>199.36631916699099</v>
      </c>
      <c r="AD153" s="9">
        <v>199.85481837499501</v>
      </c>
      <c r="AE153" s="9">
        <v>199.85481837499501</v>
      </c>
      <c r="AF153" s="9">
        <v>199.85481837499501</v>
      </c>
      <c r="AG153" s="9">
        <v>200.29684404199401</v>
      </c>
      <c r="AH153" s="10" t="s">
        <v>63</v>
      </c>
      <c r="AI153" s="9">
        <v>0</v>
      </c>
      <c r="AJ153" s="9">
        <v>0.438933832992916</v>
      </c>
      <c r="AK153" s="10" t="s">
        <v>51</v>
      </c>
      <c r="AL153" s="8"/>
      <c r="AM153" s="8"/>
      <c r="AN153" s="8"/>
      <c r="AO153" s="8"/>
      <c r="AP153" s="9">
        <v>4</v>
      </c>
      <c r="AQ153" s="9">
        <v>1</v>
      </c>
      <c r="AR153" s="10" t="s">
        <v>98</v>
      </c>
      <c r="AS153" s="10" t="s">
        <v>53</v>
      </c>
      <c r="AT153" s="8"/>
      <c r="AU153" s="10" t="s">
        <v>54</v>
      </c>
      <c r="AV153" s="10" t="s">
        <v>51</v>
      </c>
      <c r="AW153" s="10" t="s">
        <v>99</v>
      </c>
      <c r="AX153" s="8"/>
    </row>
    <row r="154" spans="1:50" x14ac:dyDescent="0.15">
      <c r="A154" s="11" t="s">
        <v>78</v>
      </c>
      <c r="B154" s="12" t="s">
        <v>57</v>
      </c>
      <c r="C154" s="10" t="s">
        <v>62</v>
      </c>
      <c r="D154" s="10" t="s">
        <v>63</v>
      </c>
      <c r="E154" s="9">
        <v>204</v>
      </c>
      <c r="F154" s="9">
        <v>204</v>
      </c>
      <c r="G154" s="9">
        <v>4</v>
      </c>
      <c r="H154" s="10" t="s">
        <v>63</v>
      </c>
      <c r="I154" s="9">
        <v>1</v>
      </c>
      <c r="J154" s="9">
        <v>0.45208850000926798</v>
      </c>
      <c r="K154" s="10" t="s">
        <v>51</v>
      </c>
      <c r="L154" s="9">
        <v>4</v>
      </c>
      <c r="M154" s="9">
        <v>204</v>
      </c>
      <c r="N154" s="9">
        <v>204</v>
      </c>
      <c r="O154" s="9">
        <v>27</v>
      </c>
      <c r="P154" s="9">
        <v>203.52665741699499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9">
        <v>203.51786158299399</v>
      </c>
      <c r="AC154" s="9">
        <v>203.52665741699499</v>
      </c>
      <c r="AD154" s="9">
        <v>204.01175262499601</v>
      </c>
      <c r="AE154" s="9">
        <v>204.01175262499601</v>
      </c>
      <c r="AF154" s="9">
        <v>204.01175262499601</v>
      </c>
      <c r="AG154" s="9">
        <v>204.46992612499201</v>
      </c>
      <c r="AH154" s="10" t="s">
        <v>63</v>
      </c>
      <c r="AI154" s="9">
        <v>1</v>
      </c>
      <c r="AJ154" s="9">
        <v>0.45208850000926798</v>
      </c>
      <c r="AK154" s="10" t="s">
        <v>51</v>
      </c>
      <c r="AL154" s="8"/>
      <c r="AM154" s="8"/>
      <c r="AN154" s="8"/>
      <c r="AO154" s="8"/>
      <c r="AP154" s="9">
        <v>4</v>
      </c>
      <c r="AQ154" s="9">
        <v>1</v>
      </c>
      <c r="AR154" s="10" t="s">
        <v>98</v>
      </c>
      <c r="AS154" s="10" t="s">
        <v>53</v>
      </c>
      <c r="AT154" s="8"/>
      <c r="AU154" s="10" t="s">
        <v>54</v>
      </c>
      <c r="AV154" s="10" t="s">
        <v>51</v>
      </c>
      <c r="AW154" s="10" t="s">
        <v>99</v>
      </c>
      <c r="AX154" s="8"/>
    </row>
    <row r="155" spans="1:50" x14ac:dyDescent="0.15">
      <c r="A155" s="11" t="s">
        <v>75</v>
      </c>
      <c r="B155" s="12" t="s">
        <v>57</v>
      </c>
      <c r="C155" s="10" t="s">
        <v>62</v>
      </c>
      <c r="D155" s="10" t="s">
        <v>63</v>
      </c>
      <c r="E155" s="9">
        <v>207</v>
      </c>
      <c r="F155" s="9">
        <v>207</v>
      </c>
      <c r="G155" s="9">
        <v>4</v>
      </c>
      <c r="H155" s="10" t="s">
        <v>63</v>
      </c>
      <c r="I155" s="9">
        <v>1</v>
      </c>
      <c r="J155" s="9">
        <v>0.32580791600048498</v>
      </c>
      <c r="K155" s="10" t="s">
        <v>51</v>
      </c>
      <c r="L155" s="9">
        <v>4</v>
      </c>
      <c r="M155" s="9">
        <v>207</v>
      </c>
      <c r="N155" s="9">
        <v>207</v>
      </c>
      <c r="O155" s="9">
        <v>19</v>
      </c>
      <c r="P155" s="9">
        <v>206.60085370799101</v>
      </c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9">
        <v>206.59101224999199</v>
      </c>
      <c r="AC155" s="9">
        <v>206.60085370799101</v>
      </c>
      <c r="AD155" s="9">
        <v>207.08810054199401</v>
      </c>
      <c r="AE155" s="9">
        <v>207.08810054199401</v>
      </c>
      <c r="AF155" s="9">
        <v>207.08810054199401</v>
      </c>
      <c r="AG155" s="9">
        <v>207.41986187499401</v>
      </c>
      <c r="AH155" s="10" t="s">
        <v>63</v>
      </c>
      <c r="AI155" s="9">
        <v>1</v>
      </c>
      <c r="AJ155" s="9">
        <v>0.32580791600048498</v>
      </c>
      <c r="AK155" s="10" t="s">
        <v>51</v>
      </c>
      <c r="AL155" s="8"/>
      <c r="AM155" s="8"/>
      <c r="AN155" s="8"/>
      <c r="AO155" s="8"/>
      <c r="AP155" s="9">
        <v>4</v>
      </c>
      <c r="AQ155" s="9">
        <v>1</v>
      </c>
      <c r="AR155" s="10" t="s">
        <v>98</v>
      </c>
      <c r="AS155" s="10" t="s">
        <v>53</v>
      </c>
      <c r="AT155" s="8"/>
      <c r="AU155" s="10" t="s">
        <v>54</v>
      </c>
      <c r="AV155" s="10" t="s">
        <v>51</v>
      </c>
      <c r="AW155" s="10" t="s">
        <v>99</v>
      </c>
      <c r="AX155" s="8"/>
    </row>
    <row r="156" spans="1:50" x14ac:dyDescent="0.15">
      <c r="A156" s="11" t="s">
        <v>71</v>
      </c>
      <c r="B156" s="12" t="s">
        <v>57</v>
      </c>
      <c r="C156" s="10" t="s">
        <v>62</v>
      </c>
      <c r="D156" s="10" t="s">
        <v>63</v>
      </c>
      <c r="E156" s="9">
        <v>209</v>
      </c>
      <c r="F156" s="9">
        <v>209</v>
      </c>
      <c r="G156" s="9">
        <v>3</v>
      </c>
      <c r="H156" s="10" t="s">
        <v>63</v>
      </c>
      <c r="I156" s="9">
        <v>1</v>
      </c>
      <c r="J156" s="9">
        <v>0.43865674998960502</v>
      </c>
      <c r="K156" s="10" t="s">
        <v>51</v>
      </c>
      <c r="L156" s="9">
        <v>3</v>
      </c>
      <c r="M156" s="9">
        <v>209</v>
      </c>
      <c r="N156" s="9">
        <v>209</v>
      </c>
      <c r="O156" s="9">
        <v>29</v>
      </c>
      <c r="P156" s="9">
        <v>208.38415133299699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9">
        <v>208.374163874993</v>
      </c>
      <c r="AC156" s="9">
        <v>208.38415133299699</v>
      </c>
      <c r="AD156" s="9">
        <v>208.87125033298801</v>
      </c>
      <c r="AE156" s="9">
        <v>208.87125033298801</v>
      </c>
      <c r="AF156" s="9">
        <v>208.87125033298801</v>
      </c>
      <c r="AG156" s="9">
        <v>209.31413183298699</v>
      </c>
      <c r="AH156" s="10" t="s">
        <v>63</v>
      </c>
      <c r="AI156" s="9">
        <v>1</v>
      </c>
      <c r="AJ156" s="9">
        <v>0.43865674998960502</v>
      </c>
      <c r="AK156" s="10" t="s">
        <v>51</v>
      </c>
      <c r="AL156" s="8"/>
      <c r="AM156" s="8"/>
      <c r="AN156" s="8"/>
      <c r="AO156" s="8"/>
      <c r="AP156" s="9">
        <v>4</v>
      </c>
      <c r="AQ156" s="9">
        <v>1</v>
      </c>
      <c r="AR156" s="10" t="s">
        <v>98</v>
      </c>
      <c r="AS156" s="10" t="s">
        <v>53</v>
      </c>
      <c r="AT156" s="8"/>
      <c r="AU156" s="10" t="s">
        <v>54</v>
      </c>
      <c r="AV156" s="10" t="s">
        <v>51</v>
      </c>
      <c r="AW156" s="10" t="s">
        <v>99</v>
      </c>
      <c r="AX156" s="8"/>
    </row>
    <row r="157" spans="1:50" x14ac:dyDescent="0.15">
      <c r="A157" s="11" t="s">
        <v>65</v>
      </c>
      <c r="B157" s="12" t="s">
        <v>57</v>
      </c>
      <c r="C157" s="10" t="s">
        <v>62</v>
      </c>
      <c r="D157" s="10" t="s">
        <v>63</v>
      </c>
      <c r="E157" s="9">
        <v>214</v>
      </c>
      <c r="F157" s="9">
        <v>214</v>
      </c>
      <c r="G157" s="9">
        <v>2</v>
      </c>
      <c r="H157" s="10" t="s">
        <v>63</v>
      </c>
      <c r="I157" s="9">
        <v>1</v>
      </c>
      <c r="J157" s="9">
        <v>0.39334237499861002</v>
      </c>
      <c r="K157" s="10" t="s">
        <v>51</v>
      </c>
      <c r="L157" s="9">
        <v>2</v>
      </c>
      <c r="M157" s="9">
        <v>214</v>
      </c>
      <c r="N157" s="9">
        <v>214</v>
      </c>
      <c r="O157" s="9">
        <v>31</v>
      </c>
      <c r="P157" s="9">
        <v>212.794649916992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9">
        <v>212.78557624999701</v>
      </c>
      <c r="AC157" s="9">
        <v>212.794649916992</v>
      </c>
      <c r="AD157" s="9">
        <v>213.278756582993</v>
      </c>
      <c r="AE157" s="9">
        <v>213.278756582993</v>
      </c>
      <c r="AF157" s="9">
        <v>213.278756582993</v>
      </c>
      <c r="AG157" s="9">
        <v>213.68112483299001</v>
      </c>
      <c r="AH157" s="10" t="s">
        <v>63</v>
      </c>
      <c r="AI157" s="9">
        <v>1</v>
      </c>
      <c r="AJ157" s="9">
        <v>0.39334237499861002</v>
      </c>
      <c r="AK157" s="10" t="s">
        <v>51</v>
      </c>
      <c r="AL157" s="8"/>
      <c r="AM157" s="8"/>
      <c r="AN157" s="8"/>
      <c r="AO157" s="8"/>
      <c r="AP157" s="9">
        <v>4</v>
      </c>
      <c r="AQ157" s="9">
        <v>1</v>
      </c>
      <c r="AR157" s="10" t="s">
        <v>98</v>
      </c>
      <c r="AS157" s="10" t="s">
        <v>53</v>
      </c>
      <c r="AT157" s="8"/>
      <c r="AU157" s="10" t="s">
        <v>54</v>
      </c>
      <c r="AV157" s="10" t="s">
        <v>51</v>
      </c>
      <c r="AW157" s="10" t="s">
        <v>99</v>
      </c>
      <c r="AX157" s="8"/>
    </row>
    <row r="158" spans="1:50" x14ac:dyDescent="0.15">
      <c r="A158" s="11" t="s">
        <v>71</v>
      </c>
      <c r="B158" s="12" t="s">
        <v>57</v>
      </c>
      <c r="C158" s="10" t="s">
        <v>58</v>
      </c>
      <c r="D158" s="10" t="s">
        <v>59</v>
      </c>
      <c r="E158" s="9">
        <v>224</v>
      </c>
      <c r="F158" s="9">
        <v>224</v>
      </c>
      <c r="G158" s="9">
        <v>4</v>
      </c>
      <c r="H158" s="10" t="s">
        <v>63</v>
      </c>
      <c r="I158" s="9">
        <v>0</v>
      </c>
      <c r="J158" s="9">
        <v>1.09977695799898</v>
      </c>
      <c r="K158" s="10" t="s">
        <v>51</v>
      </c>
      <c r="L158" s="9">
        <v>4</v>
      </c>
      <c r="M158" s="9">
        <v>224</v>
      </c>
      <c r="N158" s="9">
        <v>224</v>
      </c>
      <c r="O158" s="9">
        <v>28</v>
      </c>
      <c r="P158" s="9">
        <v>223.000959792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9">
        <v>222.991653624995</v>
      </c>
      <c r="AC158" s="9">
        <v>223.000959792</v>
      </c>
      <c r="AD158" s="9">
        <v>223.488373166998</v>
      </c>
      <c r="AE158" s="9">
        <v>223.488373166998</v>
      </c>
      <c r="AF158" s="9">
        <v>223.488373166998</v>
      </c>
      <c r="AG158" s="9">
        <v>224.59796783299001</v>
      </c>
      <c r="AH158" s="10" t="s">
        <v>63</v>
      </c>
      <c r="AI158" s="9">
        <v>0</v>
      </c>
      <c r="AJ158" s="9">
        <v>1.09977695799898</v>
      </c>
      <c r="AK158" s="10" t="s">
        <v>51</v>
      </c>
      <c r="AL158" s="8"/>
      <c r="AM158" s="8"/>
      <c r="AN158" s="8"/>
      <c r="AO158" s="8"/>
      <c r="AP158" s="9">
        <v>4</v>
      </c>
      <c r="AQ158" s="9">
        <v>1</v>
      </c>
      <c r="AR158" s="10" t="s">
        <v>98</v>
      </c>
      <c r="AS158" s="10" t="s">
        <v>53</v>
      </c>
      <c r="AT158" s="8"/>
      <c r="AU158" s="10" t="s">
        <v>54</v>
      </c>
      <c r="AV158" s="10" t="s">
        <v>51</v>
      </c>
      <c r="AW158" s="10" t="s">
        <v>99</v>
      </c>
      <c r="AX158" s="8"/>
    </row>
    <row r="159" spans="1:50" x14ac:dyDescent="0.15">
      <c r="A159" s="11" t="s">
        <v>71</v>
      </c>
      <c r="B159" s="12" t="s">
        <v>57</v>
      </c>
      <c r="C159" s="10" t="s">
        <v>62</v>
      </c>
      <c r="D159" s="10" t="s">
        <v>63</v>
      </c>
      <c r="E159" s="9">
        <v>226</v>
      </c>
      <c r="F159" s="9">
        <v>226</v>
      </c>
      <c r="G159" s="9">
        <v>4</v>
      </c>
      <c r="H159" s="10" t="s">
        <v>63</v>
      </c>
      <c r="I159" s="9">
        <v>1</v>
      </c>
      <c r="J159" s="9">
        <v>0.34189704099844698</v>
      </c>
      <c r="K159" s="10" t="s">
        <v>51</v>
      </c>
      <c r="L159" s="9">
        <v>4</v>
      </c>
      <c r="M159" s="9">
        <v>226</v>
      </c>
      <c r="N159" s="9">
        <v>226</v>
      </c>
      <c r="O159" s="9">
        <v>29</v>
      </c>
      <c r="P159" s="9">
        <v>225.64504433299601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9">
        <v>225.635648124997</v>
      </c>
      <c r="AC159" s="9">
        <v>225.64504433299601</v>
      </c>
      <c r="AD159" s="9">
        <v>226.129236374996</v>
      </c>
      <c r="AE159" s="9">
        <v>226.129236374996</v>
      </c>
      <c r="AF159" s="9">
        <v>226.129236374996</v>
      </c>
      <c r="AG159" s="9">
        <v>226.481483957992</v>
      </c>
      <c r="AH159" s="10" t="s">
        <v>63</v>
      </c>
      <c r="AI159" s="9">
        <v>1</v>
      </c>
      <c r="AJ159" s="9">
        <v>0.34189704099844698</v>
      </c>
      <c r="AK159" s="10" t="s">
        <v>51</v>
      </c>
      <c r="AL159" s="8"/>
      <c r="AM159" s="8"/>
      <c r="AN159" s="8"/>
      <c r="AO159" s="8"/>
      <c r="AP159" s="9">
        <v>4</v>
      </c>
      <c r="AQ159" s="9">
        <v>1</v>
      </c>
      <c r="AR159" s="10" t="s">
        <v>98</v>
      </c>
      <c r="AS159" s="10" t="s">
        <v>53</v>
      </c>
      <c r="AT159" s="8"/>
      <c r="AU159" s="10" t="s">
        <v>54</v>
      </c>
      <c r="AV159" s="10" t="s">
        <v>51</v>
      </c>
      <c r="AW159" s="10" t="s">
        <v>99</v>
      </c>
      <c r="AX159" s="8"/>
    </row>
    <row r="160" spans="1:50" x14ac:dyDescent="0.15">
      <c r="A160" s="11" t="s">
        <v>65</v>
      </c>
      <c r="B160" s="12" t="s">
        <v>57</v>
      </c>
      <c r="C160" s="10" t="s">
        <v>62</v>
      </c>
      <c r="D160" s="10" t="s">
        <v>63</v>
      </c>
      <c r="E160" s="9">
        <v>234</v>
      </c>
      <c r="F160" s="9">
        <v>234</v>
      </c>
      <c r="G160" s="9">
        <v>3</v>
      </c>
      <c r="H160" s="10" t="s">
        <v>63</v>
      </c>
      <c r="I160" s="9">
        <v>1</v>
      </c>
      <c r="J160" s="9">
        <v>0.50029679200088095</v>
      </c>
      <c r="K160" s="10" t="s">
        <v>51</v>
      </c>
      <c r="L160" s="9">
        <v>3</v>
      </c>
      <c r="M160" s="9">
        <v>234</v>
      </c>
      <c r="N160" s="9">
        <v>234</v>
      </c>
      <c r="O160" s="9">
        <v>31</v>
      </c>
      <c r="P160" s="9">
        <v>234.18495099998799</v>
      </c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9">
        <v>234.17498579199301</v>
      </c>
      <c r="AC160" s="9">
        <v>234.18495099998799</v>
      </c>
      <c r="AD160" s="9">
        <v>234.67217374999001</v>
      </c>
      <c r="AE160" s="9">
        <v>234.67217374999001</v>
      </c>
      <c r="AF160" s="9">
        <v>234.67217374999001</v>
      </c>
      <c r="AG160" s="9">
        <v>235.181761082989</v>
      </c>
      <c r="AH160" s="10" t="s">
        <v>63</v>
      </c>
      <c r="AI160" s="9">
        <v>1</v>
      </c>
      <c r="AJ160" s="9">
        <v>0.50029679200088095</v>
      </c>
      <c r="AK160" s="10" t="s">
        <v>51</v>
      </c>
      <c r="AL160" s="8"/>
      <c r="AM160" s="8"/>
      <c r="AN160" s="8"/>
      <c r="AO160" s="8"/>
      <c r="AP160" s="9">
        <v>4</v>
      </c>
      <c r="AQ160" s="9">
        <v>1</v>
      </c>
      <c r="AR160" s="10" t="s">
        <v>98</v>
      </c>
      <c r="AS160" s="10" t="s">
        <v>53</v>
      </c>
      <c r="AT160" s="8"/>
      <c r="AU160" s="10" t="s">
        <v>54</v>
      </c>
      <c r="AV160" s="10" t="s">
        <v>51</v>
      </c>
      <c r="AW160" s="10" t="s">
        <v>99</v>
      </c>
      <c r="AX160" s="8"/>
    </row>
    <row r="161" spans="1:50" x14ac:dyDescent="0.15">
      <c r="A161" s="11" t="s">
        <v>65</v>
      </c>
      <c r="B161" s="12" t="s">
        <v>57</v>
      </c>
      <c r="C161" s="10" t="s">
        <v>62</v>
      </c>
      <c r="D161" s="10" t="s">
        <v>63</v>
      </c>
      <c r="E161" s="9">
        <v>238</v>
      </c>
      <c r="F161" s="9">
        <v>238</v>
      </c>
      <c r="G161" s="9">
        <v>4</v>
      </c>
      <c r="H161" s="10" t="s">
        <v>63</v>
      </c>
      <c r="I161" s="9">
        <v>1</v>
      </c>
      <c r="J161" s="9">
        <v>0.72503454099933196</v>
      </c>
      <c r="K161" s="10" t="s">
        <v>51</v>
      </c>
      <c r="L161" s="9">
        <v>4</v>
      </c>
      <c r="M161" s="9">
        <v>238</v>
      </c>
      <c r="N161" s="9">
        <v>238</v>
      </c>
      <c r="O161" s="9">
        <v>31</v>
      </c>
      <c r="P161" s="9">
        <v>238.10199783300101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9">
        <v>238.09248254199301</v>
      </c>
      <c r="AC161" s="9">
        <v>238.10199783300101</v>
      </c>
      <c r="AD161" s="9">
        <v>238.589266374998</v>
      </c>
      <c r="AE161" s="9">
        <v>238.589266374998</v>
      </c>
      <c r="AF161" s="9">
        <v>238.589266374998</v>
      </c>
      <c r="AG161" s="9">
        <v>239.320676874995</v>
      </c>
      <c r="AH161" s="10" t="s">
        <v>63</v>
      </c>
      <c r="AI161" s="9">
        <v>1</v>
      </c>
      <c r="AJ161" s="9">
        <v>0.72503454099933196</v>
      </c>
      <c r="AK161" s="10" t="s">
        <v>51</v>
      </c>
      <c r="AL161" s="8"/>
      <c r="AM161" s="8"/>
      <c r="AN161" s="8"/>
      <c r="AO161" s="8"/>
      <c r="AP161" s="9">
        <v>4</v>
      </c>
      <c r="AQ161" s="9">
        <v>1</v>
      </c>
      <c r="AR161" s="10" t="s">
        <v>98</v>
      </c>
      <c r="AS161" s="10" t="s">
        <v>53</v>
      </c>
      <c r="AT161" s="8"/>
      <c r="AU161" s="10" t="s">
        <v>54</v>
      </c>
      <c r="AV161" s="10" t="s">
        <v>51</v>
      </c>
      <c r="AW161" s="10" t="s">
        <v>99</v>
      </c>
      <c r="AX161" s="8"/>
    </row>
    <row r="162" spans="1:50" x14ac:dyDescent="0.15">
      <c r="A162" s="11" t="s">
        <v>81</v>
      </c>
      <c r="B162" s="12" t="s">
        <v>67</v>
      </c>
      <c r="C162" s="10" t="s">
        <v>62</v>
      </c>
      <c r="D162" s="10" t="s">
        <v>63</v>
      </c>
      <c r="E162" s="9">
        <v>0</v>
      </c>
      <c r="F162" s="9">
        <v>0</v>
      </c>
      <c r="G162" s="9">
        <v>0</v>
      </c>
      <c r="H162" s="10" t="s">
        <v>63</v>
      </c>
      <c r="I162" s="9">
        <v>1</v>
      </c>
      <c r="J162" s="9">
        <v>0.55027458300173804</v>
      </c>
      <c r="K162" s="10" t="s">
        <v>51</v>
      </c>
      <c r="L162" s="9">
        <v>0</v>
      </c>
      <c r="M162" s="9">
        <v>0</v>
      </c>
      <c r="N162" s="9">
        <v>0</v>
      </c>
      <c r="O162" s="9">
        <v>45</v>
      </c>
      <c r="P162" s="9">
        <v>13.944594207991001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9">
        <v>13.9358970829926</v>
      </c>
      <c r="AC162" s="9">
        <v>13.944594207991001</v>
      </c>
      <c r="AD162" s="9">
        <v>14.3809532079904</v>
      </c>
      <c r="AE162" s="9">
        <v>14.3809532079904</v>
      </c>
      <c r="AF162" s="9">
        <v>14.3809532079904</v>
      </c>
      <c r="AG162" s="9">
        <v>14.9404004579992</v>
      </c>
      <c r="AH162" s="10" t="s">
        <v>63</v>
      </c>
      <c r="AI162" s="9">
        <v>1</v>
      </c>
      <c r="AJ162" s="9">
        <v>0.55027458300173804</v>
      </c>
      <c r="AK162" s="10" t="s">
        <v>51</v>
      </c>
      <c r="AL162" s="8"/>
      <c r="AM162" s="8"/>
      <c r="AN162" s="8"/>
      <c r="AO162" s="8"/>
      <c r="AP162" s="9">
        <v>4</v>
      </c>
      <c r="AQ162" s="9">
        <v>1</v>
      </c>
      <c r="AR162" s="10" t="s">
        <v>98</v>
      </c>
      <c r="AS162" s="10" t="s">
        <v>53</v>
      </c>
      <c r="AT162" s="8"/>
      <c r="AU162" s="10" t="s">
        <v>54</v>
      </c>
      <c r="AV162" s="10" t="s">
        <v>51</v>
      </c>
      <c r="AW162" s="10" t="s">
        <v>99</v>
      </c>
      <c r="AX162" s="8"/>
    </row>
    <row r="163" spans="1:50" x14ac:dyDescent="0.15">
      <c r="A163" s="11" t="s">
        <v>76</v>
      </c>
      <c r="B163" s="12" t="s">
        <v>67</v>
      </c>
      <c r="C163" s="10" t="s">
        <v>58</v>
      </c>
      <c r="D163" s="10" t="s">
        <v>59</v>
      </c>
      <c r="E163" s="9">
        <v>2</v>
      </c>
      <c r="F163" s="9">
        <v>2</v>
      </c>
      <c r="G163" s="9">
        <v>0</v>
      </c>
      <c r="H163" s="10" t="s">
        <v>59</v>
      </c>
      <c r="I163" s="9">
        <v>1</v>
      </c>
      <c r="J163" s="9">
        <v>0.61217191600007903</v>
      </c>
      <c r="K163" s="10" t="s">
        <v>51</v>
      </c>
      <c r="L163" s="9">
        <v>0</v>
      </c>
      <c r="M163" s="9">
        <v>2</v>
      </c>
      <c r="N163" s="9">
        <v>2</v>
      </c>
      <c r="O163" s="9">
        <v>42</v>
      </c>
      <c r="P163" s="9">
        <v>15.9875751669897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9">
        <v>15.978341791997099</v>
      </c>
      <c r="AC163" s="9">
        <v>15.9875751669897</v>
      </c>
      <c r="AD163" s="9">
        <v>16.4721969999955</v>
      </c>
      <c r="AE163" s="9">
        <v>16.4721969999955</v>
      </c>
      <c r="AF163" s="9">
        <v>16.4721969999955</v>
      </c>
      <c r="AG163" s="9">
        <v>17.0904376669932</v>
      </c>
      <c r="AH163" s="10" t="s">
        <v>59</v>
      </c>
      <c r="AI163" s="9">
        <v>1</v>
      </c>
      <c r="AJ163" s="9">
        <v>0.61217191600007903</v>
      </c>
      <c r="AK163" s="10" t="s">
        <v>51</v>
      </c>
      <c r="AL163" s="8"/>
      <c r="AM163" s="8"/>
      <c r="AN163" s="8"/>
      <c r="AO163" s="8"/>
      <c r="AP163" s="9">
        <v>4</v>
      </c>
      <c r="AQ163" s="9">
        <v>1</v>
      </c>
      <c r="AR163" s="10" t="s">
        <v>98</v>
      </c>
      <c r="AS163" s="10" t="s">
        <v>53</v>
      </c>
      <c r="AT163" s="8"/>
      <c r="AU163" s="10" t="s">
        <v>54</v>
      </c>
      <c r="AV163" s="10" t="s">
        <v>51</v>
      </c>
      <c r="AW163" s="10" t="s">
        <v>99</v>
      </c>
      <c r="AX163" s="8"/>
    </row>
    <row r="164" spans="1:50" x14ac:dyDescent="0.15">
      <c r="A164" s="11" t="s">
        <v>77</v>
      </c>
      <c r="B164" s="12" t="s">
        <v>67</v>
      </c>
      <c r="C164" s="10" t="s">
        <v>58</v>
      </c>
      <c r="D164" s="10" t="s">
        <v>59</v>
      </c>
      <c r="E164" s="9">
        <v>3</v>
      </c>
      <c r="F164" s="9">
        <v>3</v>
      </c>
      <c r="G164" s="9">
        <v>0</v>
      </c>
      <c r="H164" s="10" t="s">
        <v>59</v>
      </c>
      <c r="I164" s="9">
        <v>1</v>
      </c>
      <c r="J164" s="9">
        <v>0.45878991599602198</v>
      </c>
      <c r="K164" s="10" t="s">
        <v>51</v>
      </c>
      <c r="L164" s="9">
        <v>0</v>
      </c>
      <c r="M164" s="9">
        <v>3</v>
      </c>
      <c r="N164" s="9">
        <v>3</v>
      </c>
      <c r="O164" s="9">
        <v>40</v>
      </c>
      <c r="P164" s="9">
        <v>17.118776291987199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9">
        <v>17.096283999999301</v>
      </c>
      <c r="AC164" s="9">
        <v>17.118776291987199</v>
      </c>
      <c r="AD164" s="9">
        <v>17.588566874997898</v>
      </c>
      <c r="AE164" s="9">
        <v>17.588566874997898</v>
      </c>
      <c r="AF164" s="9">
        <v>17.588566874997898</v>
      </c>
      <c r="AG164" s="9">
        <v>18.057210832994301</v>
      </c>
      <c r="AH164" s="10" t="s">
        <v>59</v>
      </c>
      <c r="AI164" s="9">
        <v>1</v>
      </c>
      <c r="AJ164" s="9">
        <v>0.45878991599602198</v>
      </c>
      <c r="AK164" s="10" t="s">
        <v>51</v>
      </c>
      <c r="AL164" s="8"/>
      <c r="AM164" s="8"/>
      <c r="AN164" s="8"/>
      <c r="AO164" s="8"/>
      <c r="AP164" s="9">
        <v>4</v>
      </c>
      <c r="AQ164" s="9">
        <v>1</v>
      </c>
      <c r="AR164" s="10" t="s">
        <v>98</v>
      </c>
      <c r="AS164" s="10" t="s">
        <v>53</v>
      </c>
      <c r="AT164" s="8"/>
      <c r="AU164" s="10" t="s">
        <v>54</v>
      </c>
      <c r="AV164" s="10" t="s">
        <v>51</v>
      </c>
      <c r="AW164" s="10" t="s">
        <v>99</v>
      </c>
      <c r="AX164" s="8"/>
    </row>
    <row r="165" spans="1:50" x14ac:dyDescent="0.15">
      <c r="A165" s="11" t="s">
        <v>76</v>
      </c>
      <c r="B165" s="12" t="s">
        <v>67</v>
      </c>
      <c r="C165" s="10" t="s">
        <v>58</v>
      </c>
      <c r="D165" s="10" t="s">
        <v>59</v>
      </c>
      <c r="E165" s="9">
        <v>4</v>
      </c>
      <c r="F165" s="9">
        <v>4</v>
      </c>
      <c r="G165" s="9">
        <v>1</v>
      </c>
      <c r="H165" s="10" t="s">
        <v>59</v>
      </c>
      <c r="I165" s="9">
        <v>1</v>
      </c>
      <c r="J165" s="9">
        <v>0.318873583004461</v>
      </c>
      <c r="K165" s="10" t="s">
        <v>51</v>
      </c>
      <c r="L165" s="9">
        <v>1</v>
      </c>
      <c r="M165" s="9">
        <v>4</v>
      </c>
      <c r="N165" s="9">
        <v>4</v>
      </c>
      <c r="O165" s="9">
        <v>42</v>
      </c>
      <c r="P165" s="9">
        <v>18.071364167000901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9">
        <v>18.061976082986799</v>
      </c>
      <c r="AC165" s="9">
        <v>18.071364167000901</v>
      </c>
      <c r="AD165" s="9">
        <v>18.555432249995601</v>
      </c>
      <c r="AE165" s="9">
        <v>18.555432249995601</v>
      </c>
      <c r="AF165" s="9">
        <v>18.555432249995601</v>
      </c>
      <c r="AG165" s="9">
        <v>18.879873792000598</v>
      </c>
      <c r="AH165" s="10" t="s">
        <v>59</v>
      </c>
      <c r="AI165" s="9">
        <v>1</v>
      </c>
      <c r="AJ165" s="9">
        <v>0.318873583004461</v>
      </c>
      <c r="AK165" s="10" t="s">
        <v>51</v>
      </c>
      <c r="AL165" s="8"/>
      <c r="AM165" s="8"/>
      <c r="AN165" s="8"/>
      <c r="AO165" s="8"/>
      <c r="AP165" s="9">
        <v>4</v>
      </c>
      <c r="AQ165" s="9">
        <v>1</v>
      </c>
      <c r="AR165" s="10" t="s">
        <v>98</v>
      </c>
      <c r="AS165" s="10" t="s">
        <v>53</v>
      </c>
      <c r="AT165" s="8"/>
      <c r="AU165" s="10" t="s">
        <v>54</v>
      </c>
      <c r="AV165" s="10" t="s">
        <v>51</v>
      </c>
      <c r="AW165" s="10" t="s">
        <v>99</v>
      </c>
      <c r="AX165" s="8"/>
    </row>
    <row r="166" spans="1:50" x14ac:dyDescent="0.15">
      <c r="A166" s="11" t="s">
        <v>66</v>
      </c>
      <c r="B166" s="12" t="s">
        <v>67</v>
      </c>
      <c r="C166" s="10" t="s">
        <v>62</v>
      </c>
      <c r="D166" s="10" t="s">
        <v>63</v>
      </c>
      <c r="E166" s="9">
        <v>5</v>
      </c>
      <c r="F166" s="9">
        <v>5</v>
      </c>
      <c r="G166" s="9">
        <v>0</v>
      </c>
      <c r="H166" s="10" t="s">
        <v>63</v>
      </c>
      <c r="I166" s="9">
        <v>1</v>
      </c>
      <c r="J166" s="9">
        <v>0.45823183299216902</v>
      </c>
      <c r="K166" s="10" t="s">
        <v>51</v>
      </c>
      <c r="L166" s="9">
        <v>0</v>
      </c>
      <c r="M166" s="9">
        <v>5</v>
      </c>
      <c r="N166" s="9">
        <v>5</v>
      </c>
      <c r="O166" s="9">
        <v>47</v>
      </c>
      <c r="P166" s="9">
        <v>18.8954512499913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9">
        <v>18.8866268749989</v>
      </c>
      <c r="AC166" s="9">
        <v>18.8954512499913</v>
      </c>
      <c r="AD166" s="9">
        <v>19.381105707987398</v>
      </c>
      <c r="AE166" s="9">
        <v>19.381105707987398</v>
      </c>
      <c r="AF166" s="9">
        <v>19.381105707987398</v>
      </c>
      <c r="AG166" s="9">
        <v>19.846663791991901</v>
      </c>
      <c r="AH166" s="10" t="s">
        <v>63</v>
      </c>
      <c r="AI166" s="9">
        <v>1</v>
      </c>
      <c r="AJ166" s="9">
        <v>0.45823183299216902</v>
      </c>
      <c r="AK166" s="10" t="s">
        <v>51</v>
      </c>
      <c r="AL166" s="8"/>
      <c r="AM166" s="8"/>
      <c r="AN166" s="8"/>
      <c r="AO166" s="8"/>
      <c r="AP166" s="9">
        <v>4</v>
      </c>
      <c r="AQ166" s="9">
        <v>1</v>
      </c>
      <c r="AR166" s="10" t="s">
        <v>98</v>
      </c>
      <c r="AS166" s="10" t="s">
        <v>53</v>
      </c>
      <c r="AT166" s="8"/>
      <c r="AU166" s="10" t="s">
        <v>54</v>
      </c>
      <c r="AV166" s="10" t="s">
        <v>51</v>
      </c>
      <c r="AW166" s="10" t="s">
        <v>99</v>
      </c>
      <c r="AX166" s="8"/>
    </row>
    <row r="167" spans="1:50" x14ac:dyDescent="0.15">
      <c r="A167" s="11" t="s">
        <v>80</v>
      </c>
      <c r="B167" s="12" t="s">
        <v>67</v>
      </c>
      <c r="C167" s="10" t="s">
        <v>58</v>
      </c>
      <c r="D167" s="10" t="s">
        <v>59</v>
      </c>
      <c r="E167" s="9">
        <v>6</v>
      </c>
      <c r="F167" s="9">
        <v>6</v>
      </c>
      <c r="G167" s="9">
        <v>0</v>
      </c>
      <c r="H167" s="10" t="s">
        <v>59</v>
      </c>
      <c r="I167" s="9">
        <v>1</v>
      </c>
      <c r="J167" s="9">
        <v>0.44941883299907198</v>
      </c>
      <c r="K167" s="10" t="s">
        <v>51</v>
      </c>
      <c r="L167" s="9">
        <v>0</v>
      </c>
      <c r="M167" s="9">
        <v>6</v>
      </c>
      <c r="N167" s="9">
        <v>6</v>
      </c>
      <c r="O167" s="9">
        <v>32</v>
      </c>
      <c r="P167" s="9">
        <v>19.861036457994501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9">
        <v>19.851637082989299</v>
      </c>
      <c r="AC167" s="9">
        <v>19.861036457994501</v>
      </c>
      <c r="AD167" s="9">
        <v>20.3478297919937</v>
      </c>
      <c r="AE167" s="9">
        <v>20.3478297919937</v>
      </c>
      <c r="AF167" s="9">
        <v>20.3478297919937</v>
      </c>
      <c r="AG167" s="9">
        <v>20.807194916997101</v>
      </c>
      <c r="AH167" s="10" t="s">
        <v>59</v>
      </c>
      <c r="AI167" s="9">
        <v>1</v>
      </c>
      <c r="AJ167" s="9">
        <v>0.44941883299907198</v>
      </c>
      <c r="AK167" s="10" t="s">
        <v>51</v>
      </c>
      <c r="AL167" s="8"/>
      <c r="AM167" s="8"/>
      <c r="AN167" s="8"/>
      <c r="AO167" s="8"/>
      <c r="AP167" s="9">
        <v>4</v>
      </c>
      <c r="AQ167" s="9">
        <v>1</v>
      </c>
      <c r="AR167" s="10" t="s">
        <v>98</v>
      </c>
      <c r="AS167" s="10" t="s">
        <v>53</v>
      </c>
      <c r="AT167" s="8"/>
      <c r="AU167" s="10" t="s">
        <v>54</v>
      </c>
      <c r="AV167" s="10" t="s">
        <v>51</v>
      </c>
      <c r="AW167" s="10" t="s">
        <v>99</v>
      </c>
      <c r="AX167" s="8"/>
    </row>
    <row r="168" spans="1:50" x14ac:dyDescent="0.15">
      <c r="A168" s="11" t="s">
        <v>69</v>
      </c>
      <c r="B168" s="12" t="s">
        <v>67</v>
      </c>
      <c r="C168" s="10" t="s">
        <v>58</v>
      </c>
      <c r="D168" s="10" t="s">
        <v>59</v>
      </c>
      <c r="E168" s="9">
        <v>9</v>
      </c>
      <c r="F168" s="9">
        <v>9</v>
      </c>
      <c r="G168" s="9">
        <v>0</v>
      </c>
      <c r="H168" s="10" t="s">
        <v>59</v>
      </c>
      <c r="I168" s="9">
        <v>1</v>
      </c>
      <c r="J168" s="9">
        <v>0.51683091701124795</v>
      </c>
      <c r="K168" s="10" t="s">
        <v>51</v>
      </c>
      <c r="L168" s="9">
        <v>0</v>
      </c>
      <c r="M168" s="9">
        <v>9</v>
      </c>
      <c r="N168" s="9">
        <v>9</v>
      </c>
      <c r="O168" s="9">
        <v>38</v>
      </c>
      <c r="P168" s="9">
        <v>23.5546876669978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9">
        <v>23.545472832993301</v>
      </c>
      <c r="AC168" s="9">
        <v>23.5546876669978</v>
      </c>
      <c r="AD168" s="9">
        <v>24.038694999995599</v>
      </c>
      <c r="AE168" s="9">
        <v>24.038694999995599</v>
      </c>
      <c r="AF168" s="9">
        <v>24.038694999995599</v>
      </c>
      <c r="AG168" s="9">
        <v>24.557672332986801</v>
      </c>
      <c r="AH168" s="10" t="s">
        <v>59</v>
      </c>
      <c r="AI168" s="9">
        <v>1</v>
      </c>
      <c r="AJ168" s="9">
        <v>0.51683091701124795</v>
      </c>
      <c r="AK168" s="10" t="s">
        <v>51</v>
      </c>
      <c r="AL168" s="8"/>
      <c r="AM168" s="8"/>
      <c r="AN168" s="8"/>
      <c r="AO168" s="8"/>
      <c r="AP168" s="9">
        <v>4</v>
      </c>
      <c r="AQ168" s="9">
        <v>1</v>
      </c>
      <c r="AR168" s="10" t="s">
        <v>98</v>
      </c>
      <c r="AS168" s="10" t="s">
        <v>53</v>
      </c>
      <c r="AT168" s="8"/>
      <c r="AU168" s="10" t="s">
        <v>54</v>
      </c>
      <c r="AV168" s="10" t="s">
        <v>51</v>
      </c>
      <c r="AW168" s="10" t="s">
        <v>99</v>
      </c>
      <c r="AX168" s="8"/>
    </row>
    <row r="169" spans="1:50" x14ac:dyDescent="0.15">
      <c r="A169" s="11" t="s">
        <v>69</v>
      </c>
      <c r="B169" s="12" t="s">
        <v>67</v>
      </c>
      <c r="C169" s="10" t="s">
        <v>58</v>
      </c>
      <c r="D169" s="10" t="s">
        <v>59</v>
      </c>
      <c r="E169" s="9">
        <v>14</v>
      </c>
      <c r="F169" s="9">
        <v>14</v>
      </c>
      <c r="G169" s="9">
        <v>1</v>
      </c>
      <c r="H169" s="10" t="s">
        <v>59</v>
      </c>
      <c r="I169" s="9">
        <v>1</v>
      </c>
      <c r="J169" s="9">
        <v>0.39859620798961298</v>
      </c>
      <c r="K169" s="10" t="s">
        <v>51</v>
      </c>
      <c r="L169" s="9">
        <v>1</v>
      </c>
      <c r="M169" s="9">
        <v>14</v>
      </c>
      <c r="N169" s="9">
        <v>14</v>
      </c>
      <c r="O169" s="9">
        <v>38</v>
      </c>
      <c r="P169" s="9">
        <v>28.994569624992401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9">
        <v>28.9844229999871</v>
      </c>
      <c r="AC169" s="9">
        <v>28.994569624992401</v>
      </c>
      <c r="AD169" s="9">
        <v>29.481770874990598</v>
      </c>
      <c r="AE169" s="9">
        <v>29.481770874990598</v>
      </c>
      <c r="AF169" s="9">
        <v>29.481770874990598</v>
      </c>
      <c r="AG169" s="9">
        <v>29.890789332988799</v>
      </c>
      <c r="AH169" s="10" t="s">
        <v>59</v>
      </c>
      <c r="AI169" s="9">
        <v>1</v>
      </c>
      <c r="AJ169" s="9">
        <v>0.39859620798961298</v>
      </c>
      <c r="AK169" s="10" t="s">
        <v>51</v>
      </c>
      <c r="AL169" s="8"/>
      <c r="AM169" s="8"/>
      <c r="AN169" s="8"/>
      <c r="AO169" s="8"/>
      <c r="AP169" s="9">
        <v>4</v>
      </c>
      <c r="AQ169" s="9">
        <v>1</v>
      </c>
      <c r="AR169" s="10" t="s">
        <v>98</v>
      </c>
      <c r="AS169" s="10" t="s">
        <v>53</v>
      </c>
      <c r="AT169" s="8"/>
      <c r="AU169" s="10" t="s">
        <v>54</v>
      </c>
      <c r="AV169" s="10" t="s">
        <v>51</v>
      </c>
      <c r="AW169" s="10" t="s">
        <v>99</v>
      </c>
      <c r="AX169" s="8"/>
    </row>
    <row r="170" spans="1:50" x14ac:dyDescent="0.15">
      <c r="A170" s="11" t="s">
        <v>86</v>
      </c>
      <c r="B170" s="12" t="s">
        <v>67</v>
      </c>
      <c r="C170" s="10" t="s">
        <v>62</v>
      </c>
      <c r="D170" s="10" t="s">
        <v>63</v>
      </c>
      <c r="E170" s="9">
        <v>24</v>
      </c>
      <c r="F170" s="9">
        <v>24</v>
      </c>
      <c r="G170" s="9">
        <v>0</v>
      </c>
      <c r="H170" s="10" t="s">
        <v>63</v>
      </c>
      <c r="I170" s="9">
        <v>1</v>
      </c>
      <c r="J170" s="9">
        <v>0.24881837499560799</v>
      </c>
      <c r="K170" s="10" t="s">
        <v>51</v>
      </c>
      <c r="L170" s="9">
        <v>0</v>
      </c>
      <c r="M170" s="9">
        <v>24</v>
      </c>
      <c r="N170" s="9">
        <v>24</v>
      </c>
      <c r="O170" s="9">
        <v>35</v>
      </c>
      <c r="P170" s="9">
        <v>37.539231416987597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9">
        <v>37.530054249989902</v>
      </c>
      <c r="AC170" s="9">
        <v>37.539231416987597</v>
      </c>
      <c r="AD170" s="9">
        <v>38.023000707995401</v>
      </c>
      <c r="AE170" s="9">
        <v>38.023000707995401</v>
      </c>
      <c r="AF170" s="9">
        <v>38.023000707995401</v>
      </c>
      <c r="AG170" s="9">
        <v>38.2748221669899</v>
      </c>
      <c r="AH170" s="10" t="s">
        <v>63</v>
      </c>
      <c r="AI170" s="9">
        <v>1</v>
      </c>
      <c r="AJ170" s="9">
        <v>0.24881837499560799</v>
      </c>
      <c r="AK170" s="10" t="s">
        <v>51</v>
      </c>
      <c r="AL170" s="8"/>
      <c r="AM170" s="8"/>
      <c r="AN170" s="8"/>
      <c r="AO170" s="8"/>
      <c r="AP170" s="9">
        <v>4</v>
      </c>
      <c r="AQ170" s="9">
        <v>1</v>
      </c>
      <c r="AR170" s="10" t="s">
        <v>98</v>
      </c>
      <c r="AS170" s="10" t="s">
        <v>53</v>
      </c>
      <c r="AT170" s="8"/>
      <c r="AU170" s="10" t="s">
        <v>54</v>
      </c>
      <c r="AV170" s="10" t="s">
        <v>51</v>
      </c>
      <c r="AW170" s="10" t="s">
        <v>99</v>
      </c>
      <c r="AX170" s="8"/>
    </row>
    <row r="171" spans="1:50" x14ac:dyDescent="0.15">
      <c r="A171" s="11" t="s">
        <v>69</v>
      </c>
      <c r="B171" s="12" t="s">
        <v>67</v>
      </c>
      <c r="C171" s="10" t="s">
        <v>62</v>
      </c>
      <c r="D171" s="10" t="s">
        <v>63</v>
      </c>
      <c r="E171" s="9">
        <v>30</v>
      </c>
      <c r="F171" s="9">
        <v>30</v>
      </c>
      <c r="G171" s="9">
        <v>0</v>
      </c>
      <c r="H171" s="10" t="s">
        <v>63</v>
      </c>
      <c r="I171" s="9">
        <v>1</v>
      </c>
      <c r="J171" s="9">
        <v>0.477967665996403</v>
      </c>
      <c r="K171" s="10" t="s">
        <v>51</v>
      </c>
      <c r="L171" s="9">
        <v>0</v>
      </c>
      <c r="M171" s="9">
        <v>30</v>
      </c>
      <c r="N171" s="9">
        <v>30</v>
      </c>
      <c r="O171" s="9">
        <v>39</v>
      </c>
      <c r="P171" s="9">
        <v>42.921910958000801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9">
        <v>42.913007374998401</v>
      </c>
      <c r="AC171" s="9">
        <v>42.921910958000801</v>
      </c>
      <c r="AD171" s="9">
        <v>43.405957666996997</v>
      </c>
      <c r="AE171" s="9">
        <v>43.405957666996997</v>
      </c>
      <c r="AF171" s="9">
        <v>43.405957666996997</v>
      </c>
      <c r="AG171" s="9">
        <v>43.892980916993103</v>
      </c>
      <c r="AH171" s="10" t="s">
        <v>63</v>
      </c>
      <c r="AI171" s="9">
        <v>1</v>
      </c>
      <c r="AJ171" s="9">
        <v>0.477967665996403</v>
      </c>
      <c r="AK171" s="10" t="s">
        <v>51</v>
      </c>
      <c r="AL171" s="8"/>
      <c r="AM171" s="8"/>
      <c r="AN171" s="8"/>
      <c r="AO171" s="8"/>
      <c r="AP171" s="9">
        <v>4</v>
      </c>
      <c r="AQ171" s="9">
        <v>1</v>
      </c>
      <c r="AR171" s="10" t="s">
        <v>98</v>
      </c>
      <c r="AS171" s="10" t="s">
        <v>53</v>
      </c>
      <c r="AT171" s="8"/>
      <c r="AU171" s="10" t="s">
        <v>54</v>
      </c>
      <c r="AV171" s="10" t="s">
        <v>51</v>
      </c>
      <c r="AW171" s="10" t="s">
        <v>99</v>
      </c>
      <c r="AX171" s="8"/>
    </row>
    <row r="172" spans="1:50" x14ac:dyDescent="0.15">
      <c r="A172" s="11" t="s">
        <v>69</v>
      </c>
      <c r="B172" s="12" t="s">
        <v>67</v>
      </c>
      <c r="C172" s="10" t="s">
        <v>62</v>
      </c>
      <c r="D172" s="10" t="s">
        <v>63</v>
      </c>
      <c r="E172" s="9">
        <v>32</v>
      </c>
      <c r="F172" s="9">
        <v>32</v>
      </c>
      <c r="G172" s="9">
        <v>1</v>
      </c>
      <c r="H172" s="10" t="s">
        <v>63</v>
      </c>
      <c r="I172" s="9">
        <v>1</v>
      </c>
      <c r="J172" s="9">
        <v>0.39646666600310698</v>
      </c>
      <c r="K172" s="10" t="s">
        <v>51</v>
      </c>
      <c r="L172" s="9">
        <v>1</v>
      </c>
      <c r="M172" s="9">
        <v>32</v>
      </c>
      <c r="N172" s="9">
        <v>32</v>
      </c>
      <c r="O172" s="9">
        <v>39</v>
      </c>
      <c r="P172" s="9">
        <v>44.756874499988001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9">
        <v>44.747754166994099</v>
      </c>
      <c r="AC172" s="9">
        <v>44.756874499988001</v>
      </c>
      <c r="AD172" s="9">
        <v>45.239370041992501</v>
      </c>
      <c r="AE172" s="9">
        <v>45.239370041992501</v>
      </c>
      <c r="AF172" s="9">
        <v>45.239370041992501</v>
      </c>
      <c r="AG172" s="9">
        <v>45.641336374988903</v>
      </c>
      <c r="AH172" s="10" t="s">
        <v>63</v>
      </c>
      <c r="AI172" s="9">
        <v>1</v>
      </c>
      <c r="AJ172" s="9">
        <v>0.39646666600310698</v>
      </c>
      <c r="AK172" s="10" t="s">
        <v>51</v>
      </c>
      <c r="AL172" s="8"/>
      <c r="AM172" s="8"/>
      <c r="AN172" s="8"/>
      <c r="AO172" s="8"/>
      <c r="AP172" s="9">
        <v>4</v>
      </c>
      <c r="AQ172" s="9">
        <v>1</v>
      </c>
      <c r="AR172" s="10" t="s">
        <v>98</v>
      </c>
      <c r="AS172" s="10" t="s">
        <v>53</v>
      </c>
      <c r="AT172" s="8"/>
      <c r="AU172" s="10" t="s">
        <v>54</v>
      </c>
      <c r="AV172" s="10" t="s">
        <v>51</v>
      </c>
      <c r="AW172" s="10" t="s">
        <v>99</v>
      </c>
      <c r="AX172" s="8"/>
    </row>
    <row r="173" spans="1:50" x14ac:dyDescent="0.15">
      <c r="A173" s="11" t="s">
        <v>77</v>
      </c>
      <c r="B173" s="12" t="s">
        <v>67</v>
      </c>
      <c r="C173" s="10" t="s">
        <v>62</v>
      </c>
      <c r="D173" s="10" t="s">
        <v>63</v>
      </c>
      <c r="E173" s="9">
        <v>35</v>
      </c>
      <c r="F173" s="9">
        <v>35</v>
      </c>
      <c r="G173" s="9">
        <v>0</v>
      </c>
      <c r="H173" s="10" t="s">
        <v>63</v>
      </c>
      <c r="I173" s="9">
        <v>1</v>
      </c>
      <c r="J173" s="9">
        <v>0.58671554100874401</v>
      </c>
      <c r="K173" s="10" t="s">
        <v>51</v>
      </c>
      <c r="L173" s="9">
        <v>0</v>
      </c>
      <c r="M173" s="9">
        <v>35</v>
      </c>
      <c r="N173" s="9">
        <v>35</v>
      </c>
      <c r="O173" s="9">
        <v>41</v>
      </c>
      <c r="P173" s="9">
        <v>47.521891083000803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9">
        <v>47.5130354579887</v>
      </c>
      <c r="AC173" s="9">
        <v>47.521891083000803</v>
      </c>
      <c r="AD173" s="9">
        <v>48.006108457993797</v>
      </c>
      <c r="AE173" s="9">
        <v>48.006108457993797</v>
      </c>
      <c r="AF173" s="9">
        <v>48.006108457993797</v>
      </c>
      <c r="AG173" s="9">
        <v>48.597339916988901</v>
      </c>
      <c r="AH173" s="10" t="s">
        <v>63</v>
      </c>
      <c r="AI173" s="9">
        <v>1</v>
      </c>
      <c r="AJ173" s="9">
        <v>0.58671554100874401</v>
      </c>
      <c r="AK173" s="10" t="s">
        <v>51</v>
      </c>
      <c r="AL173" s="8"/>
      <c r="AM173" s="8"/>
      <c r="AN173" s="8"/>
      <c r="AO173" s="8"/>
      <c r="AP173" s="9">
        <v>4</v>
      </c>
      <c r="AQ173" s="9">
        <v>1</v>
      </c>
      <c r="AR173" s="10" t="s">
        <v>98</v>
      </c>
      <c r="AS173" s="10" t="s">
        <v>53</v>
      </c>
      <c r="AT173" s="8"/>
      <c r="AU173" s="10" t="s">
        <v>54</v>
      </c>
      <c r="AV173" s="10" t="s">
        <v>51</v>
      </c>
      <c r="AW173" s="10" t="s">
        <v>99</v>
      </c>
      <c r="AX173" s="8"/>
    </row>
    <row r="174" spans="1:50" x14ac:dyDescent="0.15">
      <c r="A174" s="11" t="s">
        <v>77</v>
      </c>
      <c r="B174" s="12" t="s">
        <v>67</v>
      </c>
      <c r="C174" s="10" t="s">
        <v>58</v>
      </c>
      <c r="D174" s="10" t="s">
        <v>59</v>
      </c>
      <c r="E174" s="9">
        <v>36</v>
      </c>
      <c r="F174" s="9">
        <v>36</v>
      </c>
      <c r="G174" s="9">
        <v>1</v>
      </c>
      <c r="H174" s="10" t="s">
        <v>59</v>
      </c>
      <c r="I174" s="9">
        <v>1</v>
      </c>
      <c r="J174" s="9">
        <v>0.92344904100173197</v>
      </c>
      <c r="K174" s="10" t="s">
        <v>51</v>
      </c>
      <c r="L174" s="9">
        <v>1</v>
      </c>
      <c r="M174" s="9">
        <v>36</v>
      </c>
      <c r="N174" s="9">
        <v>36</v>
      </c>
      <c r="O174" s="9">
        <v>40</v>
      </c>
      <c r="P174" s="9">
        <v>48.609051291990902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9">
        <v>48.598309249995502</v>
      </c>
      <c r="AC174" s="9">
        <v>48.609051291990902</v>
      </c>
      <c r="AD174" s="9">
        <v>49.098554541997103</v>
      </c>
      <c r="AE174" s="9">
        <v>49.098554541997103</v>
      </c>
      <c r="AF174" s="9">
        <v>49.098554541997103</v>
      </c>
      <c r="AG174" s="9">
        <v>50.025243207986897</v>
      </c>
      <c r="AH174" s="10" t="s">
        <v>59</v>
      </c>
      <c r="AI174" s="9">
        <v>1</v>
      </c>
      <c r="AJ174" s="9">
        <v>0.92344904100173197</v>
      </c>
      <c r="AK174" s="10" t="s">
        <v>51</v>
      </c>
      <c r="AL174" s="8"/>
      <c r="AM174" s="8"/>
      <c r="AN174" s="8"/>
      <c r="AO174" s="8"/>
      <c r="AP174" s="9">
        <v>4</v>
      </c>
      <c r="AQ174" s="9">
        <v>1</v>
      </c>
      <c r="AR174" s="10" t="s">
        <v>98</v>
      </c>
      <c r="AS174" s="10" t="s">
        <v>53</v>
      </c>
      <c r="AT174" s="8"/>
      <c r="AU174" s="10" t="s">
        <v>54</v>
      </c>
      <c r="AV174" s="10" t="s">
        <v>51</v>
      </c>
      <c r="AW174" s="10" t="s">
        <v>99</v>
      </c>
      <c r="AX174" s="8"/>
    </row>
    <row r="175" spans="1:50" x14ac:dyDescent="0.15">
      <c r="A175" s="11" t="s">
        <v>66</v>
      </c>
      <c r="B175" s="12" t="s">
        <v>67</v>
      </c>
      <c r="C175" s="10" t="s">
        <v>58</v>
      </c>
      <c r="D175" s="10" t="s">
        <v>59</v>
      </c>
      <c r="E175" s="9">
        <v>37</v>
      </c>
      <c r="F175" s="9">
        <v>37</v>
      </c>
      <c r="G175" s="9">
        <v>0</v>
      </c>
      <c r="H175" s="10" t="s">
        <v>59</v>
      </c>
      <c r="I175" s="9">
        <v>1</v>
      </c>
      <c r="J175" s="9">
        <v>0.45207070799369797</v>
      </c>
      <c r="K175" s="10" t="s">
        <v>51</v>
      </c>
      <c r="L175" s="9">
        <v>0</v>
      </c>
      <c r="M175" s="9">
        <v>37</v>
      </c>
      <c r="N175" s="9">
        <v>37</v>
      </c>
      <c r="O175" s="9">
        <v>46</v>
      </c>
      <c r="P175" s="9">
        <v>50.038595249992802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9">
        <v>50.029683291999397</v>
      </c>
      <c r="AC175" s="9">
        <v>50.038595249992802</v>
      </c>
      <c r="AD175" s="9">
        <v>50.522890874999597</v>
      </c>
      <c r="AE175" s="9">
        <v>50.522890874999597</v>
      </c>
      <c r="AF175" s="9">
        <v>50.522890874999597</v>
      </c>
      <c r="AG175" s="9">
        <v>50.981263875000899</v>
      </c>
      <c r="AH175" s="10" t="s">
        <v>59</v>
      </c>
      <c r="AI175" s="9">
        <v>1</v>
      </c>
      <c r="AJ175" s="9">
        <v>0.45207070799369797</v>
      </c>
      <c r="AK175" s="10" t="s">
        <v>51</v>
      </c>
      <c r="AL175" s="8"/>
      <c r="AM175" s="8"/>
      <c r="AN175" s="8"/>
      <c r="AO175" s="8"/>
      <c r="AP175" s="9">
        <v>4</v>
      </c>
      <c r="AQ175" s="9">
        <v>1</v>
      </c>
      <c r="AR175" s="10" t="s">
        <v>98</v>
      </c>
      <c r="AS175" s="10" t="s">
        <v>53</v>
      </c>
      <c r="AT175" s="8"/>
      <c r="AU175" s="10" t="s">
        <v>54</v>
      </c>
      <c r="AV175" s="10" t="s">
        <v>51</v>
      </c>
      <c r="AW175" s="10" t="s">
        <v>99</v>
      </c>
      <c r="AX175" s="8"/>
    </row>
    <row r="176" spans="1:50" x14ac:dyDescent="0.15">
      <c r="A176" s="11" t="s">
        <v>80</v>
      </c>
      <c r="B176" s="12" t="s">
        <v>67</v>
      </c>
      <c r="C176" s="10" t="s">
        <v>58</v>
      </c>
      <c r="D176" s="10" t="s">
        <v>59</v>
      </c>
      <c r="E176" s="9">
        <v>39</v>
      </c>
      <c r="F176" s="9">
        <v>39</v>
      </c>
      <c r="G176" s="9">
        <v>1</v>
      </c>
      <c r="H176" s="10" t="s">
        <v>59</v>
      </c>
      <c r="I176" s="9">
        <v>1</v>
      </c>
      <c r="J176" s="9">
        <v>0.33783783300896197</v>
      </c>
      <c r="K176" s="10" t="s">
        <v>51</v>
      </c>
      <c r="L176" s="9">
        <v>1</v>
      </c>
      <c r="M176" s="9">
        <v>39</v>
      </c>
      <c r="N176" s="9">
        <v>39</v>
      </c>
      <c r="O176" s="9">
        <v>32</v>
      </c>
      <c r="P176" s="9">
        <v>51.855759499987499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9">
        <v>51.846734582999503</v>
      </c>
      <c r="AC176" s="9">
        <v>51.855759499987499</v>
      </c>
      <c r="AD176" s="9">
        <v>52.340209249989101</v>
      </c>
      <c r="AE176" s="9">
        <v>52.340209249989101</v>
      </c>
      <c r="AF176" s="9">
        <v>52.340209249989101</v>
      </c>
      <c r="AG176" s="9">
        <v>52.681393791994203</v>
      </c>
      <c r="AH176" s="10" t="s">
        <v>59</v>
      </c>
      <c r="AI176" s="9">
        <v>1</v>
      </c>
      <c r="AJ176" s="9">
        <v>0.33783783300896197</v>
      </c>
      <c r="AK176" s="10" t="s">
        <v>51</v>
      </c>
      <c r="AL176" s="8"/>
      <c r="AM176" s="8"/>
      <c r="AN176" s="8"/>
      <c r="AO176" s="8"/>
      <c r="AP176" s="9">
        <v>4</v>
      </c>
      <c r="AQ176" s="9">
        <v>1</v>
      </c>
      <c r="AR176" s="10" t="s">
        <v>98</v>
      </c>
      <c r="AS176" s="10" t="s">
        <v>53</v>
      </c>
      <c r="AT176" s="8"/>
      <c r="AU176" s="10" t="s">
        <v>54</v>
      </c>
      <c r="AV176" s="10" t="s">
        <v>51</v>
      </c>
      <c r="AW176" s="10" t="s">
        <v>99</v>
      </c>
      <c r="AX176" s="8"/>
    </row>
    <row r="177" spans="1:50" x14ac:dyDescent="0.15">
      <c r="A177" s="11" t="s">
        <v>80</v>
      </c>
      <c r="B177" s="12" t="s">
        <v>67</v>
      </c>
      <c r="C177" s="10" t="s">
        <v>62</v>
      </c>
      <c r="D177" s="10" t="s">
        <v>63</v>
      </c>
      <c r="E177" s="9">
        <v>43</v>
      </c>
      <c r="F177" s="9">
        <v>43</v>
      </c>
      <c r="G177" s="9">
        <v>0</v>
      </c>
      <c r="H177" s="10" t="s">
        <v>63</v>
      </c>
      <c r="I177" s="9">
        <v>1</v>
      </c>
      <c r="J177" s="9">
        <v>0.38133449900487898</v>
      </c>
      <c r="K177" s="10" t="s">
        <v>51</v>
      </c>
      <c r="L177" s="9">
        <v>0</v>
      </c>
      <c r="M177" s="9">
        <v>43</v>
      </c>
      <c r="N177" s="9">
        <v>43</v>
      </c>
      <c r="O177" s="9">
        <v>33</v>
      </c>
      <c r="P177" s="9">
        <v>55.571969249998801</v>
      </c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9">
        <v>55.563004124997001</v>
      </c>
      <c r="AC177" s="9">
        <v>55.571969249998801</v>
      </c>
      <c r="AD177" s="9">
        <v>56.056985124989303</v>
      </c>
      <c r="AE177" s="9">
        <v>56.056985124989303</v>
      </c>
      <c r="AF177" s="9">
        <v>56.056985124989303</v>
      </c>
      <c r="AG177" s="9">
        <v>56.4417747499974</v>
      </c>
      <c r="AH177" s="10" t="s">
        <v>63</v>
      </c>
      <c r="AI177" s="9">
        <v>1</v>
      </c>
      <c r="AJ177" s="9">
        <v>0.38133449900487898</v>
      </c>
      <c r="AK177" s="10" t="s">
        <v>51</v>
      </c>
      <c r="AL177" s="8"/>
      <c r="AM177" s="8"/>
      <c r="AN177" s="8"/>
      <c r="AO177" s="8"/>
      <c r="AP177" s="9">
        <v>4</v>
      </c>
      <c r="AQ177" s="9">
        <v>1</v>
      </c>
      <c r="AR177" s="10" t="s">
        <v>98</v>
      </c>
      <c r="AS177" s="10" t="s">
        <v>53</v>
      </c>
      <c r="AT177" s="8"/>
      <c r="AU177" s="10" t="s">
        <v>54</v>
      </c>
      <c r="AV177" s="10" t="s">
        <v>51</v>
      </c>
      <c r="AW177" s="10" t="s">
        <v>99</v>
      </c>
      <c r="AX177" s="8"/>
    </row>
    <row r="178" spans="1:50" x14ac:dyDescent="0.15">
      <c r="A178" s="11" t="s">
        <v>76</v>
      </c>
      <c r="B178" s="12" t="s">
        <v>67</v>
      </c>
      <c r="C178" s="10" t="s">
        <v>58</v>
      </c>
      <c r="D178" s="10" t="s">
        <v>59</v>
      </c>
      <c r="E178" s="9">
        <v>47</v>
      </c>
      <c r="F178" s="9">
        <v>47</v>
      </c>
      <c r="G178" s="9">
        <v>2</v>
      </c>
      <c r="H178" s="10" t="s">
        <v>59</v>
      </c>
      <c r="I178" s="9">
        <v>1</v>
      </c>
      <c r="J178" s="9">
        <v>0.37625420800759501</v>
      </c>
      <c r="K178" s="10" t="s">
        <v>51</v>
      </c>
      <c r="L178" s="9">
        <v>2</v>
      </c>
      <c r="M178" s="9">
        <v>47</v>
      </c>
      <c r="N178" s="9">
        <v>47</v>
      </c>
      <c r="O178" s="9">
        <v>42</v>
      </c>
      <c r="P178" s="9">
        <v>59.012216416987897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9">
        <v>59.002935624987003</v>
      </c>
      <c r="AC178" s="9">
        <v>59.012216416987897</v>
      </c>
      <c r="AD178" s="9">
        <v>59.4988728329918</v>
      </c>
      <c r="AE178" s="9">
        <v>59.4988728329918</v>
      </c>
      <c r="AF178" s="9">
        <v>59.4988728329918</v>
      </c>
      <c r="AG178" s="9">
        <v>59.881453166992301</v>
      </c>
      <c r="AH178" s="10" t="s">
        <v>59</v>
      </c>
      <c r="AI178" s="9">
        <v>1</v>
      </c>
      <c r="AJ178" s="9">
        <v>0.37625420800759501</v>
      </c>
      <c r="AK178" s="10" t="s">
        <v>51</v>
      </c>
      <c r="AL178" s="8"/>
      <c r="AM178" s="8"/>
      <c r="AN178" s="8"/>
      <c r="AO178" s="8"/>
      <c r="AP178" s="9">
        <v>4</v>
      </c>
      <c r="AQ178" s="9">
        <v>1</v>
      </c>
      <c r="AR178" s="10" t="s">
        <v>98</v>
      </c>
      <c r="AS178" s="10" t="s">
        <v>53</v>
      </c>
      <c r="AT178" s="8"/>
      <c r="AU178" s="10" t="s">
        <v>54</v>
      </c>
      <c r="AV178" s="10" t="s">
        <v>51</v>
      </c>
      <c r="AW178" s="10" t="s">
        <v>99</v>
      </c>
      <c r="AX178" s="8"/>
    </row>
    <row r="179" spans="1:50" x14ac:dyDescent="0.15">
      <c r="A179" s="11" t="s">
        <v>77</v>
      </c>
      <c r="B179" s="12" t="s">
        <v>67</v>
      </c>
      <c r="C179" s="10" t="s">
        <v>58</v>
      </c>
      <c r="D179" s="10" t="s">
        <v>59</v>
      </c>
      <c r="E179" s="9">
        <v>48</v>
      </c>
      <c r="F179" s="9">
        <v>48</v>
      </c>
      <c r="G179" s="9">
        <v>2</v>
      </c>
      <c r="H179" s="10" t="s">
        <v>59</v>
      </c>
      <c r="I179" s="9">
        <v>1</v>
      </c>
      <c r="J179" s="9">
        <v>0.334660082997289</v>
      </c>
      <c r="K179" s="10" t="s">
        <v>51</v>
      </c>
      <c r="L179" s="9">
        <v>2</v>
      </c>
      <c r="M179" s="9">
        <v>48</v>
      </c>
      <c r="N179" s="9">
        <v>48</v>
      </c>
      <c r="O179" s="9">
        <v>40</v>
      </c>
      <c r="P179" s="9">
        <v>59.896383749990498</v>
      </c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9">
        <v>59.886386624988504</v>
      </c>
      <c r="AC179" s="9">
        <v>59.896383749990498</v>
      </c>
      <c r="AD179" s="9">
        <v>60.382598083000602</v>
      </c>
      <c r="AE179" s="9">
        <v>60.382598083000602</v>
      </c>
      <c r="AF179" s="9">
        <v>60.382598083000602</v>
      </c>
      <c r="AG179" s="9">
        <v>60.725432207997102</v>
      </c>
      <c r="AH179" s="10" t="s">
        <v>59</v>
      </c>
      <c r="AI179" s="9">
        <v>1</v>
      </c>
      <c r="AJ179" s="9">
        <v>0.334660082997289</v>
      </c>
      <c r="AK179" s="10" t="s">
        <v>51</v>
      </c>
      <c r="AL179" s="8"/>
      <c r="AM179" s="8"/>
      <c r="AN179" s="8"/>
      <c r="AO179" s="8"/>
      <c r="AP179" s="9">
        <v>4</v>
      </c>
      <c r="AQ179" s="9">
        <v>1</v>
      </c>
      <c r="AR179" s="10" t="s">
        <v>98</v>
      </c>
      <c r="AS179" s="10" t="s">
        <v>53</v>
      </c>
      <c r="AT179" s="8"/>
      <c r="AU179" s="10" t="s">
        <v>54</v>
      </c>
      <c r="AV179" s="10" t="s">
        <v>51</v>
      </c>
      <c r="AW179" s="10" t="s">
        <v>99</v>
      </c>
      <c r="AX179" s="8"/>
    </row>
    <row r="180" spans="1:50" x14ac:dyDescent="0.15">
      <c r="A180" s="11" t="s">
        <v>66</v>
      </c>
      <c r="B180" s="12" t="s">
        <v>67</v>
      </c>
      <c r="C180" s="10" t="s">
        <v>62</v>
      </c>
      <c r="D180" s="10" t="s">
        <v>63</v>
      </c>
      <c r="E180" s="9">
        <v>49</v>
      </c>
      <c r="F180" s="9">
        <v>49</v>
      </c>
      <c r="G180" s="9">
        <v>1</v>
      </c>
      <c r="H180" s="10" t="s">
        <v>63</v>
      </c>
      <c r="I180" s="9">
        <v>1</v>
      </c>
      <c r="J180" s="9">
        <v>0.33186612399003901</v>
      </c>
      <c r="K180" s="10" t="s">
        <v>51</v>
      </c>
      <c r="L180" s="9">
        <v>1</v>
      </c>
      <c r="M180" s="9">
        <v>49</v>
      </c>
      <c r="N180" s="9">
        <v>49</v>
      </c>
      <c r="O180" s="9">
        <v>47</v>
      </c>
      <c r="P180" s="9">
        <v>60.739685541993801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9">
        <v>60.730880541988903</v>
      </c>
      <c r="AC180" s="9">
        <v>60.739685541993801</v>
      </c>
      <c r="AD180" s="9">
        <v>61.223536874997102</v>
      </c>
      <c r="AE180" s="9">
        <v>61.223536874997102</v>
      </c>
      <c r="AF180" s="9">
        <v>61.223536874997102</v>
      </c>
      <c r="AG180" s="9">
        <v>61.558860874996803</v>
      </c>
      <c r="AH180" s="10" t="s">
        <v>63</v>
      </c>
      <c r="AI180" s="9">
        <v>1</v>
      </c>
      <c r="AJ180" s="9">
        <v>0.33186612399003901</v>
      </c>
      <c r="AK180" s="10" t="s">
        <v>51</v>
      </c>
      <c r="AL180" s="8"/>
      <c r="AM180" s="8"/>
      <c r="AN180" s="8"/>
      <c r="AO180" s="8"/>
      <c r="AP180" s="9">
        <v>4</v>
      </c>
      <c r="AQ180" s="9">
        <v>1</v>
      </c>
      <c r="AR180" s="10" t="s">
        <v>98</v>
      </c>
      <c r="AS180" s="10" t="s">
        <v>53</v>
      </c>
      <c r="AT180" s="8"/>
      <c r="AU180" s="10" t="s">
        <v>54</v>
      </c>
      <c r="AV180" s="10" t="s">
        <v>51</v>
      </c>
      <c r="AW180" s="10" t="s">
        <v>99</v>
      </c>
      <c r="AX180" s="8"/>
    </row>
    <row r="181" spans="1:50" x14ac:dyDescent="0.15">
      <c r="A181" s="11" t="s">
        <v>82</v>
      </c>
      <c r="B181" s="12" t="s">
        <v>67</v>
      </c>
      <c r="C181" s="10" t="s">
        <v>58</v>
      </c>
      <c r="D181" s="10" t="s">
        <v>59</v>
      </c>
      <c r="E181" s="9">
        <v>50</v>
      </c>
      <c r="F181" s="9">
        <v>50</v>
      </c>
      <c r="G181" s="9">
        <v>0</v>
      </c>
      <c r="H181" s="10" t="s">
        <v>59</v>
      </c>
      <c r="I181" s="9">
        <v>1</v>
      </c>
      <c r="J181" s="9">
        <v>0.42154354100057401</v>
      </c>
      <c r="K181" s="10" t="s">
        <v>51</v>
      </c>
      <c r="L181" s="9">
        <v>0</v>
      </c>
      <c r="M181" s="9">
        <v>50</v>
      </c>
      <c r="N181" s="9">
        <v>50</v>
      </c>
      <c r="O181" s="9">
        <v>36</v>
      </c>
      <c r="P181" s="9">
        <v>61.573038416987401</v>
      </c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9">
        <v>61.564000582991902</v>
      </c>
      <c r="AC181" s="9">
        <v>61.573038416987401</v>
      </c>
      <c r="AD181" s="9">
        <v>62.056649041987797</v>
      </c>
      <c r="AE181" s="9">
        <v>62.056649041987797</v>
      </c>
      <c r="AF181" s="9">
        <v>62.056649041987797</v>
      </c>
      <c r="AG181" s="9">
        <v>62.481632666997001</v>
      </c>
      <c r="AH181" s="10" t="s">
        <v>59</v>
      </c>
      <c r="AI181" s="9">
        <v>1</v>
      </c>
      <c r="AJ181" s="9">
        <v>0.42154354100057401</v>
      </c>
      <c r="AK181" s="10" t="s">
        <v>51</v>
      </c>
      <c r="AL181" s="8"/>
      <c r="AM181" s="8"/>
      <c r="AN181" s="8"/>
      <c r="AO181" s="8"/>
      <c r="AP181" s="9">
        <v>4</v>
      </c>
      <c r="AQ181" s="9">
        <v>1</v>
      </c>
      <c r="AR181" s="10" t="s">
        <v>98</v>
      </c>
      <c r="AS181" s="10" t="s">
        <v>53</v>
      </c>
      <c r="AT181" s="8"/>
      <c r="AU181" s="10" t="s">
        <v>54</v>
      </c>
      <c r="AV181" s="10" t="s">
        <v>51</v>
      </c>
      <c r="AW181" s="10" t="s">
        <v>99</v>
      </c>
      <c r="AX181" s="8"/>
    </row>
    <row r="182" spans="1:50" x14ac:dyDescent="0.15">
      <c r="A182" s="11" t="s">
        <v>81</v>
      </c>
      <c r="B182" s="12" t="s">
        <v>67</v>
      </c>
      <c r="C182" s="10" t="s">
        <v>62</v>
      </c>
      <c r="D182" s="10" t="s">
        <v>63</v>
      </c>
      <c r="E182" s="9">
        <v>52</v>
      </c>
      <c r="F182" s="9">
        <v>52</v>
      </c>
      <c r="G182" s="9">
        <v>1</v>
      </c>
      <c r="H182" s="10" t="s">
        <v>63</v>
      </c>
      <c r="I182" s="9">
        <v>1</v>
      </c>
      <c r="J182" s="9">
        <v>0.54368024900031697</v>
      </c>
      <c r="K182" s="10" t="s">
        <v>51</v>
      </c>
      <c r="L182" s="9">
        <v>1</v>
      </c>
      <c r="M182" s="9">
        <v>52</v>
      </c>
      <c r="N182" s="9">
        <v>52</v>
      </c>
      <c r="O182" s="9">
        <v>45</v>
      </c>
      <c r="P182" s="9">
        <v>63.339313499993303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9">
        <v>63.330092916992697</v>
      </c>
      <c r="AC182" s="9">
        <v>63.339313499993303</v>
      </c>
      <c r="AD182" s="9">
        <v>63.823605832993103</v>
      </c>
      <c r="AE182" s="9">
        <v>63.823605832993103</v>
      </c>
      <c r="AF182" s="9">
        <v>63.823605832993103</v>
      </c>
      <c r="AG182" s="9">
        <v>64.375796457999996</v>
      </c>
      <c r="AH182" s="10" t="s">
        <v>63</v>
      </c>
      <c r="AI182" s="9">
        <v>1</v>
      </c>
      <c r="AJ182" s="9">
        <v>0.54368024900031697</v>
      </c>
      <c r="AK182" s="10" t="s">
        <v>51</v>
      </c>
      <c r="AL182" s="8"/>
      <c r="AM182" s="8"/>
      <c r="AN182" s="8"/>
      <c r="AO182" s="8"/>
      <c r="AP182" s="9">
        <v>4</v>
      </c>
      <c r="AQ182" s="9">
        <v>1</v>
      </c>
      <c r="AR182" s="10" t="s">
        <v>98</v>
      </c>
      <c r="AS182" s="10" t="s">
        <v>53</v>
      </c>
      <c r="AT182" s="8"/>
      <c r="AU182" s="10" t="s">
        <v>54</v>
      </c>
      <c r="AV182" s="10" t="s">
        <v>51</v>
      </c>
      <c r="AW182" s="10" t="s">
        <v>99</v>
      </c>
      <c r="AX182" s="8"/>
    </row>
    <row r="183" spans="1:50" x14ac:dyDescent="0.15">
      <c r="A183" s="11" t="s">
        <v>81</v>
      </c>
      <c r="B183" s="12" t="s">
        <v>67</v>
      </c>
      <c r="C183" s="10" t="s">
        <v>62</v>
      </c>
      <c r="D183" s="10" t="s">
        <v>63</v>
      </c>
      <c r="E183" s="9">
        <v>53</v>
      </c>
      <c r="F183" s="9">
        <v>53</v>
      </c>
      <c r="G183" s="9">
        <v>2</v>
      </c>
      <c r="H183" s="10" t="s">
        <v>63</v>
      </c>
      <c r="I183" s="9">
        <v>1</v>
      </c>
      <c r="J183" s="9">
        <v>0.30387199998949699</v>
      </c>
      <c r="K183" s="10" t="s">
        <v>51</v>
      </c>
      <c r="L183" s="9">
        <v>2</v>
      </c>
      <c r="M183" s="9">
        <v>53</v>
      </c>
      <c r="N183" s="9">
        <v>53</v>
      </c>
      <c r="O183" s="9">
        <v>45</v>
      </c>
      <c r="P183" s="9">
        <v>64.385857582994504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9">
        <v>64.376992582998398</v>
      </c>
      <c r="AC183" s="9">
        <v>64.385857582994504</v>
      </c>
      <c r="AD183" s="9">
        <v>64.873838249986903</v>
      </c>
      <c r="AE183" s="9">
        <v>64.873838249986903</v>
      </c>
      <c r="AF183" s="9">
        <v>64.873838249986903</v>
      </c>
      <c r="AG183" s="9">
        <v>65.181691957986899</v>
      </c>
      <c r="AH183" s="10" t="s">
        <v>63</v>
      </c>
      <c r="AI183" s="9">
        <v>1</v>
      </c>
      <c r="AJ183" s="9">
        <v>0.30387199998949699</v>
      </c>
      <c r="AK183" s="10" t="s">
        <v>51</v>
      </c>
      <c r="AL183" s="8"/>
      <c r="AM183" s="8"/>
      <c r="AN183" s="8"/>
      <c r="AO183" s="8"/>
      <c r="AP183" s="9">
        <v>4</v>
      </c>
      <c r="AQ183" s="9">
        <v>1</v>
      </c>
      <c r="AR183" s="10" t="s">
        <v>98</v>
      </c>
      <c r="AS183" s="10" t="s">
        <v>53</v>
      </c>
      <c r="AT183" s="8"/>
      <c r="AU183" s="10" t="s">
        <v>54</v>
      </c>
      <c r="AV183" s="10" t="s">
        <v>51</v>
      </c>
      <c r="AW183" s="10" t="s">
        <v>99</v>
      </c>
      <c r="AX183" s="8"/>
    </row>
    <row r="184" spans="1:50" x14ac:dyDescent="0.15">
      <c r="A184" s="11" t="s">
        <v>76</v>
      </c>
      <c r="B184" s="12" t="s">
        <v>67</v>
      </c>
      <c r="C184" s="10" t="s">
        <v>62</v>
      </c>
      <c r="D184" s="10" t="s">
        <v>63</v>
      </c>
      <c r="E184" s="9">
        <v>56</v>
      </c>
      <c r="F184" s="9">
        <v>56</v>
      </c>
      <c r="G184" s="9">
        <v>0</v>
      </c>
      <c r="H184" s="10" t="s">
        <v>63</v>
      </c>
      <c r="I184" s="9">
        <v>1</v>
      </c>
      <c r="J184" s="9">
        <v>0.31989816600980697</v>
      </c>
      <c r="K184" s="10" t="s">
        <v>51</v>
      </c>
      <c r="L184" s="9">
        <v>0</v>
      </c>
      <c r="M184" s="9">
        <v>56</v>
      </c>
      <c r="N184" s="9">
        <v>56</v>
      </c>
      <c r="O184" s="9">
        <v>43</v>
      </c>
      <c r="P184" s="9">
        <v>67.106841291999402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9">
        <v>67.097529957987703</v>
      </c>
      <c r="AC184" s="9">
        <v>67.106841291999402</v>
      </c>
      <c r="AD184" s="9">
        <v>67.590354542000597</v>
      </c>
      <c r="AE184" s="9">
        <v>67.590354542000597</v>
      </c>
      <c r="AF184" s="9">
        <v>67.590354542000597</v>
      </c>
      <c r="AG184" s="9">
        <v>67.914797374993199</v>
      </c>
      <c r="AH184" s="10" t="s">
        <v>63</v>
      </c>
      <c r="AI184" s="9">
        <v>1</v>
      </c>
      <c r="AJ184" s="9">
        <v>0.31989816600980697</v>
      </c>
      <c r="AK184" s="10" t="s">
        <v>51</v>
      </c>
      <c r="AL184" s="8"/>
      <c r="AM184" s="8"/>
      <c r="AN184" s="8"/>
      <c r="AO184" s="8"/>
      <c r="AP184" s="9">
        <v>4</v>
      </c>
      <c r="AQ184" s="9">
        <v>1</v>
      </c>
      <c r="AR184" s="10" t="s">
        <v>98</v>
      </c>
      <c r="AS184" s="10" t="s">
        <v>53</v>
      </c>
      <c r="AT184" s="8"/>
      <c r="AU184" s="10" t="s">
        <v>54</v>
      </c>
      <c r="AV184" s="10" t="s">
        <v>51</v>
      </c>
      <c r="AW184" s="10" t="s">
        <v>99</v>
      </c>
      <c r="AX184" s="8"/>
    </row>
    <row r="185" spans="1:50" x14ac:dyDescent="0.15">
      <c r="A185" s="11" t="s">
        <v>77</v>
      </c>
      <c r="B185" s="12" t="s">
        <v>67</v>
      </c>
      <c r="C185" s="10" t="s">
        <v>58</v>
      </c>
      <c r="D185" s="10" t="s">
        <v>59</v>
      </c>
      <c r="E185" s="9">
        <v>61</v>
      </c>
      <c r="F185" s="9">
        <v>61</v>
      </c>
      <c r="G185" s="9">
        <v>3</v>
      </c>
      <c r="H185" s="10" t="s">
        <v>63</v>
      </c>
      <c r="I185" s="9">
        <v>0</v>
      </c>
      <c r="J185" s="9">
        <v>0.29090962499321898</v>
      </c>
      <c r="K185" s="10" t="s">
        <v>51</v>
      </c>
      <c r="L185" s="9">
        <v>3</v>
      </c>
      <c r="M185" s="9">
        <v>61</v>
      </c>
      <c r="N185" s="9">
        <v>61</v>
      </c>
      <c r="O185" s="9">
        <v>40</v>
      </c>
      <c r="P185" s="9">
        <v>71.463317082991097</v>
      </c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9">
        <v>71.453030541990302</v>
      </c>
      <c r="AC185" s="9">
        <v>71.463317082991097</v>
      </c>
      <c r="AD185" s="9">
        <v>71.949543166992996</v>
      </c>
      <c r="AE185" s="9">
        <v>71.949543166992996</v>
      </c>
      <c r="AF185" s="9">
        <v>71.949543166992996</v>
      </c>
      <c r="AG185" s="9">
        <v>72.242402416988597</v>
      </c>
      <c r="AH185" s="10" t="s">
        <v>63</v>
      </c>
      <c r="AI185" s="9">
        <v>0</v>
      </c>
      <c r="AJ185" s="9">
        <v>0.29090962499321898</v>
      </c>
      <c r="AK185" s="10" t="s">
        <v>51</v>
      </c>
      <c r="AL185" s="8"/>
      <c r="AM185" s="8"/>
      <c r="AN185" s="8"/>
      <c r="AO185" s="8"/>
      <c r="AP185" s="9">
        <v>4</v>
      </c>
      <c r="AQ185" s="9">
        <v>1</v>
      </c>
      <c r="AR185" s="10" t="s">
        <v>98</v>
      </c>
      <c r="AS185" s="10" t="s">
        <v>53</v>
      </c>
      <c r="AT185" s="8"/>
      <c r="AU185" s="10" t="s">
        <v>54</v>
      </c>
      <c r="AV185" s="10" t="s">
        <v>51</v>
      </c>
      <c r="AW185" s="10" t="s">
        <v>99</v>
      </c>
      <c r="AX185" s="8"/>
    </row>
    <row r="186" spans="1:50" x14ac:dyDescent="0.15">
      <c r="A186" s="11" t="s">
        <v>76</v>
      </c>
      <c r="B186" s="12" t="s">
        <v>67</v>
      </c>
      <c r="C186" s="10" t="s">
        <v>58</v>
      </c>
      <c r="D186" s="10" t="s">
        <v>59</v>
      </c>
      <c r="E186" s="9">
        <v>68</v>
      </c>
      <c r="F186" s="9">
        <v>68</v>
      </c>
      <c r="G186" s="9">
        <v>3</v>
      </c>
      <c r="H186" s="10" t="s">
        <v>59</v>
      </c>
      <c r="I186" s="9">
        <v>1</v>
      </c>
      <c r="J186" s="9">
        <v>0.58139091701014001</v>
      </c>
      <c r="K186" s="10" t="s">
        <v>51</v>
      </c>
      <c r="L186" s="9">
        <v>3</v>
      </c>
      <c r="M186" s="9">
        <v>68</v>
      </c>
      <c r="N186" s="9">
        <v>68</v>
      </c>
      <c r="O186" s="9">
        <v>42</v>
      </c>
      <c r="P186" s="9">
        <v>78.263032167000404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9">
        <v>78.253148666990498</v>
      </c>
      <c r="AC186" s="9">
        <v>78.263032167000404</v>
      </c>
      <c r="AD186" s="9">
        <v>78.750079374993206</v>
      </c>
      <c r="AE186" s="9">
        <v>78.750079374993206</v>
      </c>
      <c r="AF186" s="9">
        <v>78.750079374993206</v>
      </c>
      <c r="AG186" s="9">
        <v>79.342658041990902</v>
      </c>
      <c r="AH186" s="10" t="s">
        <v>59</v>
      </c>
      <c r="AI186" s="9">
        <v>1</v>
      </c>
      <c r="AJ186" s="9">
        <v>0.58139091701014001</v>
      </c>
      <c r="AK186" s="10" t="s">
        <v>51</v>
      </c>
      <c r="AL186" s="8"/>
      <c r="AM186" s="8"/>
      <c r="AN186" s="8"/>
      <c r="AO186" s="8"/>
      <c r="AP186" s="9">
        <v>4</v>
      </c>
      <c r="AQ186" s="9">
        <v>1</v>
      </c>
      <c r="AR186" s="10" t="s">
        <v>98</v>
      </c>
      <c r="AS186" s="10" t="s">
        <v>53</v>
      </c>
      <c r="AT186" s="8"/>
      <c r="AU186" s="10" t="s">
        <v>54</v>
      </c>
      <c r="AV186" s="10" t="s">
        <v>51</v>
      </c>
      <c r="AW186" s="10" t="s">
        <v>99</v>
      </c>
      <c r="AX186" s="8"/>
    </row>
    <row r="187" spans="1:50" x14ac:dyDescent="0.15">
      <c r="A187" s="11" t="s">
        <v>82</v>
      </c>
      <c r="B187" s="12" t="s">
        <v>67</v>
      </c>
      <c r="C187" s="10" t="s">
        <v>62</v>
      </c>
      <c r="D187" s="10" t="s">
        <v>63</v>
      </c>
      <c r="E187" s="9">
        <v>70</v>
      </c>
      <c r="F187" s="9">
        <v>70</v>
      </c>
      <c r="G187" s="9">
        <v>0</v>
      </c>
      <c r="H187" s="10" t="s">
        <v>63</v>
      </c>
      <c r="I187" s="9">
        <v>1</v>
      </c>
      <c r="J187" s="9">
        <v>0.40193629098939698</v>
      </c>
      <c r="K187" s="10" t="s">
        <v>51</v>
      </c>
      <c r="L187" s="9">
        <v>0</v>
      </c>
      <c r="M187" s="9">
        <v>70</v>
      </c>
      <c r="N187" s="9">
        <v>70</v>
      </c>
      <c r="O187" s="9">
        <v>37</v>
      </c>
      <c r="P187" s="9">
        <v>80.145566582999905</v>
      </c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9">
        <v>80.136902624988593</v>
      </c>
      <c r="AC187" s="9">
        <v>80.145566582999905</v>
      </c>
      <c r="AD187" s="9">
        <v>80.633665832996499</v>
      </c>
      <c r="AE187" s="9">
        <v>80.633665832996499</v>
      </c>
      <c r="AF187" s="9">
        <v>80.633665832996499</v>
      </c>
      <c r="AG187" s="9">
        <v>81.042878291991698</v>
      </c>
      <c r="AH187" s="10" t="s">
        <v>63</v>
      </c>
      <c r="AI187" s="9">
        <v>1</v>
      </c>
      <c r="AJ187" s="9">
        <v>0.40193629098939698</v>
      </c>
      <c r="AK187" s="10" t="s">
        <v>51</v>
      </c>
      <c r="AL187" s="8"/>
      <c r="AM187" s="8"/>
      <c r="AN187" s="8"/>
      <c r="AO187" s="8"/>
      <c r="AP187" s="9">
        <v>4</v>
      </c>
      <c r="AQ187" s="9">
        <v>1</v>
      </c>
      <c r="AR187" s="10" t="s">
        <v>98</v>
      </c>
      <c r="AS187" s="10" t="s">
        <v>53</v>
      </c>
      <c r="AT187" s="8"/>
      <c r="AU187" s="10" t="s">
        <v>54</v>
      </c>
      <c r="AV187" s="10" t="s">
        <v>51</v>
      </c>
      <c r="AW187" s="10" t="s">
        <v>99</v>
      </c>
      <c r="AX187" s="8"/>
    </row>
    <row r="188" spans="1:50" x14ac:dyDescent="0.15">
      <c r="A188" s="11" t="s">
        <v>82</v>
      </c>
      <c r="B188" s="12" t="s">
        <v>67</v>
      </c>
      <c r="C188" s="10" t="s">
        <v>62</v>
      </c>
      <c r="D188" s="10" t="s">
        <v>63</v>
      </c>
      <c r="E188" s="9">
        <v>76</v>
      </c>
      <c r="F188" s="9">
        <v>76</v>
      </c>
      <c r="G188" s="9">
        <v>1</v>
      </c>
      <c r="H188" s="10" t="s">
        <v>63</v>
      </c>
      <c r="I188" s="9">
        <v>1</v>
      </c>
      <c r="J188" s="9">
        <v>0.37683141599700298</v>
      </c>
      <c r="K188" s="10" t="s">
        <v>51</v>
      </c>
      <c r="L188" s="9">
        <v>1</v>
      </c>
      <c r="M188" s="9">
        <v>76</v>
      </c>
      <c r="N188" s="9">
        <v>76</v>
      </c>
      <c r="O188" s="9">
        <v>37</v>
      </c>
      <c r="P188" s="9">
        <v>85.924366332998005</v>
      </c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9">
        <v>85.915233124993406</v>
      </c>
      <c r="AC188" s="9">
        <v>85.924366332998005</v>
      </c>
      <c r="AD188" s="9">
        <v>86.407797041989397</v>
      </c>
      <c r="AE188" s="9">
        <v>86.407797041989397</v>
      </c>
      <c r="AF188" s="9">
        <v>86.407797041989397</v>
      </c>
      <c r="AG188" s="9">
        <v>86.793111708000694</v>
      </c>
      <c r="AH188" s="10" t="s">
        <v>63</v>
      </c>
      <c r="AI188" s="9">
        <v>1</v>
      </c>
      <c r="AJ188" s="9">
        <v>0.37683141599700298</v>
      </c>
      <c r="AK188" s="10" t="s">
        <v>51</v>
      </c>
      <c r="AL188" s="8"/>
      <c r="AM188" s="8"/>
      <c r="AN188" s="8"/>
      <c r="AO188" s="8"/>
      <c r="AP188" s="9">
        <v>4</v>
      </c>
      <c r="AQ188" s="9">
        <v>1</v>
      </c>
      <c r="AR188" s="10" t="s">
        <v>98</v>
      </c>
      <c r="AS188" s="10" t="s">
        <v>53</v>
      </c>
      <c r="AT188" s="8"/>
      <c r="AU188" s="10" t="s">
        <v>54</v>
      </c>
      <c r="AV188" s="10" t="s">
        <v>51</v>
      </c>
      <c r="AW188" s="10" t="s">
        <v>99</v>
      </c>
      <c r="AX188" s="8"/>
    </row>
    <row r="189" spans="1:50" x14ac:dyDescent="0.15">
      <c r="A189" s="11" t="s">
        <v>77</v>
      </c>
      <c r="B189" s="12" t="s">
        <v>67</v>
      </c>
      <c r="C189" s="10" t="s">
        <v>62</v>
      </c>
      <c r="D189" s="10" t="s">
        <v>63</v>
      </c>
      <c r="E189" s="9">
        <v>80</v>
      </c>
      <c r="F189" s="9">
        <v>80</v>
      </c>
      <c r="G189" s="9">
        <v>1</v>
      </c>
      <c r="H189" s="10" t="s">
        <v>63</v>
      </c>
      <c r="I189" s="9">
        <v>1</v>
      </c>
      <c r="J189" s="9">
        <v>0.45468108300701698</v>
      </c>
      <c r="K189" s="10" t="s">
        <v>51</v>
      </c>
      <c r="L189" s="9">
        <v>1</v>
      </c>
      <c r="M189" s="9">
        <v>80</v>
      </c>
      <c r="N189" s="9">
        <v>80</v>
      </c>
      <c r="O189" s="9">
        <v>41</v>
      </c>
      <c r="P189" s="9">
        <v>89.574254791994505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9">
        <v>89.5648582919966</v>
      </c>
      <c r="AC189" s="9">
        <v>89.574254791994505</v>
      </c>
      <c r="AD189" s="9">
        <v>90.058056416994106</v>
      </c>
      <c r="AE189" s="9">
        <v>90.058056416994106</v>
      </c>
      <c r="AF189" s="9">
        <v>90.058056416994106</v>
      </c>
      <c r="AG189" s="9">
        <v>90.515791541998595</v>
      </c>
      <c r="AH189" s="10" t="s">
        <v>63</v>
      </c>
      <c r="AI189" s="9">
        <v>1</v>
      </c>
      <c r="AJ189" s="9">
        <v>0.45468108300701698</v>
      </c>
      <c r="AK189" s="10" t="s">
        <v>51</v>
      </c>
      <c r="AL189" s="8"/>
      <c r="AM189" s="8"/>
      <c r="AN189" s="8"/>
      <c r="AO189" s="8"/>
      <c r="AP189" s="9">
        <v>4</v>
      </c>
      <c r="AQ189" s="9">
        <v>1</v>
      </c>
      <c r="AR189" s="10" t="s">
        <v>98</v>
      </c>
      <c r="AS189" s="10" t="s">
        <v>53</v>
      </c>
      <c r="AT189" s="8"/>
      <c r="AU189" s="10" t="s">
        <v>54</v>
      </c>
      <c r="AV189" s="10" t="s">
        <v>51</v>
      </c>
      <c r="AW189" s="10" t="s">
        <v>99</v>
      </c>
      <c r="AX189" s="8"/>
    </row>
    <row r="190" spans="1:50" x14ac:dyDescent="0.15">
      <c r="A190" s="11" t="s">
        <v>82</v>
      </c>
      <c r="B190" s="12" t="s">
        <v>67</v>
      </c>
      <c r="C190" s="10" t="s">
        <v>58</v>
      </c>
      <c r="D190" s="10" t="s">
        <v>59</v>
      </c>
      <c r="E190" s="9">
        <v>82</v>
      </c>
      <c r="F190" s="9">
        <v>82</v>
      </c>
      <c r="G190" s="9">
        <v>1</v>
      </c>
      <c r="H190" s="10" t="s">
        <v>59</v>
      </c>
      <c r="I190" s="9">
        <v>1</v>
      </c>
      <c r="J190" s="9">
        <v>0.28988654199929398</v>
      </c>
      <c r="K190" s="10" t="s">
        <v>51</v>
      </c>
      <c r="L190" s="9">
        <v>1</v>
      </c>
      <c r="M190" s="9">
        <v>82</v>
      </c>
      <c r="N190" s="9">
        <v>82</v>
      </c>
      <c r="O190" s="9">
        <v>36</v>
      </c>
      <c r="P190" s="9">
        <v>91.395960082998499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9">
        <v>91.387502416997506</v>
      </c>
      <c r="AC190" s="9">
        <v>91.395960082998499</v>
      </c>
      <c r="AD190" s="9">
        <v>91.883941749998499</v>
      </c>
      <c r="AE190" s="9">
        <v>91.883941749998499</v>
      </c>
      <c r="AF190" s="9">
        <v>91.883941749998499</v>
      </c>
      <c r="AG190" s="9">
        <v>92.176618291996405</v>
      </c>
      <c r="AH190" s="10" t="s">
        <v>59</v>
      </c>
      <c r="AI190" s="9">
        <v>1</v>
      </c>
      <c r="AJ190" s="9">
        <v>0.28988654199929398</v>
      </c>
      <c r="AK190" s="10" t="s">
        <v>51</v>
      </c>
      <c r="AL190" s="8"/>
      <c r="AM190" s="8"/>
      <c r="AN190" s="8"/>
      <c r="AO190" s="8"/>
      <c r="AP190" s="9">
        <v>4</v>
      </c>
      <c r="AQ190" s="9">
        <v>1</v>
      </c>
      <c r="AR190" s="10" t="s">
        <v>98</v>
      </c>
      <c r="AS190" s="10" t="s">
        <v>53</v>
      </c>
      <c r="AT190" s="8"/>
      <c r="AU190" s="10" t="s">
        <v>54</v>
      </c>
      <c r="AV190" s="10" t="s">
        <v>51</v>
      </c>
      <c r="AW190" s="10" t="s">
        <v>99</v>
      </c>
      <c r="AX190" s="8"/>
    </row>
    <row r="191" spans="1:50" x14ac:dyDescent="0.15">
      <c r="A191" s="11" t="s">
        <v>69</v>
      </c>
      <c r="B191" s="12" t="s">
        <v>67</v>
      </c>
      <c r="C191" s="10" t="s">
        <v>58</v>
      </c>
      <c r="D191" s="10" t="s">
        <v>59</v>
      </c>
      <c r="E191" s="9">
        <v>88</v>
      </c>
      <c r="F191" s="9">
        <v>88</v>
      </c>
      <c r="G191" s="9">
        <v>2</v>
      </c>
      <c r="H191" s="10" t="s">
        <v>59</v>
      </c>
      <c r="I191" s="9">
        <v>1</v>
      </c>
      <c r="J191" s="9">
        <v>0.29590737499529501</v>
      </c>
      <c r="K191" s="10" t="s">
        <v>51</v>
      </c>
      <c r="L191" s="9">
        <v>2</v>
      </c>
      <c r="M191" s="9">
        <v>88</v>
      </c>
      <c r="N191" s="9">
        <v>88</v>
      </c>
      <c r="O191" s="9">
        <v>38</v>
      </c>
      <c r="P191" s="9">
        <v>96.590902500000098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9">
        <v>96.581659624993307</v>
      </c>
      <c r="AC191" s="9">
        <v>96.590902500000098</v>
      </c>
      <c r="AD191" s="9">
        <v>97.074883624998606</v>
      </c>
      <c r="AE191" s="9">
        <v>97.074883624998606</v>
      </c>
      <c r="AF191" s="9">
        <v>97.074883624998606</v>
      </c>
      <c r="AG191" s="9">
        <v>97.3769384170009</v>
      </c>
      <c r="AH191" s="10" t="s">
        <v>59</v>
      </c>
      <c r="AI191" s="9">
        <v>1</v>
      </c>
      <c r="AJ191" s="9">
        <v>0.29590737499529501</v>
      </c>
      <c r="AK191" s="10" t="s">
        <v>51</v>
      </c>
      <c r="AL191" s="8"/>
      <c r="AM191" s="8"/>
      <c r="AN191" s="8"/>
      <c r="AO191" s="8"/>
      <c r="AP191" s="9">
        <v>4</v>
      </c>
      <c r="AQ191" s="9">
        <v>1</v>
      </c>
      <c r="AR191" s="10" t="s">
        <v>98</v>
      </c>
      <c r="AS191" s="10" t="s">
        <v>53</v>
      </c>
      <c r="AT191" s="8"/>
      <c r="AU191" s="10" t="s">
        <v>54</v>
      </c>
      <c r="AV191" s="10" t="s">
        <v>51</v>
      </c>
      <c r="AW191" s="10" t="s">
        <v>99</v>
      </c>
      <c r="AX191" s="8"/>
    </row>
    <row r="192" spans="1:50" x14ac:dyDescent="0.15">
      <c r="A192" s="11" t="s">
        <v>80</v>
      </c>
      <c r="B192" s="12" t="s">
        <v>67</v>
      </c>
      <c r="C192" s="10" t="s">
        <v>62</v>
      </c>
      <c r="D192" s="10" t="s">
        <v>63</v>
      </c>
      <c r="E192" s="9">
        <v>90</v>
      </c>
      <c r="F192" s="9">
        <v>90</v>
      </c>
      <c r="G192" s="9">
        <v>1</v>
      </c>
      <c r="H192" s="10" t="s">
        <v>63</v>
      </c>
      <c r="I192" s="9">
        <v>1</v>
      </c>
      <c r="J192" s="9">
        <v>0.39849441600381402</v>
      </c>
      <c r="K192" s="10" t="s">
        <v>51</v>
      </c>
      <c r="L192" s="9">
        <v>1</v>
      </c>
      <c r="M192" s="9">
        <v>90</v>
      </c>
      <c r="N192" s="9">
        <v>90</v>
      </c>
      <c r="O192" s="9">
        <v>33</v>
      </c>
      <c r="P192" s="9">
        <v>98.158032708001002</v>
      </c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9">
        <v>98.148879874992403</v>
      </c>
      <c r="AC192" s="9">
        <v>98.158032708001002</v>
      </c>
      <c r="AD192" s="9">
        <v>98.641562499993597</v>
      </c>
      <c r="AE192" s="9">
        <v>98.641562499993597</v>
      </c>
      <c r="AF192" s="9">
        <v>98.641562499993597</v>
      </c>
      <c r="AG192" s="9">
        <v>99.043768832998495</v>
      </c>
      <c r="AH192" s="10" t="s">
        <v>63</v>
      </c>
      <c r="AI192" s="9">
        <v>1</v>
      </c>
      <c r="AJ192" s="9">
        <v>0.39849441600381402</v>
      </c>
      <c r="AK192" s="10" t="s">
        <v>51</v>
      </c>
      <c r="AL192" s="8"/>
      <c r="AM192" s="8"/>
      <c r="AN192" s="8"/>
      <c r="AO192" s="8"/>
      <c r="AP192" s="9">
        <v>4</v>
      </c>
      <c r="AQ192" s="9">
        <v>1</v>
      </c>
      <c r="AR192" s="10" t="s">
        <v>98</v>
      </c>
      <c r="AS192" s="10" t="s">
        <v>53</v>
      </c>
      <c r="AT192" s="8"/>
      <c r="AU192" s="10" t="s">
        <v>54</v>
      </c>
      <c r="AV192" s="10" t="s">
        <v>51</v>
      </c>
      <c r="AW192" s="10" t="s">
        <v>99</v>
      </c>
      <c r="AX192" s="8"/>
    </row>
    <row r="193" spans="1:50" x14ac:dyDescent="0.15">
      <c r="A193" s="11" t="s">
        <v>82</v>
      </c>
      <c r="B193" s="12" t="s">
        <v>67</v>
      </c>
      <c r="C193" s="10" t="s">
        <v>58</v>
      </c>
      <c r="D193" s="10" t="s">
        <v>59</v>
      </c>
      <c r="E193" s="9">
        <v>105</v>
      </c>
      <c r="F193" s="9">
        <v>105</v>
      </c>
      <c r="G193" s="9">
        <v>2</v>
      </c>
      <c r="H193" s="10" t="s">
        <v>59</v>
      </c>
      <c r="I193" s="9">
        <v>1</v>
      </c>
      <c r="J193" s="9">
        <v>0.29055058299854902</v>
      </c>
      <c r="K193" s="10" t="s">
        <v>51</v>
      </c>
      <c r="L193" s="9">
        <v>2</v>
      </c>
      <c r="M193" s="9">
        <v>105</v>
      </c>
      <c r="N193" s="9">
        <v>105</v>
      </c>
      <c r="O193" s="9">
        <v>36</v>
      </c>
      <c r="P193" s="9">
        <v>111.424853374992</v>
      </c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9">
        <v>111.415878582993</v>
      </c>
      <c r="AC193" s="9">
        <v>111.424853374992</v>
      </c>
      <c r="AD193" s="9">
        <v>111.908495791999</v>
      </c>
      <c r="AE193" s="9">
        <v>111.908495791999</v>
      </c>
      <c r="AF193" s="9">
        <v>111.908495791999</v>
      </c>
      <c r="AG193" s="9">
        <v>112.210687291998</v>
      </c>
      <c r="AH193" s="10" t="s">
        <v>59</v>
      </c>
      <c r="AI193" s="9">
        <v>1</v>
      </c>
      <c r="AJ193" s="9">
        <v>0.29055058299854902</v>
      </c>
      <c r="AK193" s="10" t="s">
        <v>51</v>
      </c>
      <c r="AL193" s="8"/>
      <c r="AM193" s="8"/>
      <c r="AN193" s="8"/>
      <c r="AO193" s="8"/>
      <c r="AP193" s="9">
        <v>4</v>
      </c>
      <c r="AQ193" s="9">
        <v>1</v>
      </c>
      <c r="AR193" s="10" t="s">
        <v>98</v>
      </c>
      <c r="AS193" s="10" t="s">
        <v>53</v>
      </c>
      <c r="AT193" s="8"/>
      <c r="AU193" s="10" t="s">
        <v>54</v>
      </c>
      <c r="AV193" s="10" t="s">
        <v>51</v>
      </c>
      <c r="AW193" s="10" t="s">
        <v>99</v>
      </c>
      <c r="AX193" s="8"/>
    </row>
    <row r="194" spans="1:50" x14ac:dyDescent="0.15">
      <c r="A194" s="11" t="s">
        <v>80</v>
      </c>
      <c r="B194" s="12" t="s">
        <v>67</v>
      </c>
      <c r="C194" s="10" t="s">
        <v>58</v>
      </c>
      <c r="D194" s="10" t="s">
        <v>59</v>
      </c>
      <c r="E194" s="9">
        <v>106</v>
      </c>
      <c r="F194" s="9">
        <v>106</v>
      </c>
      <c r="G194" s="9">
        <v>2</v>
      </c>
      <c r="H194" s="10" t="s">
        <v>59</v>
      </c>
      <c r="I194" s="9">
        <v>1</v>
      </c>
      <c r="J194" s="9">
        <v>0.30151233299693603</v>
      </c>
      <c r="K194" s="10" t="s">
        <v>51</v>
      </c>
      <c r="L194" s="9">
        <v>2</v>
      </c>
      <c r="M194" s="9">
        <v>106</v>
      </c>
      <c r="N194" s="9">
        <v>106</v>
      </c>
      <c r="O194" s="9">
        <v>32</v>
      </c>
      <c r="P194" s="9">
        <v>112.22496683299001</v>
      </c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9">
        <v>112.215945707998</v>
      </c>
      <c r="AC194" s="9">
        <v>112.22496683299001</v>
      </c>
      <c r="AD194" s="9">
        <v>112.708552874989</v>
      </c>
      <c r="AE194" s="9">
        <v>112.708552874989</v>
      </c>
      <c r="AF194" s="9">
        <v>112.708552874989</v>
      </c>
      <c r="AG194" s="9">
        <v>113.016864791993</v>
      </c>
      <c r="AH194" s="10" t="s">
        <v>59</v>
      </c>
      <c r="AI194" s="9">
        <v>1</v>
      </c>
      <c r="AJ194" s="9">
        <v>0.30151233299693603</v>
      </c>
      <c r="AK194" s="10" t="s">
        <v>51</v>
      </c>
      <c r="AL194" s="8"/>
      <c r="AM194" s="8"/>
      <c r="AN194" s="8"/>
      <c r="AO194" s="8"/>
      <c r="AP194" s="9">
        <v>4</v>
      </c>
      <c r="AQ194" s="9">
        <v>1</v>
      </c>
      <c r="AR194" s="10" t="s">
        <v>98</v>
      </c>
      <c r="AS194" s="10" t="s">
        <v>53</v>
      </c>
      <c r="AT194" s="8"/>
      <c r="AU194" s="10" t="s">
        <v>54</v>
      </c>
      <c r="AV194" s="10" t="s">
        <v>51</v>
      </c>
      <c r="AW194" s="10" t="s">
        <v>99</v>
      </c>
      <c r="AX194" s="8"/>
    </row>
    <row r="195" spans="1:50" x14ac:dyDescent="0.15">
      <c r="A195" s="11" t="s">
        <v>66</v>
      </c>
      <c r="B195" s="12" t="s">
        <v>67</v>
      </c>
      <c r="C195" s="10" t="s">
        <v>58</v>
      </c>
      <c r="D195" s="10" t="s">
        <v>59</v>
      </c>
      <c r="E195" s="9">
        <v>111</v>
      </c>
      <c r="F195" s="9">
        <v>111</v>
      </c>
      <c r="G195" s="9">
        <v>1</v>
      </c>
      <c r="H195" s="10" t="s">
        <v>59</v>
      </c>
      <c r="I195" s="9">
        <v>1</v>
      </c>
      <c r="J195" s="9">
        <v>0.49258933299279301</v>
      </c>
      <c r="K195" s="10" t="s">
        <v>51</v>
      </c>
      <c r="L195" s="9">
        <v>1</v>
      </c>
      <c r="M195" s="9">
        <v>111</v>
      </c>
      <c r="N195" s="9">
        <v>111</v>
      </c>
      <c r="O195" s="9">
        <v>46</v>
      </c>
      <c r="P195" s="9">
        <v>116.774502791988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9">
        <v>116.76561812499099</v>
      </c>
      <c r="AC195" s="9">
        <v>116.774502791988</v>
      </c>
      <c r="AD195" s="9">
        <v>117.258758374999</v>
      </c>
      <c r="AE195" s="9">
        <v>117.258758374999</v>
      </c>
      <c r="AF195" s="9">
        <v>117.258758374999</v>
      </c>
      <c r="AG195" s="9">
        <v>117.76077654199599</v>
      </c>
      <c r="AH195" s="10" t="s">
        <v>59</v>
      </c>
      <c r="AI195" s="9">
        <v>1</v>
      </c>
      <c r="AJ195" s="9">
        <v>0.49258933299279301</v>
      </c>
      <c r="AK195" s="10" t="s">
        <v>51</v>
      </c>
      <c r="AL195" s="8"/>
      <c r="AM195" s="8"/>
      <c r="AN195" s="8"/>
      <c r="AO195" s="8"/>
      <c r="AP195" s="9">
        <v>4</v>
      </c>
      <c r="AQ195" s="9">
        <v>1</v>
      </c>
      <c r="AR195" s="10" t="s">
        <v>98</v>
      </c>
      <c r="AS195" s="10" t="s">
        <v>53</v>
      </c>
      <c r="AT195" s="8"/>
      <c r="AU195" s="10" t="s">
        <v>54</v>
      </c>
      <c r="AV195" s="10" t="s">
        <v>51</v>
      </c>
      <c r="AW195" s="10" t="s">
        <v>99</v>
      </c>
      <c r="AX195" s="8"/>
    </row>
    <row r="196" spans="1:50" x14ac:dyDescent="0.15">
      <c r="A196" s="11" t="s">
        <v>66</v>
      </c>
      <c r="B196" s="12" t="s">
        <v>67</v>
      </c>
      <c r="C196" s="10" t="s">
        <v>58</v>
      </c>
      <c r="D196" s="10" t="s">
        <v>59</v>
      </c>
      <c r="E196" s="9">
        <v>116</v>
      </c>
      <c r="F196" s="9">
        <v>116</v>
      </c>
      <c r="G196" s="9">
        <v>2</v>
      </c>
      <c r="H196" s="10" t="s">
        <v>59</v>
      </c>
      <c r="I196" s="9">
        <v>1</v>
      </c>
      <c r="J196" s="9">
        <v>0.331722832997912</v>
      </c>
      <c r="K196" s="10" t="s">
        <v>51</v>
      </c>
      <c r="L196" s="9">
        <v>2</v>
      </c>
      <c r="M196" s="9">
        <v>116</v>
      </c>
      <c r="N196" s="9">
        <v>116</v>
      </c>
      <c r="O196" s="9">
        <v>46</v>
      </c>
      <c r="P196" s="9">
        <v>121.54090849999901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9">
        <v>121.531854332992</v>
      </c>
      <c r="AC196" s="9">
        <v>121.54090849999901</v>
      </c>
      <c r="AD196" s="9">
        <v>122.025745332998</v>
      </c>
      <c r="AE196" s="9">
        <v>122.025745332998</v>
      </c>
      <c r="AF196" s="9">
        <v>122.025745332998</v>
      </c>
      <c r="AG196" s="9">
        <v>122.361054333</v>
      </c>
      <c r="AH196" s="10" t="s">
        <v>59</v>
      </c>
      <c r="AI196" s="9">
        <v>1</v>
      </c>
      <c r="AJ196" s="9">
        <v>0.331722832997912</v>
      </c>
      <c r="AK196" s="10" t="s">
        <v>51</v>
      </c>
      <c r="AL196" s="8"/>
      <c r="AM196" s="8"/>
      <c r="AN196" s="8"/>
      <c r="AO196" s="8"/>
      <c r="AP196" s="9">
        <v>4</v>
      </c>
      <c r="AQ196" s="9">
        <v>1</v>
      </c>
      <c r="AR196" s="10" t="s">
        <v>98</v>
      </c>
      <c r="AS196" s="10" t="s">
        <v>53</v>
      </c>
      <c r="AT196" s="8"/>
      <c r="AU196" s="10" t="s">
        <v>54</v>
      </c>
      <c r="AV196" s="10" t="s">
        <v>51</v>
      </c>
      <c r="AW196" s="10" t="s">
        <v>99</v>
      </c>
      <c r="AX196" s="8"/>
    </row>
    <row r="197" spans="1:50" x14ac:dyDescent="0.15">
      <c r="A197" s="11" t="s">
        <v>69</v>
      </c>
      <c r="B197" s="12" t="s">
        <v>67</v>
      </c>
      <c r="C197" s="10" t="s">
        <v>58</v>
      </c>
      <c r="D197" s="10" t="s">
        <v>59</v>
      </c>
      <c r="E197" s="9">
        <v>117</v>
      </c>
      <c r="F197" s="9">
        <v>117</v>
      </c>
      <c r="G197" s="9">
        <v>3</v>
      </c>
      <c r="H197" s="10" t="s">
        <v>59</v>
      </c>
      <c r="I197" s="9">
        <v>1</v>
      </c>
      <c r="J197" s="9">
        <v>0.39556608299608298</v>
      </c>
      <c r="K197" s="10" t="s">
        <v>51</v>
      </c>
      <c r="L197" s="9">
        <v>3</v>
      </c>
      <c r="M197" s="9">
        <v>117</v>
      </c>
      <c r="N197" s="9">
        <v>117</v>
      </c>
      <c r="O197" s="9">
        <v>38</v>
      </c>
      <c r="P197" s="9">
        <v>122.375044874992</v>
      </c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9">
        <v>122.36635924999401</v>
      </c>
      <c r="AC197" s="9">
        <v>122.375044874992</v>
      </c>
      <c r="AD197" s="9">
        <v>122.858916917001</v>
      </c>
      <c r="AE197" s="9">
        <v>122.858916917001</v>
      </c>
      <c r="AF197" s="9">
        <v>122.858916917001</v>
      </c>
      <c r="AG197" s="9">
        <v>123.26107249999799</v>
      </c>
      <c r="AH197" s="10" t="s">
        <v>59</v>
      </c>
      <c r="AI197" s="9">
        <v>1</v>
      </c>
      <c r="AJ197" s="9">
        <v>0.39556608299608298</v>
      </c>
      <c r="AK197" s="10" t="s">
        <v>51</v>
      </c>
      <c r="AL197" s="8"/>
      <c r="AM197" s="8"/>
      <c r="AN197" s="8"/>
      <c r="AO197" s="8"/>
      <c r="AP197" s="9">
        <v>4</v>
      </c>
      <c r="AQ197" s="9">
        <v>1</v>
      </c>
      <c r="AR197" s="10" t="s">
        <v>98</v>
      </c>
      <c r="AS197" s="10" t="s">
        <v>53</v>
      </c>
      <c r="AT197" s="8"/>
      <c r="AU197" s="10" t="s">
        <v>54</v>
      </c>
      <c r="AV197" s="10" t="s">
        <v>51</v>
      </c>
      <c r="AW197" s="10" t="s">
        <v>99</v>
      </c>
      <c r="AX197" s="8"/>
    </row>
    <row r="198" spans="1:50" x14ac:dyDescent="0.15">
      <c r="A198" s="11" t="s">
        <v>80</v>
      </c>
      <c r="B198" s="12" t="s">
        <v>67</v>
      </c>
      <c r="C198" s="10" t="s">
        <v>58</v>
      </c>
      <c r="D198" s="10" t="s">
        <v>59</v>
      </c>
      <c r="E198" s="9">
        <v>119</v>
      </c>
      <c r="F198" s="9">
        <v>119</v>
      </c>
      <c r="G198" s="9">
        <v>3</v>
      </c>
      <c r="H198" s="10" t="s">
        <v>59</v>
      </c>
      <c r="I198" s="9">
        <v>1</v>
      </c>
      <c r="J198" s="9">
        <v>0.47218937400612099</v>
      </c>
      <c r="K198" s="10" t="s">
        <v>51</v>
      </c>
      <c r="L198" s="9">
        <v>3</v>
      </c>
      <c r="M198" s="9">
        <v>119</v>
      </c>
      <c r="N198" s="9">
        <v>119</v>
      </c>
      <c r="O198" s="9">
        <v>32</v>
      </c>
      <c r="P198" s="9">
        <v>124.26521049998701</v>
      </c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9">
        <v>124.25561149999</v>
      </c>
      <c r="AC198" s="9">
        <v>124.26521049998701</v>
      </c>
      <c r="AD198" s="9">
        <v>124.752367999987</v>
      </c>
      <c r="AE198" s="9">
        <v>124.752367999987</v>
      </c>
      <c r="AF198" s="9">
        <v>124.752367999987</v>
      </c>
      <c r="AG198" s="9">
        <v>125.22781749999599</v>
      </c>
      <c r="AH198" s="10" t="s">
        <v>59</v>
      </c>
      <c r="AI198" s="9">
        <v>1</v>
      </c>
      <c r="AJ198" s="9">
        <v>0.47218937400612099</v>
      </c>
      <c r="AK198" s="10" t="s">
        <v>51</v>
      </c>
      <c r="AL198" s="8"/>
      <c r="AM198" s="8"/>
      <c r="AN198" s="8"/>
      <c r="AO198" s="8"/>
      <c r="AP198" s="9">
        <v>4</v>
      </c>
      <c r="AQ198" s="9">
        <v>1</v>
      </c>
      <c r="AR198" s="10" t="s">
        <v>98</v>
      </c>
      <c r="AS198" s="10" t="s">
        <v>53</v>
      </c>
      <c r="AT198" s="8"/>
      <c r="AU198" s="10" t="s">
        <v>54</v>
      </c>
      <c r="AV198" s="10" t="s">
        <v>51</v>
      </c>
      <c r="AW198" s="10" t="s">
        <v>99</v>
      </c>
      <c r="AX198" s="8"/>
    </row>
    <row r="199" spans="1:50" x14ac:dyDescent="0.15">
      <c r="A199" s="11" t="s">
        <v>86</v>
      </c>
      <c r="B199" s="12" t="s">
        <v>67</v>
      </c>
      <c r="C199" s="10" t="s">
        <v>58</v>
      </c>
      <c r="D199" s="10" t="s">
        <v>59</v>
      </c>
      <c r="E199" s="9">
        <v>120</v>
      </c>
      <c r="F199" s="9">
        <v>120</v>
      </c>
      <c r="G199" s="9">
        <v>0</v>
      </c>
      <c r="H199" s="10" t="s">
        <v>59</v>
      </c>
      <c r="I199" s="9">
        <v>1</v>
      </c>
      <c r="J199" s="9">
        <v>0.38654954099911298</v>
      </c>
      <c r="K199" s="10" t="s">
        <v>51</v>
      </c>
      <c r="L199" s="9">
        <v>0</v>
      </c>
      <c r="M199" s="9">
        <v>120</v>
      </c>
      <c r="N199" s="9">
        <v>120</v>
      </c>
      <c r="O199" s="9">
        <v>34</v>
      </c>
      <c r="P199" s="9">
        <v>125.24191649998799</v>
      </c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9">
        <v>125.232987582989</v>
      </c>
      <c r="AC199" s="9">
        <v>125.24191649998799</v>
      </c>
      <c r="AD199" s="9">
        <v>125.72586320799</v>
      </c>
      <c r="AE199" s="9">
        <v>125.72586320799</v>
      </c>
      <c r="AF199" s="9">
        <v>125.72586320799</v>
      </c>
      <c r="AG199" s="9">
        <v>126.116962874992</v>
      </c>
      <c r="AH199" s="10" t="s">
        <v>59</v>
      </c>
      <c r="AI199" s="9">
        <v>1</v>
      </c>
      <c r="AJ199" s="9">
        <v>0.38654954099911298</v>
      </c>
      <c r="AK199" s="10" t="s">
        <v>51</v>
      </c>
      <c r="AL199" s="8"/>
      <c r="AM199" s="8"/>
      <c r="AN199" s="8"/>
      <c r="AO199" s="8"/>
      <c r="AP199" s="9">
        <v>4</v>
      </c>
      <c r="AQ199" s="9">
        <v>1</v>
      </c>
      <c r="AR199" s="10" t="s">
        <v>98</v>
      </c>
      <c r="AS199" s="10" t="s">
        <v>53</v>
      </c>
      <c r="AT199" s="8"/>
      <c r="AU199" s="10" t="s">
        <v>54</v>
      </c>
      <c r="AV199" s="10" t="s">
        <v>51</v>
      </c>
      <c r="AW199" s="10" t="s">
        <v>99</v>
      </c>
      <c r="AX199" s="8"/>
    </row>
    <row r="200" spans="1:50" x14ac:dyDescent="0.15">
      <c r="A200" s="11" t="s">
        <v>82</v>
      </c>
      <c r="B200" s="12" t="s">
        <v>67</v>
      </c>
      <c r="C200" s="10" t="s">
        <v>62</v>
      </c>
      <c r="D200" s="10" t="s">
        <v>63</v>
      </c>
      <c r="E200" s="9">
        <v>123</v>
      </c>
      <c r="F200" s="9">
        <v>123</v>
      </c>
      <c r="G200" s="9">
        <v>2</v>
      </c>
      <c r="H200" s="10" t="s">
        <v>63</v>
      </c>
      <c r="I200" s="9">
        <v>1</v>
      </c>
      <c r="J200" s="9">
        <v>0.56524512499163404</v>
      </c>
      <c r="K200" s="10" t="s">
        <v>51</v>
      </c>
      <c r="L200" s="9">
        <v>2</v>
      </c>
      <c r="M200" s="9">
        <v>123</v>
      </c>
      <c r="N200" s="9">
        <v>123</v>
      </c>
      <c r="O200" s="9">
        <v>37</v>
      </c>
      <c r="P200" s="9">
        <v>127.958586749999</v>
      </c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9">
        <v>127.949520874987</v>
      </c>
      <c r="AC200" s="9">
        <v>127.958586749999</v>
      </c>
      <c r="AD200" s="9">
        <v>128.44245550000099</v>
      </c>
      <c r="AE200" s="9">
        <v>128.44245550000099</v>
      </c>
      <c r="AF200" s="9">
        <v>128.44245550000099</v>
      </c>
      <c r="AG200" s="9">
        <v>129.01116408300001</v>
      </c>
      <c r="AH200" s="10" t="s">
        <v>63</v>
      </c>
      <c r="AI200" s="9">
        <v>1</v>
      </c>
      <c r="AJ200" s="9">
        <v>0.56524512499163404</v>
      </c>
      <c r="AK200" s="10" t="s">
        <v>51</v>
      </c>
      <c r="AL200" s="8"/>
      <c r="AM200" s="8"/>
      <c r="AN200" s="8"/>
      <c r="AO200" s="8"/>
      <c r="AP200" s="9">
        <v>4</v>
      </c>
      <c r="AQ200" s="9">
        <v>1</v>
      </c>
      <c r="AR200" s="10" t="s">
        <v>98</v>
      </c>
      <c r="AS200" s="10" t="s">
        <v>53</v>
      </c>
      <c r="AT200" s="8"/>
      <c r="AU200" s="10" t="s">
        <v>54</v>
      </c>
      <c r="AV200" s="10" t="s">
        <v>51</v>
      </c>
      <c r="AW200" s="10" t="s">
        <v>99</v>
      </c>
      <c r="AX200" s="8"/>
    </row>
    <row r="201" spans="1:50" x14ac:dyDescent="0.15">
      <c r="A201" s="11" t="s">
        <v>66</v>
      </c>
      <c r="B201" s="12" t="s">
        <v>67</v>
      </c>
      <c r="C201" s="10" t="s">
        <v>58</v>
      </c>
      <c r="D201" s="10" t="s">
        <v>59</v>
      </c>
      <c r="E201" s="9">
        <v>126</v>
      </c>
      <c r="F201" s="9">
        <v>126</v>
      </c>
      <c r="G201" s="9">
        <v>3</v>
      </c>
      <c r="H201" s="10" t="s">
        <v>59</v>
      </c>
      <c r="I201" s="9">
        <v>1</v>
      </c>
      <c r="J201" s="9">
        <v>0.331726000003982</v>
      </c>
      <c r="K201" s="10" t="s">
        <v>51</v>
      </c>
      <c r="L201" s="9">
        <v>3</v>
      </c>
      <c r="M201" s="9">
        <v>126</v>
      </c>
      <c r="N201" s="9">
        <v>126</v>
      </c>
      <c r="O201" s="9">
        <v>46</v>
      </c>
      <c r="P201" s="9">
        <v>130.84268999999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9">
        <v>130.833281041996</v>
      </c>
      <c r="AC201" s="9">
        <v>130.84268999999</v>
      </c>
      <c r="AD201" s="9">
        <v>131.326030624987</v>
      </c>
      <c r="AE201" s="9">
        <v>131.326030624987</v>
      </c>
      <c r="AF201" s="9">
        <v>131.326030624987</v>
      </c>
      <c r="AG201" s="9">
        <v>131.661107749998</v>
      </c>
      <c r="AH201" s="10" t="s">
        <v>59</v>
      </c>
      <c r="AI201" s="9">
        <v>1</v>
      </c>
      <c r="AJ201" s="9">
        <v>0.331726000003982</v>
      </c>
      <c r="AK201" s="10" t="s">
        <v>51</v>
      </c>
      <c r="AL201" s="8"/>
      <c r="AM201" s="8"/>
      <c r="AN201" s="8"/>
      <c r="AO201" s="8"/>
      <c r="AP201" s="9">
        <v>4</v>
      </c>
      <c r="AQ201" s="9">
        <v>1</v>
      </c>
      <c r="AR201" s="10" t="s">
        <v>98</v>
      </c>
      <c r="AS201" s="10" t="s">
        <v>53</v>
      </c>
      <c r="AT201" s="8"/>
      <c r="AU201" s="10" t="s">
        <v>54</v>
      </c>
      <c r="AV201" s="10" t="s">
        <v>51</v>
      </c>
      <c r="AW201" s="10" t="s">
        <v>99</v>
      </c>
      <c r="AX201" s="8"/>
    </row>
    <row r="202" spans="1:50" x14ac:dyDescent="0.15">
      <c r="A202" s="11" t="s">
        <v>81</v>
      </c>
      <c r="B202" s="12" t="s">
        <v>67</v>
      </c>
      <c r="C202" s="10" t="s">
        <v>58</v>
      </c>
      <c r="D202" s="10" t="s">
        <v>59</v>
      </c>
      <c r="E202" s="9">
        <v>127</v>
      </c>
      <c r="F202" s="9">
        <v>127</v>
      </c>
      <c r="G202" s="9">
        <v>0</v>
      </c>
      <c r="H202" s="10" t="s">
        <v>63</v>
      </c>
      <c r="I202" s="9">
        <v>0</v>
      </c>
      <c r="J202" s="9">
        <v>0.32320445800724001</v>
      </c>
      <c r="K202" s="10" t="s">
        <v>51</v>
      </c>
      <c r="L202" s="9">
        <v>0</v>
      </c>
      <c r="M202" s="9">
        <v>127</v>
      </c>
      <c r="N202" s="9">
        <v>127</v>
      </c>
      <c r="O202" s="9">
        <v>44</v>
      </c>
      <c r="P202" s="9">
        <v>131.674845874993</v>
      </c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9">
        <v>131.66573316699899</v>
      </c>
      <c r="AC202" s="9">
        <v>131.674845874993</v>
      </c>
      <c r="AD202" s="9">
        <v>132.159413207992</v>
      </c>
      <c r="AE202" s="9">
        <v>132.159413207992</v>
      </c>
      <c r="AF202" s="9">
        <v>132.159413207992</v>
      </c>
      <c r="AG202" s="9">
        <v>132.48411474999699</v>
      </c>
      <c r="AH202" s="10" t="s">
        <v>63</v>
      </c>
      <c r="AI202" s="9">
        <v>0</v>
      </c>
      <c r="AJ202" s="9">
        <v>0.32320445800724001</v>
      </c>
      <c r="AK202" s="10" t="s">
        <v>51</v>
      </c>
      <c r="AL202" s="8"/>
      <c r="AM202" s="8"/>
      <c r="AN202" s="8"/>
      <c r="AO202" s="8"/>
      <c r="AP202" s="9">
        <v>4</v>
      </c>
      <c r="AQ202" s="9">
        <v>1</v>
      </c>
      <c r="AR202" s="10" t="s">
        <v>98</v>
      </c>
      <c r="AS202" s="10" t="s">
        <v>53</v>
      </c>
      <c r="AT202" s="8"/>
      <c r="AU202" s="10" t="s">
        <v>54</v>
      </c>
      <c r="AV202" s="10" t="s">
        <v>51</v>
      </c>
      <c r="AW202" s="10" t="s">
        <v>99</v>
      </c>
      <c r="AX202" s="8"/>
    </row>
    <row r="203" spans="1:50" x14ac:dyDescent="0.15">
      <c r="A203" s="11" t="s">
        <v>86</v>
      </c>
      <c r="B203" s="12" t="s">
        <v>67</v>
      </c>
      <c r="C203" s="10" t="s">
        <v>62</v>
      </c>
      <c r="D203" s="10" t="s">
        <v>63</v>
      </c>
      <c r="E203" s="9">
        <v>133</v>
      </c>
      <c r="F203" s="9">
        <v>133</v>
      </c>
      <c r="G203" s="9">
        <v>1</v>
      </c>
      <c r="H203" s="10" t="s">
        <v>63</v>
      </c>
      <c r="I203" s="9">
        <v>1</v>
      </c>
      <c r="J203" s="9">
        <v>0.66603008301171895</v>
      </c>
      <c r="K203" s="10" t="s">
        <v>51</v>
      </c>
      <c r="L203" s="9">
        <v>1</v>
      </c>
      <c r="M203" s="9">
        <v>133</v>
      </c>
      <c r="N203" s="9">
        <v>133</v>
      </c>
      <c r="O203" s="9">
        <v>35</v>
      </c>
      <c r="P203" s="9">
        <v>137.15950524999101</v>
      </c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9">
        <v>137.14991054199299</v>
      </c>
      <c r="AC203" s="9">
        <v>137.15950524999101</v>
      </c>
      <c r="AD203" s="9">
        <v>137.64274416699499</v>
      </c>
      <c r="AE203" s="9">
        <v>137.64274416699499</v>
      </c>
      <c r="AF203" s="9">
        <v>137.64274416699499</v>
      </c>
      <c r="AG203" s="9">
        <v>138.31176429199701</v>
      </c>
      <c r="AH203" s="10" t="s">
        <v>63</v>
      </c>
      <c r="AI203" s="9">
        <v>1</v>
      </c>
      <c r="AJ203" s="9">
        <v>0.66603008301171895</v>
      </c>
      <c r="AK203" s="10" t="s">
        <v>51</v>
      </c>
      <c r="AL203" s="8"/>
      <c r="AM203" s="8"/>
      <c r="AN203" s="8"/>
      <c r="AO203" s="8"/>
      <c r="AP203" s="9">
        <v>4</v>
      </c>
      <c r="AQ203" s="9">
        <v>1</v>
      </c>
      <c r="AR203" s="10" t="s">
        <v>98</v>
      </c>
      <c r="AS203" s="10" t="s">
        <v>53</v>
      </c>
      <c r="AT203" s="8"/>
      <c r="AU203" s="10" t="s">
        <v>54</v>
      </c>
      <c r="AV203" s="10" t="s">
        <v>51</v>
      </c>
      <c r="AW203" s="10" t="s">
        <v>99</v>
      </c>
      <c r="AX203" s="8"/>
    </row>
    <row r="204" spans="1:50" x14ac:dyDescent="0.15">
      <c r="A204" s="11" t="s">
        <v>66</v>
      </c>
      <c r="B204" s="12" t="s">
        <v>67</v>
      </c>
      <c r="C204" s="10" t="s">
        <v>62</v>
      </c>
      <c r="D204" s="10" t="s">
        <v>63</v>
      </c>
      <c r="E204" s="9">
        <v>135</v>
      </c>
      <c r="F204" s="9">
        <v>135</v>
      </c>
      <c r="G204" s="9">
        <v>2</v>
      </c>
      <c r="H204" s="10" t="s">
        <v>63</v>
      </c>
      <c r="I204" s="9">
        <v>1</v>
      </c>
      <c r="J204" s="9">
        <v>0.48274462399422202</v>
      </c>
      <c r="K204" s="10" t="s">
        <v>51</v>
      </c>
      <c r="L204" s="9">
        <v>2</v>
      </c>
      <c r="M204" s="9">
        <v>135</v>
      </c>
      <c r="N204" s="9">
        <v>135</v>
      </c>
      <c r="O204" s="9">
        <v>47</v>
      </c>
      <c r="P204" s="9">
        <v>139.31444491699199</v>
      </c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9">
        <v>139.304613207991</v>
      </c>
      <c r="AC204" s="9">
        <v>139.31444491699199</v>
      </c>
      <c r="AD204" s="9">
        <v>139.801920707992</v>
      </c>
      <c r="AE204" s="9">
        <v>139.801920707992</v>
      </c>
      <c r="AF204" s="9">
        <v>139.801920707992</v>
      </c>
      <c r="AG204" s="9">
        <v>140.29499045798701</v>
      </c>
      <c r="AH204" s="10" t="s">
        <v>63</v>
      </c>
      <c r="AI204" s="9">
        <v>1</v>
      </c>
      <c r="AJ204" s="9">
        <v>0.48274462399422202</v>
      </c>
      <c r="AK204" s="10" t="s">
        <v>51</v>
      </c>
      <c r="AL204" s="8"/>
      <c r="AM204" s="8"/>
      <c r="AN204" s="8"/>
      <c r="AO204" s="8"/>
      <c r="AP204" s="9">
        <v>4</v>
      </c>
      <c r="AQ204" s="9">
        <v>1</v>
      </c>
      <c r="AR204" s="10" t="s">
        <v>98</v>
      </c>
      <c r="AS204" s="10" t="s">
        <v>53</v>
      </c>
      <c r="AT204" s="8"/>
      <c r="AU204" s="10" t="s">
        <v>54</v>
      </c>
      <c r="AV204" s="10" t="s">
        <v>51</v>
      </c>
      <c r="AW204" s="10" t="s">
        <v>99</v>
      </c>
      <c r="AX204" s="8"/>
    </row>
    <row r="205" spans="1:50" x14ac:dyDescent="0.15">
      <c r="A205" s="11" t="s">
        <v>77</v>
      </c>
      <c r="B205" s="12" t="s">
        <v>67</v>
      </c>
      <c r="C205" s="10" t="s">
        <v>62</v>
      </c>
      <c r="D205" s="10" t="s">
        <v>63</v>
      </c>
      <c r="E205" s="9">
        <v>137</v>
      </c>
      <c r="F205" s="9">
        <v>137</v>
      </c>
      <c r="G205" s="9">
        <v>2</v>
      </c>
      <c r="H205" s="10" t="s">
        <v>63</v>
      </c>
      <c r="I205" s="9">
        <v>1</v>
      </c>
      <c r="J205" s="9">
        <v>0.38488574899383798</v>
      </c>
      <c r="K205" s="10" t="s">
        <v>51</v>
      </c>
      <c r="L205" s="9">
        <v>2</v>
      </c>
      <c r="M205" s="9">
        <v>137</v>
      </c>
      <c r="N205" s="9">
        <v>137</v>
      </c>
      <c r="O205" s="9">
        <v>41</v>
      </c>
      <c r="P205" s="9">
        <v>141.476255457994</v>
      </c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9">
        <v>141.46686729199399</v>
      </c>
      <c r="AC205" s="9">
        <v>141.476255457994</v>
      </c>
      <c r="AD205" s="9">
        <v>141.959786499996</v>
      </c>
      <c r="AE205" s="9">
        <v>141.959786499996</v>
      </c>
      <c r="AF205" s="9">
        <v>141.959786499996</v>
      </c>
      <c r="AG205" s="9">
        <v>142.35134491699901</v>
      </c>
      <c r="AH205" s="10" t="s">
        <v>63</v>
      </c>
      <c r="AI205" s="9">
        <v>1</v>
      </c>
      <c r="AJ205" s="9">
        <v>0.38488574899383798</v>
      </c>
      <c r="AK205" s="10" t="s">
        <v>51</v>
      </c>
      <c r="AL205" s="8"/>
      <c r="AM205" s="8"/>
      <c r="AN205" s="8"/>
      <c r="AO205" s="8"/>
      <c r="AP205" s="9">
        <v>4</v>
      </c>
      <c r="AQ205" s="9">
        <v>1</v>
      </c>
      <c r="AR205" s="10" t="s">
        <v>98</v>
      </c>
      <c r="AS205" s="10" t="s">
        <v>53</v>
      </c>
      <c r="AT205" s="8"/>
      <c r="AU205" s="10" t="s">
        <v>54</v>
      </c>
      <c r="AV205" s="10" t="s">
        <v>51</v>
      </c>
      <c r="AW205" s="10" t="s">
        <v>99</v>
      </c>
      <c r="AX205" s="8"/>
    </row>
    <row r="206" spans="1:50" x14ac:dyDescent="0.15">
      <c r="A206" s="11" t="s">
        <v>80</v>
      </c>
      <c r="B206" s="12" t="s">
        <v>67</v>
      </c>
      <c r="C206" s="10" t="s">
        <v>58</v>
      </c>
      <c r="D206" s="10" t="s">
        <v>59</v>
      </c>
      <c r="E206" s="9">
        <v>139</v>
      </c>
      <c r="F206" s="9">
        <v>139</v>
      </c>
      <c r="G206" s="9">
        <v>4</v>
      </c>
      <c r="H206" s="10" t="s">
        <v>59</v>
      </c>
      <c r="I206" s="9">
        <v>1</v>
      </c>
      <c r="J206" s="9">
        <v>0.59550270799081795</v>
      </c>
      <c r="K206" s="10" t="s">
        <v>51</v>
      </c>
      <c r="L206" s="9">
        <v>4</v>
      </c>
      <c r="M206" s="9">
        <v>139</v>
      </c>
      <c r="N206" s="9">
        <v>139</v>
      </c>
      <c r="O206" s="9">
        <v>32</v>
      </c>
      <c r="P206" s="9">
        <v>143.19207137500101</v>
      </c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9">
        <v>143.18336566699099</v>
      </c>
      <c r="AC206" s="9">
        <v>143.19207137500101</v>
      </c>
      <c r="AD206" s="9">
        <v>143.67634999999399</v>
      </c>
      <c r="AE206" s="9">
        <v>143.67634999999399</v>
      </c>
      <c r="AF206" s="9">
        <v>143.67634999999399</v>
      </c>
      <c r="AG206" s="9">
        <v>144.27865229199199</v>
      </c>
      <c r="AH206" s="10" t="s">
        <v>59</v>
      </c>
      <c r="AI206" s="9">
        <v>1</v>
      </c>
      <c r="AJ206" s="9">
        <v>0.59550270799081795</v>
      </c>
      <c r="AK206" s="10" t="s">
        <v>51</v>
      </c>
      <c r="AL206" s="8"/>
      <c r="AM206" s="8"/>
      <c r="AN206" s="8"/>
      <c r="AO206" s="8"/>
      <c r="AP206" s="9">
        <v>4</v>
      </c>
      <c r="AQ206" s="9">
        <v>1</v>
      </c>
      <c r="AR206" s="10" t="s">
        <v>98</v>
      </c>
      <c r="AS206" s="10" t="s">
        <v>53</v>
      </c>
      <c r="AT206" s="8"/>
      <c r="AU206" s="10" t="s">
        <v>54</v>
      </c>
      <c r="AV206" s="10" t="s">
        <v>51</v>
      </c>
      <c r="AW206" s="10" t="s">
        <v>99</v>
      </c>
      <c r="AX206" s="8"/>
    </row>
    <row r="207" spans="1:50" x14ac:dyDescent="0.15">
      <c r="A207" s="11" t="s">
        <v>82</v>
      </c>
      <c r="B207" s="12" t="s">
        <v>67</v>
      </c>
      <c r="C207" s="10" t="s">
        <v>62</v>
      </c>
      <c r="D207" s="10" t="s">
        <v>63</v>
      </c>
      <c r="E207" s="9">
        <v>143</v>
      </c>
      <c r="F207" s="9">
        <v>143</v>
      </c>
      <c r="G207" s="9">
        <v>3</v>
      </c>
      <c r="H207" s="10" t="s">
        <v>63</v>
      </c>
      <c r="I207" s="9">
        <v>1</v>
      </c>
      <c r="J207" s="9">
        <v>0.45090379100292899</v>
      </c>
      <c r="K207" s="10" t="s">
        <v>51</v>
      </c>
      <c r="L207" s="9">
        <v>3</v>
      </c>
      <c r="M207" s="9">
        <v>143</v>
      </c>
      <c r="N207" s="9">
        <v>143</v>
      </c>
      <c r="O207" s="9">
        <v>37</v>
      </c>
      <c r="P207" s="9">
        <v>146.81546045799001</v>
      </c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9">
        <v>146.805725041995</v>
      </c>
      <c r="AC207" s="9">
        <v>146.81546045799001</v>
      </c>
      <c r="AD207" s="9">
        <v>147.30295420798899</v>
      </c>
      <c r="AE207" s="9">
        <v>147.30295420798899</v>
      </c>
      <c r="AF207" s="9">
        <v>147.30295420798899</v>
      </c>
      <c r="AG207" s="9">
        <v>147.761945249993</v>
      </c>
      <c r="AH207" s="10" t="s">
        <v>63</v>
      </c>
      <c r="AI207" s="9">
        <v>1</v>
      </c>
      <c r="AJ207" s="9">
        <v>0.45090379100292899</v>
      </c>
      <c r="AK207" s="10" t="s">
        <v>51</v>
      </c>
      <c r="AL207" s="8"/>
      <c r="AM207" s="8"/>
      <c r="AN207" s="8"/>
      <c r="AO207" s="8"/>
      <c r="AP207" s="9">
        <v>4</v>
      </c>
      <c r="AQ207" s="9">
        <v>1</v>
      </c>
      <c r="AR207" s="10" t="s">
        <v>98</v>
      </c>
      <c r="AS207" s="10" t="s">
        <v>53</v>
      </c>
      <c r="AT207" s="8"/>
      <c r="AU207" s="10" t="s">
        <v>54</v>
      </c>
      <c r="AV207" s="10" t="s">
        <v>51</v>
      </c>
      <c r="AW207" s="10" t="s">
        <v>99</v>
      </c>
      <c r="AX207" s="8"/>
    </row>
    <row r="208" spans="1:50" x14ac:dyDescent="0.15">
      <c r="A208" s="11" t="s">
        <v>86</v>
      </c>
      <c r="B208" s="12" t="s">
        <v>67</v>
      </c>
      <c r="C208" s="10" t="s">
        <v>58</v>
      </c>
      <c r="D208" s="10" t="s">
        <v>59</v>
      </c>
      <c r="E208" s="9">
        <v>145</v>
      </c>
      <c r="F208" s="9">
        <v>145</v>
      </c>
      <c r="G208" s="9">
        <v>1</v>
      </c>
      <c r="H208" s="10" t="s">
        <v>59</v>
      </c>
      <c r="I208" s="9">
        <v>1</v>
      </c>
      <c r="J208" s="9">
        <v>0.35282245799317002</v>
      </c>
      <c r="K208" s="10" t="s">
        <v>51</v>
      </c>
      <c r="L208" s="9">
        <v>1</v>
      </c>
      <c r="M208" s="9">
        <v>145</v>
      </c>
      <c r="N208" s="9">
        <v>145</v>
      </c>
      <c r="O208" s="9">
        <v>34</v>
      </c>
      <c r="P208" s="9">
        <v>148.61029608298901</v>
      </c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9">
        <v>148.60330858299901</v>
      </c>
      <c r="AC208" s="9">
        <v>148.61029608298901</v>
      </c>
      <c r="AD208" s="9">
        <v>149.093100416998</v>
      </c>
      <c r="AE208" s="9">
        <v>149.093100416998</v>
      </c>
      <c r="AF208" s="9">
        <v>149.093100416998</v>
      </c>
      <c r="AG208" s="9">
        <v>149.45202608298899</v>
      </c>
      <c r="AH208" s="10" t="s">
        <v>59</v>
      </c>
      <c r="AI208" s="9">
        <v>1</v>
      </c>
      <c r="AJ208" s="9">
        <v>0.35282245799317002</v>
      </c>
      <c r="AK208" s="10" t="s">
        <v>51</v>
      </c>
      <c r="AL208" s="8"/>
      <c r="AM208" s="8"/>
      <c r="AN208" s="8"/>
      <c r="AO208" s="8"/>
      <c r="AP208" s="9">
        <v>4</v>
      </c>
      <c r="AQ208" s="9">
        <v>1</v>
      </c>
      <c r="AR208" s="10" t="s">
        <v>98</v>
      </c>
      <c r="AS208" s="10" t="s">
        <v>53</v>
      </c>
      <c r="AT208" s="8"/>
      <c r="AU208" s="10" t="s">
        <v>54</v>
      </c>
      <c r="AV208" s="10" t="s">
        <v>51</v>
      </c>
      <c r="AW208" s="10" t="s">
        <v>99</v>
      </c>
      <c r="AX208" s="8"/>
    </row>
    <row r="209" spans="1:50" x14ac:dyDescent="0.15">
      <c r="A209" s="11" t="s">
        <v>69</v>
      </c>
      <c r="B209" s="12" t="s">
        <v>67</v>
      </c>
      <c r="C209" s="10" t="s">
        <v>58</v>
      </c>
      <c r="D209" s="10" t="s">
        <v>59</v>
      </c>
      <c r="E209" s="9">
        <v>146</v>
      </c>
      <c r="F209" s="9">
        <v>146</v>
      </c>
      <c r="G209" s="9">
        <v>4</v>
      </c>
      <c r="H209" s="10" t="s">
        <v>59</v>
      </c>
      <c r="I209" s="9">
        <v>1</v>
      </c>
      <c r="J209" s="9">
        <v>0.319041873997776</v>
      </c>
      <c r="K209" s="10" t="s">
        <v>51</v>
      </c>
      <c r="L209" s="9">
        <v>4</v>
      </c>
      <c r="M209" s="9">
        <v>146</v>
      </c>
      <c r="N209" s="9">
        <v>146</v>
      </c>
      <c r="O209" s="9">
        <v>38</v>
      </c>
      <c r="P209" s="9">
        <v>149.46688087499899</v>
      </c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9">
        <v>149.45722829199801</v>
      </c>
      <c r="AC209" s="9">
        <v>149.46688087499899</v>
      </c>
      <c r="AD209" s="9">
        <v>149.95282470798699</v>
      </c>
      <c r="AE209" s="9">
        <v>149.95282470798699</v>
      </c>
      <c r="AF209" s="9">
        <v>149.95282470798699</v>
      </c>
      <c r="AG209" s="9">
        <v>150.278600707999</v>
      </c>
      <c r="AH209" s="10" t="s">
        <v>59</v>
      </c>
      <c r="AI209" s="9">
        <v>1</v>
      </c>
      <c r="AJ209" s="9">
        <v>0.319041873997776</v>
      </c>
      <c r="AK209" s="10" t="s">
        <v>51</v>
      </c>
      <c r="AL209" s="8"/>
      <c r="AM209" s="8"/>
      <c r="AN209" s="8"/>
      <c r="AO209" s="8"/>
      <c r="AP209" s="9">
        <v>4</v>
      </c>
      <c r="AQ209" s="9">
        <v>1</v>
      </c>
      <c r="AR209" s="10" t="s">
        <v>98</v>
      </c>
      <c r="AS209" s="10" t="s">
        <v>53</v>
      </c>
      <c r="AT209" s="8"/>
      <c r="AU209" s="10" t="s">
        <v>54</v>
      </c>
      <c r="AV209" s="10" t="s">
        <v>51</v>
      </c>
      <c r="AW209" s="10" t="s">
        <v>99</v>
      </c>
      <c r="AX209" s="8"/>
    </row>
    <row r="210" spans="1:50" x14ac:dyDescent="0.15">
      <c r="A210" s="11" t="s">
        <v>76</v>
      </c>
      <c r="B210" s="12" t="s">
        <v>67</v>
      </c>
      <c r="C210" s="10" t="s">
        <v>62</v>
      </c>
      <c r="D210" s="10" t="s">
        <v>63</v>
      </c>
      <c r="E210" s="9">
        <v>147</v>
      </c>
      <c r="F210" s="9">
        <v>147</v>
      </c>
      <c r="G210" s="9">
        <v>1</v>
      </c>
      <c r="H210" s="10" t="s">
        <v>63</v>
      </c>
      <c r="I210" s="9">
        <v>1</v>
      </c>
      <c r="J210" s="9">
        <v>0.46207762398989899</v>
      </c>
      <c r="K210" s="10" t="s">
        <v>51</v>
      </c>
      <c r="L210" s="9">
        <v>1</v>
      </c>
      <c r="M210" s="9">
        <v>147</v>
      </c>
      <c r="N210" s="9">
        <v>147</v>
      </c>
      <c r="O210" s="9">
        <v>43</v>
      </c>
      <c r="P210" s="9">
        <v>150.29113812498699</v>
      </c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9">
        <v>150.28233141699499</v>
      </c>
      <c r="AC210" s="9">
        <v>150.29113812498699</v>
      </c>
      <c r="AD210" s="9">
        <v>150.776788167001</v>
      </c>
      <c r="AE210" s="9">
        <v>150.776788167001</v>
      </c>
      <c r="AF210" s="9">
        <v>150.776788167001</v>
      </c>
      <c r="AG210" s="9">
        <v>151.24542812499601</v>
      </c>
      <c r="AH210" s="10" t="s">
        <v>63</v>
      </c>
      <c r="AI210" s="9">
        <v>1</v>
      </c>
      <c r="AJ210" s="9">
        <v>0.46207762398989899</v>
      </c>
      <c r="AK210" s="10" t="s">
        <v>51</v>
      </c>
      <c r="AL210" s="8"/>
      <c r="AM210" s="8"/>
      <c r="AN210" s="8"/>
      <c r="AO210" s="8"/>
      <c r="AP210" s="9">
        <v>4</v>
      </c>
      <c r="AQ210" s="9">
        <v>1</v>
      </c>
      <c r="AR210" s="10" t="s">
        <v>98</v>
      </c>
      <c r="AS210" s="10" t="s">
        <v>53</v>
      </c>
      <c r="AT210" s="8"/>
      <c r="AU210" s="10" t="s">
        <v>54</v>
      </c>
      <c r="AV210" s="10" t="s">
        <v>51</v>
      </c>
      <c r="AW210" s="10" t="s">
        <v>99</v>
      </c>
      <c r="AX210" s="8"/>
    </row>
    <row r="211" spans="1:50" x14ac:dyDescent="0.15">
      <c r="A211" s="11" t="s">
        <v>80</v>
      </c>
      <c r="B211" s="12" t="s">
        <v>67</v>
      </c>
      <c r="C211" s="10" t="s">
        <v>62</v>
      </c>
      <c r="D211" s="10" t="s">
        <v>63</v>
      </c>
      <c r="E211" s="9">
        <v>156</v>
      </c>
      <c r="F211" s="9">
        <v>156</v>
      </c>
      <c r="G211" s="9">
        <v>2</v>
      </c>
      <c r="H211" s="10" t="s">
        <v>63</v>
      </c>
      <c r="I211" s="9">
        <v>1</v>
      </c>
      <c r="J211" s="9">
        <v>0.28942504100268701</v>
      </c>
      <c r="K211" s="10" t="s">
        <v>51</v>
      </c>
      <c r="L211" s="9">
        <v>2</v>
      </c>
      <c r="M211" s="9">
        <v>156</v>
      </c>
      <c r="N211" s="9">
        <v>156</v>
      </c>
      <c r="O211" s="9">
        <v>33</v>
      </c>
      <c r="P211" s="9">
        <v>158.76580170799599</v>
      </c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9">
        <v>158.75631233298901</v>
      </c>
      <c r="AC211" s="9">
        <v>158.76580170799599</v>
      </c>
      <c r="AD211" s="9">
        <v>159.25276583299299</v>
      </c>
      <c r="AE211" s="9">
        <v>159.25276583299299</v>
      </c>
      <c r="AF211" s="9">
        <v>159.25276583299299</v>
      </c>
      <c r="AG211" s="9">
        <v>159.545536082995</v>
      </c>
      <c r="AH211" s="10" t="s">
        <v>63</v>
      </c>
      <c r="AI211" s="9">
        <v>1</v>
      </c>
      <c r="AJ211" s="9">
        <v>0.28942504100268701</v>
      </c>
      <c r="AK211" s="10" t="s">
        <v>51</v>
      </c>
      <c r="AL211" s="8"/>
      <c r="AM211" s="8"/>
      <c r="AN211" s="8"/>
      <c r="AO211" s="8"/>
      <c r="AP211" s="9">
        <v>4</v>
      </c>
      <c r="AQ211" s="9">
        <v>1</v>
      </c>
      <c r="AR211" s="10" t="s">
        <v>98</v>
      </c>
      <c r="AS211" s="10" t="s">
        <v>53</v>
      </c>
      <c r="AT211" s="8"/>
      <c r="AU211" s="10" t="s">
        <v>54</v>
      </c>
      <c r="AV211" s="10" t="s">
        <v>51</v>
      </c>
      <c r="AW211" s="10" t="s">
        <v>99</v>
      </c>
      <c r="AX211" s="8"/>
    </row>
    <row r="212" spans="1:50" x14ac:dyDescent="0.15">
      <c r="A212" s="11" t="s">
        <v>80</v>
      </c>
      <c r="B212" s="12" t="s">
        <v>67</v>
      </c>
      <c r="C212" s="10" t="s">
        <v>62</v>
      </c>
      <c r="D212" s="10" t="s">
        <v>63</v>
      </c>
      <c r="E212" s="9">
        <v>157</v>
      </c>
      <c r="F212" s="9">
        <v>157</v>
      </c>
      <c r="G212" s="9">
        <v>3</v>
      </c>
      <c r="H212" s="10" t="s">
        <v>63</v>
      </c>
      <c r="I212" s="9">
        <v>1</v>
      </c>
      <c r="J212" s="9">
        <v>0.29620570800034302</v>
      </c>
      <c r="K212" s="10" t="s">
        <v>51</v>
      </c>
      <c r="L212" s="9">
        <v>3</v>
      </c>
      <c r="M212" s="9">
        <v>157</v>
      </c>
      <c r="N212" s="9">
        <v>157</v>
      </c>
      <c r="O212" s="9">
        <v>33</v>
      </c>
      <c r="P212" s="9">
        <v>159.55589529199599</v>
      </c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9">
        <v>159.54678712500001</v>
      </c>
      <c r="AC212" s="9">
        <v>159.55589529199599</v>
      </c>
      <c r="AD212" s="9">
        <v>160.04396474998799</v>
      </c>
      <c r="AE212" s="9">
        <v>160.04396474998799</v>
      </c>
      <c r="AF212" s="9">
        <v>160.04396474998799</v>
      </c>
      <c r="AG212" s="9">
        <v>160.34577629200101</v>
      </c>
      <c r="AH212" s="10" t="s">
        <v>63</v>
      </c>
      <c r="AI212" s="9">
        <v>1</v>
      </c>
      <c r="AJ212" s="9">
        <v>0.29620570800034302</v>
      </c>
      <c r="AK212" s="10" t="s">
        <v>51</v>
      </c>
      <c r="AL212" s="8"/>
      <c r="AM212" s="8"/>
      <c r="AN212" s="8"/>
      <c r="AO212" s="8"/>
      <c r="AP212" s="9">
        <v>4</v>
      </c>
      <c r="AQ212" s="9">
        <v>1</v>
      </c>
      <c r="AR212" s="10" t="s">
        <v>98</v>
      </c>
      <c r="AS212" s="10" t="s">
        <v>53</v>
      </c>
      <c r="AT212" s="8"/>
      <c r="AU212" s="10" t="s">
        <v>54</v>
      </c>
      <c r="AV212" s="10" t="s">
        <v>51</v>
      </c>
      <c r="AW212" s="10" t="s">
        <v>99</v>
      </c>
      <c r="AX212" s="8"/>
    </row>
    <row r="213" spans="1:50" x14ac:dyDescent="0.15">
      <c r="A213" s="11" t="s">
        <v>81</v>
      </c>
      <c r="B213" s="12" t="s">
        <v>67</v>
      </c>
      <c r="C213" s="10" t="s">
        <v>58</v>
      </c>
      <c r="D213" s="10" t="s">
        <v>59</v>
      </c>
      <c r="E213" s="9">
        <v>158</v>
      </c>
      <c r="F213" s="9">
        <v>158</v>
      </c>
      <c r="G213" s="9">
        <v>1</v>
      </c>
      <c r="H213" s="10" t="s">
        <v>63</v>
      </c>
      <c r="I213" s="9">
        <v>0</v>
      </c>
      <c r="J213" s="9">
        <v>0.27151249899179702</v>
      </c>
      <c r="K213" s="10" t="s">
        <v>51</v>
      </c>
      <c r="L213" s="9">
        <v>1</v>
      </c>
      <c r="M213" s="9">
        <v>158</v>
      </c>
      <c r="N213" s="9">
        <v>158</v>
      </c>
      <c r="O213" s="9">
        <v>44</v>
      </c>
      <c r="P213" s="9">
        <v>160.36032599999501</v>
      </c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9">
        <v>160.351460916994</v>
      </c>
      <c r="AC213" s="9">
        <v>160.36032599999501</v>
      </c>
      <c r="AD213" s="9">
        <v>160.843552249993</v>
      </c>
      <c r="AE213" s="9">
        <v>160.843552249993</v>
      </c>
      <c r="AF213" s="9">
        <v>160.843552249993</v>
      </c>
      <c r="AG213" s="9">
        <v>161.118224957987</v>
      </c>
      <c r="AH213" s="10" t="s">
        <v>63</v>
      </c>
      <c r="AI213" s="9">
        <v>0</v>
      </c>
      <c r="AJ213" s="9">
        <v>0.27151249899179702</v>
      </c>
      <c r="AK213" s="10" t="s">
        <v>51</v>
      </c>
      <c r="AL213" s="8"/>
      <c r="AM213" s="8"/>
      <c r="AN213" s="8"/>
      <c r="AO213" s="8"/>
      <c r="AP213" s="9">
        <v>4</v>
      </c>
      <c r="AQ213" s="9">
        <v>1</v>
      </c>
      <c r="AR213" s="10" t="s">
        <v>98</v>
      </c>
      <c r="AS213" s="10" t="s">
        <v>53</v>
      </c>
      <c r="AT213" s="8"/>
      <c r="AU213" s="10" t="s">
        <v>54</v>
      </c>
      <c r="AV213" s="10" t="s">
        <v>51</v>
      </c>
      <c r="AW213" s="10" t="s">
        <v>99</v>
      </c>
      <c r="AX213" s="8"/>
    </row>
    <row r="214" spans="1:50" x14ac:dyDescent="0.15">
      <c r="A214" s="11" t="s">
        <v>76</v>
      </c>
      <c r="B214" s="12" t="s">
        <v>67</v>
      </c>
      <c r="C214" s="10" t="s">
        <v>58</v>
      </c>
      <c r="D214" s="10" t="s">
        <v>59</v>
      </c>
      <c r="E214" s="9">
        <v>161</v>
      </c>
      <c r="F214" s="9">
        <v>161</v>
      </c>
      <c r="G214" s="9">
        <v>4</v>
      </c>
      <c r="H214" s="10" t="s">
        <v>59</v>
      </c>
      <c r="I214" s="9">
        <v>1</v>
      </c>
      <c r="J214" s="9">
        <v>0.29358599999977703</v>
      </c>
      <c r="K214" s="10" t="s">
        <v>51</v>
      </c>
      <c r="L214" s="9">
        <v>4</v>
      </c>
      <c r="M214" s="9">
        <v>161</v>
      </c>
      <c r="N214" s="9">
        <v>161</v>
      </c>
      <c r="O214" s="9">
        <v>42</v>
      </c>
      <c r="P214" s="9">
        <v>163.22709145799999</v>
      </c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9">
        <v>163.218062</v>
      </c>
      <c r="AC214" s="9">
        <v>163.22709145799999</v>
      </c>
      <c r="AD214" s="9">
        <v>163.71061179199</v>
      </c>
      <c r="AE214" s="9">
        <v>163.71061179199</v>
      </c>
      <c r="AF214" s="9">
        <v>163.71061179199</v>
      </c>
      <c r="AG214" s="9">
        <v>164.01268674999301</v>
      </c>
      <c r="AH214" s="10" t="s">
        <v>59</v>
      </c>
      <c r="AI214" s="9">
        <v>1</v>
      </c>
      <c r="AJ214" s="9">
        <v>0.29358599999977703</v>
      </c>
      <c r="AK214" s="10" t="s">
        <v>51</v>
      </c>
      <c r="AL214" s="8"/>
      <c r="AM214" s="8"/>
      <c r="AN214" s="8"/>
      <c r="AO214" s="8"/>
      <c r="AP214" s="9">
        <v>4</v>
      </c>
      <c r="AQ214" s="9">
        <v>1</v>
      </c>
      <c r="AR214" s="10" t="s">
        <v>98</v>
      </c>
      <c r="AS214" s="10" t="s">
        <v>53</v>
      </c>
      <c r="AT214" s="8"/>
      <c r="AU214" s="10" t="s">
        <v>54</v>
      </c>
      <c r="AV214" s="10" t="s">
        <v>51</v>
      </c>
      <c r="AW214" s="10" t="s">
        <v>99</v>
      </c>
      <c r="AX214" s="8"/>
    </row>
    <row r="215" spans="1:50" x14ac:dyDescent="0.15">
      <c r="A215" s="11" t="s">
        <v>77</v>
      </c>
      <c r="B215" s="12" t="s">
        <v>67</v>
      </c>
      <c r="C215" s="10" t="s">
        <v>58</v>
      </c>
      <c r="D215" s="10" t="s">
        <v>59</v>
      </c>
      <c r="E215" s="9">
        <v>162</v>
      </c>
      <c r="F215" s="9">
        <v>162</v>
      </c>
      <c r="G215" s="9">
        <v>4</v>
      </c>
      <c r="H215" s="10" t="s">
        <v>59</v>
      </c>
      <c r="I215" s="9">
        <v>1</v>
      </c>
      <c r="J215" s="9">
        <v>0.27571979099593602</v>
      </c>
      <c r="K215" s="10" t="s">
        <v>51</v>
      </c>
      <c r="L215" s="9">
        <v>4</v>
      </c>
      <c r="M215" s="9">
        <v>162</v>
      </c>
      <c r="N215" s="9">
        <v>162</v>
      </c>
      <c r="O215" s="9">
        <v>40</v>
      </c>
      <c r="P215" s="9">
        <v>164.02601145798701</v>
      </c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9">
        <v>164.01750204199899</v>
      </c>
      <c r="AC215" s="9">
        <v>164.02601145798701</v>
      </c>
      <c r="AD215" s="9">
        <v>164.51044920799899</v>
      </c>
      <c r="AE215" s="9">
        <v>164.51044920799899</v>
      </c>
      <c r="AF215" s="9">
        <v>164.51044920799899</v>
      </c>
      <c r="AG215" s="9">
        <v>164.79594295799299</v>
      </c>
      <c r="AH215" s="10" t="s">
        <v>59</v>
      </c>
      <c r="AI215" s="9">
        <v>1</v>
      </c>
      <c r="AJ215" s="9">
        <v>0.27571979099593602</v>
      </c>
      <c r="AK215" s="10" t="s">
        <v>51</v>
      </c>
      <c r="AL215" s="8"/>
      <c r="AM215" s="8"/>
      <c r="AN215" s="8"/>
      <c r="AO215" s="8"/>
      <c r="AP215" s="9">
        <v>4</v>
      </c>
      <c r="AQ215" s="9">
        <v>1</v>
      </c>
      <c r="AR215" s="10" t="s">
        <v>98</v>
      </c>
      <c r="AS215" s="10" t="s">
        <v>53</v>
      </c>
      <c r="AT215" s="8"/>
      <c r="AU215" s="10" t="s">
        <v>54</v>
      </c>
      <c r="AV215" s="10" t="s">
        <v>51</v>
      </c>
      <c r="AW215" s="10" t="s">
        <v>99</v>
      </c>
      <c r="AX215" s="8"/>
    </row>
    <row r="216" spans="1:50" x14ac:dyDescent="0.15">
      <c r="A216" s="11" t="s">
        <v>81</v>
      </c>
      <c r="B216" s="12" t="s">
        <v>67</v>
      </c>
      <c r="C216" s="10" t="s">
        <v>58</v>
      </c>
      <c r="D216" s="10" t="s">
        <v>59</v>
      </c>
      <c r="E216" s="9">
        <v>165</v>
      </c>
      <c r="F216" s="9">
        <v>165</v>
      </c>
      <c r="G216" s="9">
        <v>2</v>
      </c>
      <c r="H216" s="10" t="s">
        <v>59</v>
      </c>
      <c r="I216" s="9">
        <v>1</v>
      </c>
      <c r="J216" s="9">
        <v>0.49441808300616702</v>
      </c>
      <c r="K216" s="10" t="s">
        <v>51</v>
      </c>
      <c r="L216" s="9">
        <v>2</v>
      </c>
      <c r="M216" s="9">
        <v>165</v>
      </c>
      <c r="N216" s="9">
        <v>165</v>
      </c>
      <c r="O216" s="9">
        <v>44</v>
      </c>
      <c r="P216" s="9">
        <v>166.53247399999199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9">
        <v>166.52282745799999</v>
      </c>
      <c r="AC216" s="9">
        <v>166.53247399999199</v>
      </c>
      <c r="AD216" s="9">
        <v>167.019757957998</v>
      </c>
      <c r="AE216" s="9">
        <v>167.019757957998</v>
      </c>
      <c r="AF216" s="9">
        <v>167.019757957998</v>
      </c>
      <c r="AG216" s="9">
        <v>167.518822749989</v>
      </c>
      <c r="AH216" s="10" t="s">
        <v>59</v>
      </c>
      <c r="AI216" s="9">
        <v>1</v>
      </c>
      <c r="AJ216" s="9">
        <v>0.49441808300616702</v>
      </c>
      <c r="AK216" s="10" t="s">
        <v>51</v>
      </c>
      <c r="AL216" s="8"/>
      <c r="AM216" s="8"/>
      <c r="AN216" s="8"/>
      <c r="AO216" s="8"/>
      <c r="AP216" s="9">
        <v>4</v>
      </c>
      <c r="AQ216" s="9">
        <v>1</v>
      </c>
      <c r="AR216" s="10" t="s">
        <v>98</v>
      </c>
      <c r="AS216" s="10" t="s">
        <v>53</v>
      </c>
      <c r="AT216" s="8"/>
      <c r="AU216" s="10" t="s">
        <v>54</v>
      </c>
      <c r="AV216" s="10" t="s">
        <v>51</v>
      </c>
      <c r="AW216" s="10" t="s">
        <v>99</v>
      </c>
      <c r="AX216" s="8"/>
    </row>
    <row r="217" spans="1:50" x14ac:dyDescent="0.15">
      <c r="A217" s="11" t="s">
        <v>82</v>
      </c>
      <c r="B217" s="12" t="s">
        <v>67</v>
      </c>
      <c r="C217" s="10" t="s">
        <v>62</v>
      </c>
      <c r="D217" s="10" t="s">
        <v>63</v>
      </c>
      <c r="E217" s="9">
        <v>166</v>
      </c>
      <c r="F217" s="9">
        <v>166</v>
      </c>
      <c r="G217" s="9">
        <v>4</v>
      </c>
      <c r="H217" s="10" t="s">
        <v>63</v>
      </c>
      <c r="I217" s="9">
        <v>1</v>
      </c>
      <c r="J217" s="9">
        <v>0.71188891599013004</v>
      </c>
      <c r="K217" s="10" t="s">
        <v>51</v>
      </c>
      <c r="L217" s="9">
        <v>4</v>
      </c>
      <c r="M217" s="9">
        <v>166</v>
      </c>
      <c r="N217" s="9">
        <v>166</v>
      </c>
      <c r="O217" s="9">
        <v>37</v>
      </c>
      <c r="P217" s="9">
        <v>167.53347320799401</v>
      </c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9">
        <v>167.52391224999201</v>
      </c>
      <c r="AC217" s="9">
        <v>167.53347320799401</v>
      </c>
      <c r="AD217" s="9">
        <v>168.019742416989</v>
      </c>
      <c r="AE217" s="9">
        <v>168.019742416989</v>
      </c>
      <c r="AF217" s="9">
        <v>168.019742416989</v>
      </c>
      <c r="AG217" s="9">
        <v>168.73547975000099</v>
      </c>
      <c r="AH217" s="10" t="s">
        <v>63</v>
      </c>
      <c r="AI217" s="9">
        <v>1</v>
      </c>
      <c r="AJ217" s="9">
        <v>0.71188891599013004</v>
      </c>
      <c r="AK217" s="10" t="s">
        <v>51</v>
      </c>
      <c r="AL217" s="8"/>
      <c r="AM217" s="8"/>
      <c r="AN217" s="8"/>
      <c r="AO217" s="8"/>
      <c r="AP217" s="9">
        <v>4</v>
      </c>
      <c r="AQ217" s="9">
        <v>1</v>
      </c>
      <c r="AR217" s="10" t="s">
        <v>98</v>
      </c>
      <c r="AS217" s="10" t="s">
        <v>53</v>
      </c>
      <c r="AT217" s="8"/>
      <c r="AU217" s="10" t="s">
        <v>54</v>
      </c>
      <c r="AV217" s="10" t="s">
        <v>51</v>
      </c>
      <c r="AW217" s="10" t="s">
        <v>99</v>
      </c>
      <c r="AX217" s="8"/>
    </row>
    <row r="218" spans="1:50" x14ac:dyDescent="0.15">
      <c r="A218" s="11" t="s">
        <v>81</v>
      </c>
      <c r="B218" s="12" t="s">
        <v>67</v>
      </c>
      <c r="C218" s="10" t="s">
        <v>58</v>
      </c>
      <c r="D218" s="10" t="s">
        <v>59</v>
      </c>
      <c r="E218" s="9">
        <v>167</v>
      </c>
      <c r="F218" s="9">
        <v>167</v>
      </c>
      <c r="G218" s="9">
        <v>3</v>
      </c>
      <c r="H218" s="10" t="s">
        <v>59</v>
      </c>
      <c r="I218" s="9">
        <v>1</v>
      </c>
      <c r="J218" s="9">
        <v>0.39710920800280303</v>
      </c>
      <c r="K218" s="10" t="s">
        <v>51</v>
      </c>
      <c r="L218" s="9">
        <v>3</v>
      </c>
      <c r="M218" s="9">
        <v>167</v>
      </c>
      <c r="N218" s="9">
        <v>167</v>
      </c>
      <c r="O218" s="9">
        <v>44</v>
      </c>
      <c r="P218" s="9">
        <v>168.74894279199401</v>
      </c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9">
        <v>168.739767583</v>
      </c>
      <c r="AC218" s="9">
        <v>168.74894279199401</v>
      </c>
      <c r="AD218" s="9">
        <v>169.23662004199301</v>
      </c>
      <c r="AE218" s="9">
        <v>169.23662004199301</v>
      </c>
      <c r="AF218" s="9">
        <v>169.23662004199301</v>
      </c>
      <c r="AG218" s="9">
        <v>169.63517524999</v>
      </c>
      <c r="AH218" s="10" t="s">
        <v>59</v>
      </c>
      <c r="AI218" s="9">
        <v>1</v>
      </c>
      <c r="AJ218" s="9">
        <v>0.39710920800280303</v>
      </c>
      <c r="AK218" s="10" t="s">
        <v>51</v>
      </c>
      <c r="AL218" s="8"/>
      <c r="AM218" s="8"/>
      <c r="AN218" s="8"/>
      <c r="AO218" s="8"/>
      <c r="AP218" s="9">
        <v>4</v>
      </c>
      <c r="AQ218" s="9">
        <v>1</v>
      </c>
      <c r="AR218" s="10" t="s">
        <v>98</v>
      </c>
      <c r="AS218" s="10" t="s">
        <v>53</v>
      </c>
      <c r="AT218" s="8"/>
      <c r="AU218" s="10" t="s">
        <v>54</v>
      </c>
      <c r="AV218" s="10" t="s">
        <v>51</v>
      </c>
      <c r="AW218" s="10" t="s">
        <v>99</v>
      </c>
      <c r="AX218" s="8"/>
    </row>
    <row r="219" spans="1:50" x14ac:dyDescent="0.15">
      <c r="A219" s="11" t="s">
        <v>66</v>
      </c>
      <c r="B219" s="12" t="s">
        <v>67</v>
      </c>
      <c r="C219" s="10" t="s">
        <v>62</v>
      </c>
      <c r="D219" s="10" t="s">
        <v>63</v>
      </c>
      <c r="E219" s="9">
        <v>168</v>
      </c>
      <c r="F219" s="9">
        <v>168</v>
      </c>
      <c r="G219" s="9">
        <v>3</v>
      </c>
      <c r="H219" s="10" t="s">
        <v>63</v>
      </c>
      <c r="I219" s="9">
        <v>1</v>
      </c>
      <c r="J219" s="9">
        <v>0.45454341599543102</v>
      </c>
      <c r="K219" s="10" t="s">
        <v>51</v>
      </c>
      <c r="L219" s="9">
        <v>3</v>
      </c>
      <c r="M219" s="9">
        <v>168</v>
      </c>
      <c r="N219" s="9">
        <v>168</v>
      </c>
      <c r="O219" s="9">
        <v>47</v>
      </c>
      <c r="P219" s="9">
        <v>169.64949529198901</v>
      </c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9">
        <v>169.63994812499701</v>
      </c>
      <c r="AC219" s="9">
        <v>169.64949529198901</v>
      </c>
      <c r="AD219" s="9">
        <v>170.13721995799301</v>
      </c>
      <c r="AE219" s="9">
        <v>170.13721995799301</v>
      </c>
      <c r="AF219" s="9">
        <v>170.13721995799301</v>
      </c>
      <c r="AG219" s="9">
        <v>170.59588783299799</v>
      </c>
      <c r="AH219" s="10" t="s">
        <v>63</v>
      </c>
      <c r="AI219" s="9">
        <v>1</v>
      </c>
      <c r="AJ219" s="9">
        <v>0.45454341599543102</v>
      </c>
      <c r="AK219" s="10" t="s">
        <v>51</v>
      </c>
      <c r="AL219" s="8"/>
      <c r="AM219" s="8"/>
      <c r="AN219" s="8"/>
      <c r="AO219" s="8"/>
      <c r="AP219" s="9">
        <v>4</v>
      </c>
      <c r="AQ219" s="9">
        <v>1</v>
      </c>
      <c r="AR219" s="10" t="s">
        <v>98</v>
      </c>
      <c r="AS219" s="10" t="s">
        <v>53</v>
      </c>
      <c r="AT219" s="8"/>
      <c r="AU219" s="10" t="s">
        <v>54</v>
      </c>
      <c r="AV219" s="10" t="s">
        <v>51</v>
      </c>
      <c r="AW219" s="10" t="s">
        <v>99</v>
      </c>
      <c r="AX219" s="8"/>
    </row>
    <row r="220" spans="1:50" x14ac:dyDescent="0.15">
      <c r="A220" s="11" t="s">
        <v>81</v>
      </c>
      <c r="B220" s="12" t="s">
        <v>67</v>
      </c>
      <c r="C220" s="10" t="s">
        <v>62</v>
      </c>
      <c r="D220" s="10" t="s">
        <v>63</v>
      </c>
      <c r="E220" s="9">
        <v>173</v>
      </c>
      <c r="F220" s="9">
        <v>173</v>
      </c>
      <c r="G220" s="9">
        <v>3</v>
      </c>
      <c r="H220" s="10" t="s">
        <v>63</v>
      </c>
      <c r="I220" s="9">
        <v>1</v>
      </c>
      <c r="J220" s="9">
        <v>0.42474479100201301</v>
      </c>
      <c r="K220" s="10" t="s">
        <v>51</v>
      </c>
      <c r="L220" s="9">
        <v>3</v>
      </c>
      <c r="M220" s="9">
        <v>173</v>
      </c>
      <c r="N220" s="9">
        <v>173</v>
      </c>
      <c r="O220" s="9">
        <v>45</v>
      </c>
      <c r="P220" s="9">
        <v>174.24934762499501</v>
      </c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9">
        <v>174.239805082994</v>
      </c>
      <c r="AC220" s="9">
        <v>174.24934762499501</v>
      </c>
      <c r="AD220" s="9">
        <v>174.73665520799099</v>
      </c>
      <c r="AE220" s="9">
        <v>174.73665520799099</v>
      </c>
      <c r="AF220" s="9">
        <v>174.73665520799099</v>
      </c>
      <c r="AG220" s="9">
        <v>175.16298320799299</v>
      </c>
      <c r="AH220" s="10" t="s">
        <v>63</v>
      </c>
      <c r="AI220" s="9">
        <v>1</v>
      </c>
      <c r="AJ220" s="9">
        <v>0.42474479100201301</v>
      </c>
      <c r="AK220" s="10" t="s">
        <v>51</v>
      </c>
      <c r="AL220" s="8"/>
      <c r="AM220" s="8"/>
      <c r="AN220" s="8"/>
      <c r="AO220" s="8"/>
      <c r="AP220" s="9">
        <v>4</v>
      </c>
      <c r="AQ220" s="9">
        <v>1</v>
      </c>
      <c r="AR220" s="10" t="s">
        <v>98</v>
      </c>
      <c r="AS220" s="10" t="s">
        <v>53</v>
      </c>
      <c r="AT220" s="8"/>
      <c r="AU220" s="10" t="s">
        <v>54</v>
      </c>
      <c r="AV220" s="10" t="s">
        <v>51</v>
      </c>
      <c r="AW220" s="10" t="s">
        <v>99</v>
      </c>
      <c r="AX220" s="8"/>
    </row>
    <row r="221" spans="1:50" x14ac:dyDescent="0.15">
      <c r="A221" s="11" t="s">
        <v>69</v>
      </c>
      <c r="B221" s="12" t="s">
        <v>67</v>
      </c>
      <c r="C221" s="10" t="s">
        <v>62</v>
      </c>
      <c r="D221" s="10" t="s">
        <v>63</v>
      </c>
      <c r="E221" s="9">
        <v>176</v>
      </c>
      <c r="F221" s="9">
        <v>176</v>
      </c>
      <c r="G221" s="9">
        <v>2</v>
      </c>
      <c r="H221" s="10" t="s">
        <v>63</v>
      </c>
      <c r="I221" s="9">
        <v>1</v>
      </c>
      <c r="J221" s="9">
        <v>0.33173683298809897</v>
      </c>
      <c r="K221" s="10" t="s">
        <v>51</v>
      </c>
      <c r="L221" s="9">
        <v>2</v>
      </c>
      <c r="M221" s="9">
        <v>176</v>
      </c>
      <c r="N221" s="9">
        <v>176</v>
      </c>
      <c r="O221" s="9">
        <v>39</v>
      </c>
      <c r="P221" s="9">
        <v>177.000914832999</v>
      </c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9">
        <v>176.99199779199299</v>
      </c>
      <c r="AC221" s="9">
        <v>177.000914832999</v>
      </c>
      <c r="AD221" s="9">
        <v>177.48563562499501</v>
      </c>
      <c r="AE221" s="9">
        <v>177.48563562499501</v>
      </c>
      <c r="AF221" s="9">
        <v>177.48563562499501</v>
      </c>
      <c r="AG221" s="9">
        <v>177.81904895800099</v>
      </c>
      <c r="AH221" s="10" t="s">
        <v>63</v>
      </c>
      <c r="AI221" s="9">
        <v>1</v>
      </c>
      <c r="AJ221" s="9">
        <v>0.33173683298809897</v>
      </c>
      <c r="AK221" s="10" t="s">
        <v>51</v>
      </c>
      <c r="AL221" s="8"/>
      <c r="AM221" s="8"/>
      <c r="AN221" s="8"/>
      <c r="AO221" s="8"/>
      <c r="AP221" s="9">
        <v>4</v>
      </c>
      <c r="AQ221" s="9">
        <v>1</v>
      </c>
      <c r="AR221" s="10" t="s">
        <v>98</v>
      </c>
      <c r="AS221" s="10" t="s">
        <v>53</v>
      </c>
      <c r="AT221" s="8"/>
      <c r="AU221" s="10" t="s">
        <v>54</v>
      </c>
      <c r="AV221" s="10" t="s">
        <v>51</v>
      </c>
      <c r="AW221" s="10" t="s">
        <v>99</v>
      </c>
      <c r="AX221" s="8"/>
    </row>
    <row r="222" spans="1:50" x14ac:dyDescent="0.15">
      <c r="A222" s="11" t="s">
        <v>81</v>
      </c>
      <c r="B222" s="12" t="s">
        <v>67</v>
      </c>
      <c r="C222" s="10" t="s">
        <v>62</v>
      </c>
      <c r="D222" s="10" t="s">
        <v>63</v>
      </c>
      <c r="E222" s="9">
        <v>178</v>
      </c>
      <c r="F222" s="9">
        <v>178</v>
      </c>
      <c r="G222" s="9">
        <v>4</v>
      </c>
      <c r="H222" s="10" t="s">
        <v>63</v>
      </c>
      <c r="I222" s="9">
        <v>1</v>
      </c>
      <c r="J222" s="9">
        <v>0.43995508299849501</v>
      </c>
      <c r="K222" s="10" t="s">
        <v>51</v>
      </c>
      <c r="L222" s="9">
        <v>4</v>
      </c>
      <c r="M222" s="9">
        <v>178</v>
      </c>
      <c r="N222" s="9">
        <v>178</v>
      </c>
      <c r="O222" s="9">
        <v>45</v>
      </c>
      <c r="P222" s="9">
        <v>178.71690987498701</v>
      </c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9">
        <v>178.70750108298699</v>
      </c>
      <c r="AC222" s="9">
        <v>178.71690987498701</v>
      </c>
      <c r="AD222" s="9">
        <v>179.20347495799101</v>
      </c>
      <c r="AE222" s="9">
        <v>179.20347495799101</v>
      </c>
      <c r="AF222" s="9">
        <v>179.20347495799101</v>
      </c>
      <c r="AG222" s="9">
        <v>179.64637683300001</v>
      </c>
      <c r="AH222" s="10" t="s">
        <v>63</v>
      </c>
      <c r="AI222" s="9">
        <v>1</v>
      </c>
      <c r="AJ222" s="9">
        <v>0.43995508299849501</v>
      </c>
      <c r="AK222" s="10" t="s">
        <v>51</v>
      </c>
      <c r="AL222" s="8"/>
      <c r="AM222" s="8"/>
      <c r="AN222" s="8"/>
      <c r="AO222" s="8"/>
      <c r="AP222" s="9">
        <v>4</v>
      </c>
      <c r="AQ222" s="9">
        <v>1</v>
      </c>
      <c r="AR222" s="10" t="s">
        <v>98</v>
      </c>
      <c r="AS222" s="10" t="s">
        <v>53</v>
      </c>
      <c r="AT222" s="8"/>
      <c r="AU222" s="10" t="s">
        <v>54</v>
      </c>
      <c r="AV222" s="10" t="s">
        <v>51</v>
      </c>
      <c r="AW222" s="10" t="s">
        <v>99</v>
      </c>
      <c r="AX222" s="8"/>
    </row>
    <row r="223" spans="1:50" x14ac:dyDescent="0.15">
      <c r="A223" s="11" t="s">
        <v>86</v>
      </c>
      <c r="B223" s="12" t="s">
        <v>67</v>
      </c>
      <c r="C223" s="10" t="s">
        <v>62</v>
      </c>
      <c r="D223" s="10" t="s">
        <v>63</v>
      </c>
      <c r="E223" s="9">
        <v>180</v>
      </c>
      <c r="F223" s="9">
        <v>180</v>
      </c>
      <c r="G223" s="9">
        <v>2</v>
      </c>
      <c r="H223" s="10" t="s">
        <v>63</v>
      </c>
      <c r="I223" s="9">
        <v>1</v>
      </c>
      <c r="J223" s="9">
        <v>0.374549708008999</v>
      </c>
      <c r="K223" s="10" t="s">
        <v>51</v>
      </c>
      <c r="L223" s="9">
        <v>2</v>
      </c>
      <c r="M223" s="9">
        <v>180</v>
      </c>
      <c r="N223" s="9">
        <v>180</v>
      </c>
      <c r="O223" s="9">
        <v>35</v>
      </c>
      <c r="P223" s="9">
        <v>180.54510483300001</v>
      </c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9">
        <v>180.536125041996</v>
      </c>
      <c r="AC223" s="9">
        <v>180.54510483300001</v>
      </c>
      <c r="AD223" s="9">
        <v>181.02779170799499</v>
      </c>
      <c r="AE223" s="9">
        <v>181.02779170799499</v>
      </c>
      <c r="AF223" s="9">
        <v>181.02779170799499</v>
      </c>
      <c r="AG223" s="9">
        <v>181.41312229199701</v>
      </c>
      <c r="AH223" s="10" t="s">
        <v>63</v>
      </c>
      <c r="AI223" s="9">
        <v>1</v>
      </c>
      <c r="AJ223" s="9">
        <v>0.374549708008999</v>
      </c>
      <c r="AK223" s="10" t="s">
        <v>51</v>
      </c>
      <c r="AL223" s="8"/>
      <c r="AM223" s="8"/>
      <c r="AN223" s="8"/>
      <c r="AO223" s="8"/>
      <c r="AP223" s="9">
        <v>4</v>
      </c>
      <c r="AQ223" s="9">
        <v>1</v>
      </c>
      <c r="AR223" s="10" t="s">
        <v>98</v>
      </c>
      <c r="AS223" s="10" t="s">
        <v>53</v>
      </c>
      <c r="AT223" s="8"/>
      <c r="AU223" s="10" t="s">
        <v>54</v>
      </c>
      <c r="AV223" s="10" t="s">
        <v>51</v>
      </c>
      <c r="AW223" s="10" t="s">
        <v>99</v>
      </c>
      <c r="AX223" s="8"/>
    </row>
    <row r="224" spans="1:50" x14ac:dyDescent="0.15">
      <c r="A224" s="11" t="s">
        <v>86</v>
      </c>
      <c r="B224" s="12" t="s">
        <v>67</v>
      </c>
      <c r="C224" s="10" t="s">
        <v>58</v>
      </c>
      <c r="D224" s="10" t="s">
        <v>59</v>
      </c>
      <c r="E224" s="9">
        <v>182</v>
      </c>
      <c r="F224" s="9">
        <v>182</v>
      </c>
      <c r="G224" s="9">
        <v>2</v>
      </c>
      <c r="H224" s="10" t="s">
        <v>59</v>
      </c>
      <c r="I224" s="9">
        <v>1</v>
      </c>
      <c r="J224" s="9">
        <v>0.37212745800206898</v>
      </c>
      <c r="K224" s="10" t="s">
        <v>51</v>
      </c>
      <c r="L224" s="9">
        <v>2</v>
      </c>
      <c r="M224" s="9">
        <v>182</v>
      </c>
      <c r="N224" s="9">
        <v>182</v>
      </c>
      <c r="O224" s="9">
        <v>34</v>
      </c>
      <c r="P224" s="9">
        <v>182.26170470799801</v>
      </c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9">
        <v>182.25254058299501</v>
      </c>
      <c r="AC224" s="9">
        <v>182.26170470799801</v>
      </c>
      <c r="AD224" s="9">
        <v>182.74433120800001</v>
      </c>
      <c r="AE224" s="9">
        <v>182.74433120800001</v>
      </c>
      <c r="AF224" s="9">
        <v>182.74433120800001</v>
      </c>
      <c r="AG224" s="9">
        <v>183.11897983298701</v>
      </c>
      <c r="AH224" s="10" t="s">
        <v>59</v>
      </c>
      <c r="AI224" s="9">
        <v>1</v>
      </c>
      <c r="AJ224" s="9">
        <v>0.37212745800206898</v>
      </c>
      <c r="AK224" s="10" t="s">
        <v>51</v>
      </c>
      <c r="AL224" s="8"/>
      <c r="AM224" s="8"/>
      <c r="AN224" s="8"/>
      <c r="AO224" s="8"/>
      <c r="AP224" s="9">
        <v>4</v>
      </c>
      <c r="AQ224" s="9">
        <v>1</v>
      </c>
      <c r="AR224" s="10" t="s">
        <v>98</v>
      </c>
      <c r="AS224" s="10" t="s">
        <v>53</v>
      </c>
      <c r="AT224" s="8"/>
      <c r="AU224" s="10" t="s">
        <v>54</v>
      </c>
      <c r="AV224" s="10" t="s">
        <v>51</v>
      </c>
      <c r="AW224" s="10" t="s">
        <v>99</v>
      </c>
      <c r="AX224" s="8"/>
    </row>
    <row r="225" spans="1:50" x14ac:dyDescent="0.15">
      <c r="A225" s="11" t="s">
        <v>86</v>
      </c>
      <c r="B225" s="12" t="s">
        <v>67</v>
      </c>
      <c r="C225" s="10" t="s">
        <v>62</v>
      </c>
      <c r="D225" s="10" t="s">
        <v>63</v>
      </c>
      <c r="E225" s="9">
        <v>186</v>
      </c>
      <c r="F225" s="9">
        <v>186</v>
      </c>
      <c r="G225" s="9">
        <v>3</v>
      </c>
      <c r="H225" s="10" t="s">
        <v>63</v>
      </c>
      <c r="I225" s="9">
        <v>1</v>
      </c>
      <c r="J225" s="9">
        <v>0.30516008300765002</v>
      </c>
      <c r="K225" s="10" t="s">
        <v>51</v>
      </c>
      <c r="L225" s="9">
        <v>3</v>
      </c>
      <c r="M225" s="9">
        <v>186</v>
      </c>
      <c r="N225" s="9">
        <v>186</v>
      </c>
      <c r="O225" s="9">
        <v>35</v>
      </c>
      <c r="P225" s="9">
        <v>185.82792158299699</v>
      </c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9">
        <v>185.819068041994</v>
      </c>
      <c r="AC225" s="9">
        <v>185.82792158299699</v>
      </c>
      <c r="AD225" s="9">
        <v>186.311434916992</v>
      </c>
      <c r="AE225" s="9">
        <v>186.311434916992</v>
      </c>
      <c r="AF225" s="9">
        <v>186.311434916992</v>
      </c>
      <c r="AG225" s="9">
        <v>186.61868041699901</v>
      </c>
      <c r="AH225" s="10" t="s">
        <v>63</v>
      </c>
      <c r="AI225" s="9">
        <v>1</v>
      </c>
      <c r="AJ225" s="9">
        <v>0.30516008300765002</v>
      </c>
      <c r="AK225" s="10" t="s">
        <v>51</v>
      </c>
      <c r="AL225" s="8"/>
      <c r="AM225" s="8"/>
      <c r="AN225" s="8"/>
      <c r="AO225" s="8"/>
      <c r="AP225" s="9">
        <v>4</v>
      </c>
      <c r="AQ225" s="9">
        <v>1</v>
      </c>
      <c r="AR225" s="10" t="s">
        <v>98</v>
      </c>
      <c r="AS225" s="10" t="s">
        <v>53</v>
      </c>
      <c r="AT225" s="8"/>
      <c r="AU225" s="10" t="s">
        <v>54</v>
      </c>
      <c r="AV225" s="10" t="s">
        <v>51</v>
      </c>
      <c r="AW225" s="10" t="s">
        <v>99</v>
      </c>
      <c r="AX225" s="8"/>
    </row>
    <row r="226" spans="1:50" x14ac:dyDescent="0.15">
      <c r="A226" s="11" t="s">
        <v>82</v>
      </c>
      <c r="B226" s="12" t="s">
        <v>67</v>
      </c>
      <c r="C226" s="10" t="s">
        <v>58</v>
      </c>
      <c r="D226" s="10" t="s">
        <v>59</v>
      </c>
      <c r="E226" s="9">
        <v>190</v>
      </c>
      <c r="F226" s="9">
        <v>190</v>
      </c>
      <c r="G226" s="9">
        <v>3</v>
      </c>
      <c r="H226" s="10" t="s">
        <v>59</v>
      </c>
      <c r="I226" s="9">
        <v>1</v>
      </c>
      <c r="J226" s="9">
        <v>0.298196250005276</v>
      </c>
      <c r="K226" s="10" t="s">
        <v>51</v>
      </c>
      <c r="L226" s="9">
        <v>3</v>
      </c>
      <c r="M226" s="9">
        <v>190</v>
      </c>
      <c r="N226" s="9">
        <v>190</v>
      </c>
      <c r="O226" s="9">
        <v>36</v>
      </c>
      <c r="P226" s="9">
        <v>189.08313504199</v>
      </c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9">
        <v>189.07374479199601</v>
      </c>
      <c r="AC226" s="9">
        <v>189.08313504199</v>
      </c>
      <c r="AD226" s="9">
        <v>189.57130870799301</v>
      </c>
      <c r="AE226" s="9">
        <v>189.57130870799301</v>
      </c>
      <c r="AF226" s="9">
        <v>189.57130870799301</v>
      </c>
      <c r="AG226" s="9">
        <v>189.88002462498801</v>
      </c>
      <c r="AH226" s="10" t="s">
        <v>59</v>
      </c>
      <c r="AI226" s="9">
        <v>1</v>
      </c>
      <c r="AJ226" s="9">
        <v>0.298196250005276</v>
      </c>
      <c r="AK226" s="10" t="s">
        <v>51</v>
      </c>
      <c r="AL226" s="8"/>
      <c r="AM226" s="8"/>
      <c r="AN226" s="8"/>
      <c r="AO226" s="8"/>
      <c r="AP226" s="9">
        <v>4</v>
      </c>
      <c r="AQ226" s="9">
        <v>1</v>
      </c>
      <c r="AR226" s="10" t="s">
        <v>98</v>
      </c>
      <c r="AS226" s="10" t="s">
        <v>53</v>
      </c>
      <c r="AT226" s="8"/>
      <c r="AU226" s="10" t="s">
        <v>54</v>
      </c>
      <c r="AV226" s="10" t="s">
        <v>51</v>
      </c>
      <c r="AW226" s="10" t="s">
        <v>99</v>
      </c>
      <c r="AX226" s="8"/>
    </row>
    <row r="227" spans="1:50" x14ac:dyDescent="0.15">
      <c r="A227" s="11" t="s">
        <v>81</v>
      </c>
      <c r="B227" s="12" t="s">
        <v>67</v>
      </c>
      <c r="C227" s="10" t="s">
        <v>58</v>
      </c>
      <c r="D227" s="10" t="s">
        <v>59</v>
      </c>
      <c r="E227" s="9">
        <v>191</v>
      </c>
      <c r="F227" s="9">
        <v>191</v>
      </c>
      <c r="G227" s="9">
        <v>4</v>
      </c>
      <c r="H227" s="10" t="s">
        <v>59</v>
      </c>
      <c r="I227" s="9">
        <v>1</v>
      </c>
      <c r="J227" s="9">
        <v>0.31444149999879301</v>
      </c>
      <c r="K227" s="10" t="s">
        <v>51</v>
      </c>
      <c r="L227" s="9">
        <v>4</v>
      </c>
      <c r="M227" s="9">
        <v>191</v>
      </c>
      <c r="N227" s="9">
        <v>191</v>
      </c>
      <c r="O227" s="9">
        <v>44</v>
      </c>
      <c r="P227" s="9">
        <v>189.89306116699299</v>
      </c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9">
        <v>189.88382208299299</v>
      </c>
      <c r="AC227" s="9">
        <v>189.89306116699299</v>
      </c>
      <c r="AD227" s="9">
        <v>190.37837945799399</v>
      </c>
      <c r="AE227" s="9">
        <v>190.37837945799399</v>
      </c>
      <c r="AF227" s="9">
        <v>190.37837945799399</v>
      </c>
      <c r="AG227" s="9">
        <v>190.696666499993</v>
      </c>
      <c r="AH227" s="10" t="s">
        <v>59</v>
      </c>
      <c r="AI227" s="9">
        <v>1</v>
      </c>
      <c r="AJ227" s="9">
        <v>0.31444149999879301</v>
      </c>
      <c r="AK227" s="10" t="s">
        <v>51</v>
      </c>
      <c r="AL227" s="8"/>
      <c r="AM227" s="8"/>
      <c r="AN227" s="8"/>
      <c r="AO227" s="8"/>
      <c r="AP227" s="9">
        <v>4</v>
      </c>
      <c r="AQ227" s="9">
        <v>1</v>
      </c>
      <c r="AR227" s="10" t="s">
        <v>98</v>
      </c>
      <c r="AS227" s="10" t="s">
        <v>53</v>
      </c>
      <c r="AT227" s="8"/>
      <c r="AU227" s="10" t="s">
        <v>54</v>
      </c>
      <c r="AV227" s="10" t="s">
        <v>51</v>
      </c>
      <c r="AW227" s="10" t="s">
        <v>99</v>
      </c>
      <c r="AX227" s="8"/>
    </row>
    <row r="228" spans="1:50" x14ac:dyDescent="0.15">
      <c r="A228" s="11" t="s">
        <v>77</v>
      </c>
      <c r="B228" s="12" t="s">
        <v>67</v>
      </c>
      <c r="C228" s="10" t="s">
        <v>62</v>
      </c>
      <c r="D228" s="10" t="s">
        <v>63</v>
      </c>
      <c r="E228" s="9">
        <v>192</v>
      </c>
      <c r="F228" s="9">
        <v>192</v>
      </c>
      <c r="G228" s="9">
        <v>3</v>
      </c>
      <c r="H228" s="10" t="s">
        <v>63</v>
      </c>
      <c r="I228" s="9">
        <v>1</v>
      </c>
      <c r="J228" s="9">
        <v>0.42880791700736198</v>
      </c>
      <c r="K228" s="10" t="s">
        <v>51</v>
      </c>
      <c r="L228" s="9">
        <v>3</v>
      </c>
      <c r="M228" s="9">
        <v>192</v>
      </c>
      <c r="N228" s="9">
        <v>192</v>
      </c>
      <c r="O228" s="9">
        <v>41</v>
      </c>
      <c r="P228" s="9">
        <v>190.71064999999399</v>
      </c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9">
        <v>190.70150795798699</v>
      </c>
      <c r="AC228" s="9">
        <v>190.71064999999399</v>
      </c>
      <c r="AD228" s="9">
        <v>191.19485999998901</v>
      </c>
      <c r="AE228" s="9">
        <v>191.19485999998901</v>
      </c>
      <c r="AF228" s="9">
        <v>191.19485999998901</v>
      </c>
      <c r="AG228" s="9">
        <v>191.630120666989</v>
      </c>
      <c r="AH228" s="10" t="s">
        <v>63</v>
      </c>
      <c r="AI228" s="9">
        <v>1</v>
      </c>
      <c r="AJ228" s="9">
        <v>0.42880791700736198</v>
      </c>
      <c r="AK228" s="10" t="s">
        <v>51</v>
      </c>
      <c r="AL228" s="8"/>
      <c r="AM228" s="8"/>
      <c r="AN228" s="8"/>
      <c r="AO228" s="8"/>
      <c r="AP228" s="9">
        <v>4</v>
      </c>
      <c r="AQ228" s="9">
        <v>1</v>
      </c>
      <c r="AR228" s="10" t="s">
        <v>98</v>
      </c>
      <c r="AS228" s="10" t="s">
        <v>53</v>
      </c>
      <c r="AT228" s="8"/>
      <c r="AU228" s="10" t="s">
        <v>54</v>
      </c>
      <c r="AV228" s="10" t="s">
        <v>51</v>
      </c>
      <c r="AW228" s="10" t="s">
        <v>99</v>
      </c>
      <c r="AX228" s="8"/>
    </row>
    <row r="229" spans="1:50" x14ac:dyDescent="0.15">
      <c r="A229" s="11" t="s">
        <v>66</v>
      </c>
      <c r="B229" s="12" t="s">
        <v>67</v>
      </c>
      <c r="C229" s="10" t="s">
        <v>58</v>
      </c>
      <c r="D229" s="10" t="s">
        <v>59</v>
      </c>
      <c r="E229" s="9">
        <v>195</v>
      </c>
      <c r="F229" s="9">
        <v>195</v>
      </c>
      <c r="G229" s="9">
        <v>4</v>
      </c>
      <c r="H229" s="10" t="s">
        <v>59</v>
      </c>
      <c r="I229" s="9">
        <v>1</v>
      </c>
      <c r="J229" s="9">
        <v>0.30090904100506999</v>
      </c>
      <c r="K229" s="10" t="s">
        <v>51</v>
      </c>
      <c r="L229" s="9">
        <v>4</v>
      </c>
      <c r="M229" s="9">
        <v>195</v>
      </c>
      <c r="N229" s="9">
        <v>195</v>
      </c>
      <c r="O229" s="9">
        <v>46</v>
      </c>
      <c r="P229" s="9">
        <v>193.609597957999</v>
      </c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9">
        <v>193.60058883299601</v>
      </c>
      <c r="AC229" s="9">
        <v>193.609597957999</v>
      </c>
      <c r="AD229" s="9">
        <v>194.09484437499501</v>
      </c>
      <c r="AE229" s="9">
        <v>194.09484437499501</v>
      </c>
      <c r="AF229" s="9">
        <v>194.09484437499501</v>
      </c>
      <c r="AG229" s="9">
        <v>194.40336608298799</v>
      </c>
      <c r="AH229" s="10" t="s">
        <v>59</v>
      </c>
      <c r="AI229" s="9">
        <v>1</v>
      </c>
      <c r="AJ229" s="9">
        <v>0.30090904100506999</v>
      </c>
      <c r="AK229" s="10" t="s">
        <v>51</v>
      </c>
      <c r="AL229" s="8"/>
      <c r="AM229" s="8"/>
      <c r="AN229" s="8"/>
      <c r="AO229" s="8"/>
      <c r="AP229" s="9">
        <v>4</v>
      </c>
      <c r="AQ229" s="9">
        <v>1</v>
      </c>
      <c r="AR229" s="10" t="s">
        <v>98</v>
      </c>
      <c r="AS229" s="10" t="s">
        <v>53</v>
      </c>
      <c r="AT229" s="8"/>
      <c r="AU229" s="10" t="s">
        <v>54</v>
      </c>
      <c r="AV229" s="10" t="s">
        <v>51</v>
      </c>
      <c r="AW229" s="10" t="s">
        <v>99</v>
      </c>
      <c r="AX229" s="8"/>
    </row>
    <row r="230" spans="1:50" x14ac:dyDescent="0.15">
      <c r="A230" s="11" t="s">
        <v>86</v>
      </c>
      <c r="B230" s="12" t="s">
        <v>67</v>
      </c>
      <c r="C230" s="10" t="s">
        <v>58</v>
      </c>
      <c r="D230" s="10" t="s">
        <v>59</v>
      </c>
      <c r="E230" s="9">
        <v>199</v>
      </c>
      <c r="F230" s="9">
        <v>199</v>
      </c>
      <c r="G230" s="9">
        <v>3</v>
      </c>
      <c r="H230" s="10" t="s">
        <v>63</v>
      </c>
      <c r="I230" s="9">
        <v>0</v>
      </c>
      <c r="J230" s="9">
        <v>0.50811512500513401</v>
      </c>
      <c r="K230" s="10" t="s">
        <v>51</v>
      </c>
      <c r="L230" s="9">
        <v>3</v>
      </c>
      <c r="M230" s="9">
        <v>199</v>
      </c>
      <c r="N230" s="9">
        <v>199</v>
      </c>
      <c r="O230" s="9">
        <v>34</v>
      </c>
      <c r="P230" s="9">
        <v>197.277691999989</v>
      </c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9">
        <v>197.26875249999301</v>
      </c>
      <c r="AC230" s="9">
        <v>197.277691999989</v>
      </c>
      <c r="AD230" s="9">
        <v>197.76154479199599</v>
      </c>
      <c r="AE230" s="9">
        <v>197.76154479199599</v>
      </c>
      <c r="AF230" s="9">
        <v>197.76154479199599</v>
      </c>
      <c r="AG230" s="9">
        <v>198.28044820799599</v>
      </c>
      <c r="AH230" s="10" t="s">
        <v>63</v>
      </c>
      <c r="AI230" s="9">
        <v>0</v>
      </c>
      <c r="AJ230" s="9">
        <v>0.50811512500513401</v>
      </c>
      <c r="AK230" s="10" t="s">
        <v>51</v>
      </c>
      <c r="AL230" s="8"/>
      <c r="AM230" s="8"/>
      <c r="AN230" s="8"/>
      <c r="AO230" s="8"/>
      <c r="AP230" s="9">
        <v>4</v>
      </c>
      <c r="AQ230" s="9">
        <v>1</v>
      </c>
      <c r="AR230" s="10" t="s">
        <v>98</v>
      </c>
      <c r="AS230" s="10" t="s">
        <v>53</v>
      </c>
      <c r="AT230" s="8"/>
      <c r="AU230" s="10" t="s">
        <v>54</v>
      </c>
      <c r="AV230" s="10" t="s">
        <v>51</v>
      </c>
      <c r="AW230" s="10" t="s">
        <v>99</v>
      </c>
      <c r="AX230" s="8"/>
    </row>
    <row r="231" spans="1:50" x14ac:dyDescent="0.15">
      <c r="A231" s="11" t="s">
        <v>80</v>
      </c>
      <c r="B231" s="12" t="s">
        <v>67</v>
      </c>
      <c r="C231" s="10" t="s">
        <v>62</v>
      </c>
      <c r="D231" s="10" t="s">
        <v>63</v>
      </c>
      <c r="E231" s="9">
        <v>203</v>
      </c>
      <c r="F231" s="9">
        <v>203</v>
      </c>
      <c r="G231" s="9">
        <v>4</v>
      </c>
      <c r="H231" s="10" t="s">
        <v>63</v>
      </c>
      <c r="I231" s="9">
        <v>1</v>
      </c>
      <c r="J231" s="9">
        <v>1.34901770799479</v>
      </c>
      <c r="K231" s="10" t="s">
        <v>51</v>
      </c>
      <c r="L231" s="9">
        <v>4</v>
      </c>
      <c r="M231" s="9">
        <v>203</v>
      </c>
      <c r="N231" s="9">
        <v>203</v>
      </c>
      <c r="O231" s="9">
        <v>33</v>
      </c>
      <c r="P231" s="9">
        <v>201.67909920799099</v>
      </c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9">
        <v>201.66968129199799</v>
      </c>
      <c r="AC231" s="9">
        <v>201.67909920799099</v>
      </c>
      <c r="AD231" s="9">
        <v>202.16193954199801</v>
      </c>
      <c r="AE231" s="9">
        <v>202.16193954199801</v>
      </c>
      <c r="AF231" s="9">
        <v>202.16193954199801</v>
      </c>
      <c r="AG231" s="9">
        <v>203.51378658298901</v>
      </c>
      <c r="AH231" s="10" t="s">
        <v>63</v>
      </c>
      <c r="AI231" s="9">
        <v>1</v>
      </c>
      <c r="AJ231" s="9">
        <v>1.34901770799479</v>
      </c>
      <c r="AK231" s="10" t="s">
        <v>51</v>
      </c>
      <c r="AL231" s="8"/>
      <c r="AM231" s="8"/>
      <c r="AN231" s="8"/>
      <c r="AO231" s="8"/>
      <c r="AP231" s="9">
        <v>4</v>
      </c>
      <c r="AQ231" s="9">
        <v>1</v>
      </c>
      <c r="AR231" s="10" t="s">
        <v>98</v>
      </c>
      <c r="AS231" s="10" t="s">
        <v>53</v>
      </c>
      <c r="AT231" s="8"/>
      <c r="AU231" s="10" t="s">
        <v>54</v>
      </c>
      <c r="AV231" s="10" t="s">
        <v>51</v>
      </c>
      <c r="AW231" s="10" t="s">
        <v>99</v>
      </c>
      <c r="AX231" s="8"/>
    </row>
    <row r="232" spans="1:50" x14ac:dyDescent="0.15">
      <c r="A232" s="11" t="s">
        <v>82</v>
      </c>
      <c r="B232" s="12" t="s">
        <v>67</v>
      </c>
      <c r="C232" s="10" t="s">
        <v>58</v>
      </c>
      <c r="D232" s="10" t="s">
        <v>59</v>
      </c>
      <c r="E232" s="9">
        <v>208</v>
      </c>
      <c r="F232" s="9">
        <v>208</v>
      </c>
      <c r="G232" s="9">
        <v>4</v>
      </c>
      <c r="H232" s="10" t="s">
        <v>59</v>
      </c>
      <c r="I232" s="9">
        <v>1</v>
      </c>
      <c r="J232" s="9">
        <v>0.44252154100104202</v>
      </c>
      <c r="K232" s="10" t="s">
        <v>51</v>
      </c>
      <c r="L232" s="9">
        <v>4</v>
      </c>
      <c r="M232" s="9">
        <v>208</v>
      </c>
      <c r="N232" s="9">
        <v>208</v>
      </c>
      <c r="O232" s="9">
        <v>36</v>
      </c>
      <c r="P232" s="9">
        <v>207.43362208300101</v>
      </c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9">
        <v>207.42442795798701</v>
      </c>
      <c r="AC232" s="9">
        <v>207.43362208300101</v>
      </c>
      <c r="AD232" s="9">
        <v>207.92134437499001</v>
      </c>
      <c r="AE232" s="9">
        <v>207.92134437499001</v>
      </c>
      <c r="AF232" s="9">
        <v>207.92134437499001</v>
      </c>
      <c r="AG232" s="9">
        <v>208.36980616700001</v>
      </c>
      <c r="AH232" s="10" t="s">
        <v>59</v>
      </c>
      <c r="AI232" s="9">
        <v>1</v>
      </c>
      <c r="AJ232" s="9">
        <v>0.44252154100104202</v>
      </c>
      <c r="AK232" s="10" t="s">
        <v>51</v>
      </c>
      <c r="AL232" s="8"/>
      <c r="AM232" s="8"/>
      <c r="AN232" s="8"/>
      <c r="AO232" s="8"/>
      <c r="AP232" s="9">
        <v>4</v>
      </c>
      <c r="AQ232" s="9">
        <v>1</v>
      </c>
      <c r="AR232" s="10" t="s">
        <v>98</v>
      </c>
      <c r="AS232" s="10" t="s">
        <v>53</v>
      </c>
      <c r="AT232" s="8"/>
      <c r="AU232" s="10" t="s">
        <v>54</v>
      </c>
      <c r="AV232" s="10" t="s">
        <v>51</v>
      </c>
      <c r="AW232" s="10" t="s">
        <v>99</v>
      </c>
      <c r="AX232" s="8"/>
    </row>
    <row r="233" spans="1:50" x14ac:dyDescent="0.15">
      <c r="A233" s="11" t="s">
        <v>76</v>
      </c>
      <c r="B233" s="12" t="s">
        <v>67</v>
      </c>
      <c r="C233" s="10" t="s">
        <v>62</v>
      </c>
      <c r="D233" s="10" t="s">
        <v>63</v>
      </c>
      <c r="E233" s="9">
        <v>210</v>
      </c>
      <c r="F233" s="9">
        <v>210</v>
      </c>
      <c r="G233" s="9">
        <v>2</v>
      </c>
      <c r="H233" s="10" t="s">
        <v>63</v>
      </c>
      <c r="I233" s="9">
        <v>1</v>
      </c>
      <c r="J233" s="9">
        <v>0.33591416598937901</v>
      </c>
      <c r="K233" s="10" t="s">
        <v>51</v>
      </c>
      <c r="L233" s="9">
        <v>2</v>
      </c>
      <c r="M233" s="9">
        <v>210</v>
      </c>
      <c r="N233" s="9">
        <v>210</v>
      </c>
      <c r="O233" s="9">
        <v>43</v>
      </c>
      <c r="P233" s="9">
        <v>209.32798416700101</v>
      </c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9">
        <v>209.318964249993</v>
      </c>
      <c r="AC233" s="9">
        <v>209.32798416700101</v>
      </c>
      <c r="AD233" s="9">
        <v>209.81197370799799</v>
      </c>
      <c r="AE233" s="9">
        <v>209.81197370799799</v>
      </c>
      <c r="AF233" s="9">
        <v>209.81197370799799</v>
      </c>
      <c r="AG233" s="9">
        <v>210.15429037499399</v>
      </c>
      <c r="AH233" s="10" t="s">
        <v>63</v>
      </c>
      <c r="AI233" s="9">
        <v>1</v>
      </c>
      <c r="AJ233" s="9">
        <v>0.33591416598937901</v>
      </c>
      <c r="AK233" s="10" t="s">
        <v>51</v>
      </c>
      <c r="AL233" s="8"/>
      <c r="AM233" s="8"/>
      <c r="AN233" s="8"/>
      <c r="AO233" s="8"/>
      <c r="AP233" s="9">
        <v>4</v>
      </c>
      <c r="AQ233" s="9">
        <v>1</v>
      </c>
      <c r="AR233" s="10" t="s">
        <v>98</v>
      </c>
      <c r="AS233" s="10" t="s">
        <v>53</v>
      </c>
      <c r="AT233" s="8"/>
      <c r="AU233" s="10" t="s">
        <v>54</v>
      </c>
      <c r="AV233" s="10" t="s">
        <v>51</v>
      </c>
      <c r="AW233" s="10" t="s">
        <v>99</v>
      </c>
      <c r="AX233" s="8"/>
    </row>
    <row r="234" spans="1:50" x14ac:dyDescent="0.15">
      <c r="A234" s="11" t="s">
        <v>77</v>
      </c>
      <c r="B234" s="12" t="s">
        <v>67</v>
      </c>
      <c r="C234" s="10" t="s">
        <v>62</v>
      </c>
      <c r="D234" s="10" t="s">
        <v>63</v>
      </c>
      <c r="E234" s="9">
        <v>218</v>
      </c>
      <c r="F234" s="9">
        <v>218</v>
      </c>
      <c r="G234" s="9">
        <v>4</v>
      </c>
      <c r="H234" s="10" t="s">
        <v>63</v>
      </c>
      <c r="I234" s="9">
        <v>1</v>
      </c>
      <c r="J234" s="9">
        <v>0.49155291599163298</v>
      </c>
      <c r="K234" s="10" t="s">
        <v>51</v>
      </c>
      <c r="L234" s="9">
        <v>4</v>
      </c>
      <c r="M234" s="9">
        <v>218</v>
      </c>
      <c r="N234" s="9">
        <v>218</v>
      </c>
      <c r="O234" s="9">
        <v>41</v>
      </c>
      <c r="P234" s="9">
        <v>216.878901624994</v>
      </c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9">
        <v>216.86981533298999</v>
      </c>
      <c r="AC234" s="9">
        <v>216.878901624994</v>
      </c>
      <c r="AD234" s="9">
        <v>217.36245620799301</v>
      </c>
      <c r="AE234" s="9">
        <v>217.36245620799301</v>
      </c>
      <c r="AF234" s="9">
        <v>217.36245620799301</v>
      </c>
      <c r="AG234" s="9">
        <v>217.86441837500001</v>
      </c>
      <c r="AH234" s="10" t="s">
        <v>63</v>
      </c>
      <c r="AI234" s="9">
        <v>1</v>
      </c>
      <c r="AJ234" s="9">
        <v>0.49155291599163298</v>
      </c>
      <c r="AK234" s="10" t="s">
        <v>51</v>
      </c>
      <c r="AL234" s="8"/>
      <c r="AM234" s="8"/>
      <c r="AN234" s="8"/>
      <c r="AO234" s="8"/>
      <c r="AP234" s="9">
        <v>4</v>
      </c>
      <c r="AQ234" s="9">
        <v>1</v>
      </c>
      <c r="AR234" s="10" t="s">
        <v>98</v>
      </c>
      <c r="AS234" s="10" t="s">
        <v>53</v>
      </c>
      <c r="AT234" s="8"/>
      <c r="AU234" s="10" t="s">
        <v>54</v>
      </c>
      <c r="AV234" s="10" t="s">
        <v>51</v>
      </c>
      <c r="AW234" s="10" t="s">
        <v>99</v>
      </c>
      <c r="AX234" s="8"/>
    </row>
    <row r="235" spans="1:50" x14ac:dyDescent="0.15">
      <c r="A235" s="11" t="s">
        <v>69</v>
      </c>
      <c r="B235" s="12" t="s">
        <v>67</v>
      </c>
      <c r="C235" s="10" t="s">
        <v>62</v>
      </c>
      <c r="D235" s="10" t="s">
        <v>63</v>
      </c>
      <c r="E235" s="9">
        <v>219</v>
      </c>
      <c r="F235" s="9">
        <v>219</v>
      </c>
      <c r="G235" s="9">
        <v>3</v>
      </c>
      <c r="H235" s="10" t="s">
        <v>63</v>
      </c>
      <c r="I235" s="9">
        <v>1</v>
      </c>
      <c r="J235" s="9">
        <v>0.371769457997289</v>
      </c>
      <c r="K235" s="10" t="s">
        <v>51</v>
      </c>
      <c r="L235" s="9">
        <v>3</v>
      </c>
      <c r="M235" s="9">
        <v>219</v>
      </c>
      <c r="N235" s="9">
        <v>219</v>
      </c>
      <c r="O235" s="9">
        <v>39</v>
      </c>
      <c r="P235" s="9">
        <v>217.878499374987</v>
      </c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9">
        <v>217.86972845799801</v>
      </c>
      <c r="AC235" s="9">
        <v>217.878499374987</v>
      </c>
      <c r="AD235" s="9">
        <v>218.36233133298799</v>
      </c>
      <c r="AE235" s="9">
        <v>218.36233133298799</v>
      </c>
      <c r="AF235" s="9">
        <v>218.36233133298799</v>
      </c>
      <c r="AG235" s="9">
        <v>218.73697149999501</v>
      </c>
      <c r="AH235" s="10" t="s">
        <v>63</v>
      </c>
      <c r="AI235" s="9">
        <v>1</v>
      </c>
      <c r="AJ235" s="9">
        <v>0.371769457997289</v>
      </c>
      <c r="AK235" s="10" t="s">
        <v>51</v>
      </c>
      <c r="AL235" s="8"/>
      <c r="AM235" s="8"/>
      <c r="AN235" s="8"/>
      <c r="AO235" s="8"/>
      <c r="AP235" s="9">
        <v>4</v>
      </c>
      <c r="AQ235" s="9">
        <v>1</v>
      </c>
      <c r="AR235" s="10" t="s">
        <v>98</v>
      </c>
      <c r="AS235" s="10" t="s">
        <v>53</v>
      </c>
      <c r="AT235" s="8"/>
      <c r="AU235" s="10" t="s">
        <v>54</v>
      </c>
      <c r="AV235" s="10" t="s">
        <v>51</v>
      </c>
      <c r="AW235" s="10" t="s">
        <v>99</v>
      </c>
      <c r="AX235" s="8"/>
    </row>
    <row r="236" spans="1:50" x14ac:dyDescent="0.15">
      <c r="A236" s="11" t="s">
        <v>76</v>
      </c>
      <c r="B236" s="12" t="s">
        <v>67</v>
      </c>
      <c r="C236" s="10" t="s">
        <v>62</v>
      </c>
      <c r="D236" s="10" t="s">
        <v>63</v>
      </c>
      <c r="E236" s="9">
        <v>220</v>
      </c>
      <c r="F236" s="9">
        <v>220</v>
      </c>
      <c r="G236" s="9">
        <v>3</v>
      </c>
      <c r="H236" s="10" t="s">
        <v>63</v>
      </c>
      <c r="I236" s="9">
        <v>1</v>
      </c>
      <c r="J236" s="9">
        <v>0.32898449999629498</v>
      </c>
      <c r="K236" s="10" t="s">
        <v>51</v>
      </c>
      <c r="L236" s="9">
        <v>3</v>
      </c>
      <c r="M236" s="9">
        <v>220</v>
      </c>
      <c r="N236" s="9">
        <v>220</v>
      </c>
      <c r="O236" s="9">
        <v>43</v>
      </c>
      <c r="P236" s="9">
        <v>218.75165749998999</v>
      </c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9">
        <v>218.74174449998799</v>
      </c>
      <c r="AC236" s="9">
        <v>218.75165749998999</v>
      </c>
      <c r="AD236" s="9">
        <v>219.238077457994</v>
      </c>
      <c r="AE236" s="9">
        <v>219.238077457994</v>
      </c>
      <c r="AF236" s="9">
        <v>219.238077457994</v>
      </c>
      <c r="AG236" s="9">
        <v>219.57073216699101</v>
      </c>
      <c r="AH236" s="10" t="s">
        <v>63</v>
      </c>
      <c r="AI236" s="9">
        <v>1</v>
      </c>
      <c r="AJ236" s="9">
        <v>0.32898449999629498</v>
      </c>
      <c r="AK236" s="10" t="s">
        <v>51</v>
      </c>
      <c r="AL236" s="8"/>
      <c r="AM236" s="8"/>
      <c r="AN236" s="8"/>
      <c r="AO236" s="8"/>
      <c r="AP236" s="9">
        <v>4</v>
      </c>
      <c r="AQ236" s="9">
        <v>1</v>
      </c>
      <c r="AR236" s="10" t="s">
        <v>98</v>
      </c>
      <c r="AS236" s="10" t="s">
        <v>53</v>
      </c>
      <c r="AT236" s="8"/>
      <c r="AU236" s="10" t="s">
        <v>54</v>
      </c>
      <c r="AV236" s="10" t="s">
        <v>51</v>
      </c>
      <c r="AW236" s="10" t="s">
        <v>99</v>
      </c>
      <c r="AX236" s="8"/>
    </row>
    <row r="237" spans="1:50" x14ac:dyDescent="0.15">
      <c r="A237" s="11" t="s">
        <v>66</v>
      </c>
      <c r="B237" s="12" t="s">
        <v>67</v>
      </c>
      <c r="C237" s="10" t="s">
        <v>62</v>
      </c>
      <c r="D237" s="10" t="s">
        <v>63</v>
      </c>
      <c r="E237" s="9">
        <v>221</v>
      </c>
      <c r="F237" s="9">
        <v>221</v>
      </c>
      <c r="G237" s="9">
        <v>4</v>
      </c>
      <c r="H237" s="10" t="s">
        <v>63</v>
      </c>
      <c r="I237" s="9">
        <v>1</v>
      </c>
      <c r="J237" s="9">
        <v>0.34716466600366402</v>
      </c>
      <c r="K237" s="10" t="s">
        <v>51</v>
      </c>
      <c r="L237" s="9">
        <v>4</v>
      </c>
      <c r="M237" s="9">
        <v>221</v>
      </c>
      <c r="N237" s="9">
        <v>221</v>
      </c>
      <c r="O237" s="9">
        <v>47</v>
      </c>
      <c r="P237" s="9">
        <v>219.584612624996</v>
      </c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9">
        <v>219.57489987499099</v>
      </c>
      <c r="AC237" s="9">
        <v>219.584612624996</v>
      </c>
      <c r="AD237" s="9">
        <v>220.071882082993</v>
      </c>
      <c r="AE237" s="9">
        <v>220.071882082993</v>
      </c>
      <c r="AF237" s="9">
        <v>220.071882082993</v>
      </c>
      <c r="AG237" s="9">
        <v>220.420578749996</v>
      </c>
      <c r="AH237" s="10" t="s">
        <v>63</v>
      </c>
      <c r="AI237" s="9">
        <v>1</v>
      </c>
      <c r="AJ237" s="9">
        <v>0.34716466600366402</v>
      </c>
      <c r="AK237" s="10" t="s">
        <v>51</v>
      </c>
      <c r="AL237" s="8"/>
      <c r="AM237" s="8"/>
      <c r="AN237" s="8"/>
      <c r="AO237" s="8"/>
      <c r="AP237" s="9">
        <v>4</v>
      </c>
      <c r="AQ237" s="9">
        <v>1</v>
      </c>
      <c r="AR237" s="10" t="s">
        <v>98</v>
      </c>
      <c r="AS237" s="10" t="s">
        <v>53</v>
      </c>
      <c r="AT237" s="8"/>
      <c r="AU237" s="10" t="s">
        <v>54</v>
      </c>
      <c r="AV237" s="10" t="s">
        <v>51</v>
      </c>
      <c r="AW237" s="10" t="s">
        <v>99</v>
      </c>
      <c r="AX237" s="8"/>
    </row>
    <row r="238" spans="1:50" x14ac:dyDescent="0.15">
      <c r="A238" s="11" t="s">
        <v>86</v>
      </c>
      <c r="B238" s="12" t="s">
        <v>67</v>
      </c>
      <c r="C238" s="10" t="s">
        <v>62</v>
      </c>
      <c r="D238" s="10" t="s">
        <v>63</v>
      </c>
      <c r="E238" s="9">
        <v>227</v>
      </c>
      <c r="F238" s="9">
        <v>227</v>
      </c>
      <c r="G238" s="9">
        <v>4</v>
      </c>
      <c r="H238" s="10" t="s">
        <v>63</v>
      </c>
      <c r="I238" s="9">
        <v>1</v>
      </c>
      <c r="J238" s="9">
        <v>0.535952791993623</v>
      </c>
      <c r="K238" s="10" t="s">
        <v>51</v>
      </c>
      <c r="L238" s="9">
        <v>4</v>
      </c>
      <c r="M238" s="9">
        <v>227</v>
      </c>
      <c r="N238" s="9">
        <v>227</v>
      </c>
      <c r="O238" s="9">
        <v>35</v>
      </c>
      <c r="P238" s="9">
        <v>226.49560504200099</v>
      </c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9">
        <v>226.48673537498701</v>
      </c>
      <c r="AC238" s="9">
        <v>226.49560504200099</v>
      </c>
      <c r="AD238" s="9">
        <v>226.97923562499599</v>
      </c>
      <c r="AE238" s="9">
        <v>226.97923562499599</v>
      </c>
      <c r="AF238" s="9">
        <v>226.97923562499599</v>
      </c>
      <c r="AG238" s="9">
        <v>227.52052370799399</v>
      </c>
      <c r="AH238" s="10" t="s">
        <v>63</v>
      </c>
      <c r="AI238" s="9">
        <v>1</v>
      </c>
      <c r="AJ238" s="9">
        <v>0.535952791993623</v>
      </c>
      <c r="AK238" s="10" t="s">
        <v>51</v>
      </c>
      <c r="AL238" s="8"/>
      <c r="AM238" s="8"/>
      <c r="AN238" s="8"/>
      <c r="AO238" s="8"/>
      <c r="AP238" s="9">
        <v>4</v>
      </c>
      <c r="AQ238" s="9">
        <v>1</v>
      </c>
      <c r="AR238" s="10" t="s">
        <v>98</v>
      </c>
      <c r="AS238" s="10" t="s">
        <v>53</v>
      </c>
      <c r="AT238" s="8"/>
      <c r="AU238" s="10" t="s">
        <v>54</v>
      </c>
      <c r="AV238" s="10" t="s">
        <v>51</v>
      </c>
      <c r="AW238" s="10" t="s">
        <v>99</v>
      </c>
      <c r="AX238" s="8"/>
    </row>
    <row r="239" spans="1:50" x14ac:dyDescent="0.15">
      <c r="A239" s="11" t="s">
        <v>86</v>
      </c>
      <c r="B239" s="12" t="s">
        <v>67</v>
      </c>
      <c r="C239" s="10" t="s">
        <v>58</v>
      </c>
      <c r="D239" s="10" t="s">
        <v>59</v>
      </c>
      <c r="E239" s="9">
        <v>228</v>
      </c>
      <c r="F239" s="9">
        <v>228</v>
      </c>
      <c r="G239" s="9">
        <v>4</v>
      </c>
      <c r="H239" s="10" t="s">
        <v>59</v>
      </c>
      <c r="I239" s="9">
        <v>1</v>
      </c>
      <c r="J239" s="9">
        <v>0.38742449900018999</v>
      </c>
      <c r="K239" s="10" t="s">
        <v>51</v>
      </c>
      <c r="L239" s="9">
        <v>4</v>
      </c>
      <c r="M239" s="9">
        <v>228</v>
      </c>
      <c r="N239" s="9">
        <v>228</v>
      </c>
      <c r="O239" s="9">
        <v>34</v>
      </c>
      <c r="P239" s="9">
        <v>227.531457624995</v>
      </c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9">
        <v>227.52166879198899</v>
      </c>
      <c r="AC239" s="9">
        <v>227.531457624995</v>
      </c>
      <c r="AD239" s="9">
        <v>228.020809291993</v>
      </c>
      <c r="AE239" s="9">
        <v>228.020809291993</v>
      </c>
      <c r="AF239" s="9">
        <v>228.020809291993</v>
      </c>
      <c r="AG239" s="9">
        <v>228.41477991698801</v>
      </c>
      <c r="AH239" s="10" t="s">
        <v>59</v>
      </c>
      <c r="AI239" s="9">
        <v>1</v>
      </c>
      <c r="AJ239" s="9">
        <v>0.38742449900018999</v>
      </c>
      <c r="AK239" s="10" t="s">
        <v>51</v>
      </c>
      <c r="AL239" s="8"/>
      <c r="AM239" s="8"/>
      <c r="AN239" s="8"/>
      <c r="AO239" s="8"/>
      <c r="AP239" s="9">
        <v>4</v>
      </c>
      <c r="AQ239" s="9">
        <v>1</v>
      </c>
      <c r="AR239" s="10" t="s">
        <v>98</v>
      </c>
      <c r="AS239" s="10" t="s">
        <v>53</v>
      </c>
      <c r="AT239" s="8"/>
      <c r="AU239" s="10" t="s">
        <v>54</v>
      </c>
      <c r="AV239" s="10" t="s">
        <v>51</v>
      </c>
      <c r="AW239" s="10" t="s">
        <v>99</v>
      </c>
      <c r="AX239" s="8"/>
    </row>
    <row r="240" spans="1:50" x14ac:dyDescent="0.15">
      <c r="A240" s="11" t="s">
        <v>69</v>
      </c>
      <c r="B240" s="12" t="s">
        <v>67</v>
      </c>
      <c r="C240" s="10" t="s">
        <v>62</v>
      </c>
      <c r="D240" s="10" t="s">
        <v>63</v>
      </c>
      <c r="E240" s="9">
        <v>235</v>
      </c>
      <c r="F240" s="9">
        <v>235</v>
      </c>
      <c r="G240" s="9">
        <v>4</v>
      </c>
      <c r="H240" s="10" t="s">
        <v>63</v>
      </c>
      <c r="I240" s="9">
        <v>1</v>
      </c>
      <c r="J240" s="9">
        <v>0.35091987499617999</v>
      </c>
      <c r="K240" s="10" t="s">
        <v>51</v>
      </c>
      <c r="L240" s="9">
        <v>4</v>
      </c>
      <c r="M240" s="9">
        <v>235</v>
      </c>
      <c r="N240" s="9">
        <v>235</v>
      </c>
      <c r="O240" s="9">
        <v>39</v>
      </c>
      <c r="P240" s="9">
        <v>235.196145791997</v>
      </c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9">
        <v>235.18737929199401</v>
      </c>
      <c r="AC240" s="9">
        <v>235.196145791997</v>
      </c>
      <c r="AD240" s="9">
        <v>235.67947991698699</v>
      </c>
      <c r="AE240" s="9">
        <v>235.67947991698699</v>
      </c>
      <c r="AF240" s="9">
        <v>235.67947991698699</v>
      </c>
      <c r="AG240" s="9">
        <v>236.03776574999199</v>
      </c>
      <c r="AH240" s="10" t="s">
        <v>63</v>
      </c>
      <c r="AI240" s="9">
        <v>1</v>
      </c>
      <c r="AJ240" s="9">
        <v>0.35091987499617999</v>
      </c>
      <c r="AK240" s="10" t="s">
        <v>51</v>
      </c>
      <c r="AL240" s="8"/>
      <c r="AM240" s="8"/>
      <c r="AN240" s="8"/>
      <c r="AO240" s="8"/>
      <c r="AP240" s="9">
        <v>4</v>
      </c>
      <c r="AQ240" s="9">
        <v>1</v>
      </c>
      <c r="AR240" s="10" t="s">
        <v>98</v>
      </c>
      <c r="AS240" s="10" t="s">
        <v>53</v>
      </c>
      <c r="AT240" s="8"/>
      <c r="AU240" s="10" t="s">
        <v>54</v>
      </c>
      <c r="AV240" s="10" t="s">
        <v>51</v>
      </c>
      <c r="AW240" s="10" t="s">
        <v>99</v>
      </c>
      <c r="AX240" s="8"/>
    </row>
    <row r="241" spans="1:50" x14ac:dyDescent="0.15">
      <c r="A241" s="11" t="s">
        <v>76</v>
      </c>
      <c r="B241" s="12" t="s">
        <v>67</v>
      </c>
      <c r="C241" s="10" t="s">
        <v>62</v>
      </c>
      <c r="D241" s="10" t="s">
        <v>63</v>
      </c>
      <c r="E241" s="9">
        <v>236</v>
      </c>
      <c r="F241" s="9">
        <v>236</v>
      </c>
      <c r="G241" s="9">
        <v>4</v>
      </c>
      <c r="H241" s="10" t="s">
        <v>63</v>
      </c>
      <c r="I241" s="9">
        <v>1</v>
      </c>
      <c r="J241" s="9">
        <v>0.43953066600079199</v>
      </c>
      <c r="K241" s="10" t="s">
        <v>51</v>
      </c>
      <c r="L241" s="9">
        <v>4</v>
      </c>
      <c r="M241" s="9">
        <v>236</v>
      </c>
      <c r="N241" s="9">
        <v>236</v>
      </c>
      <c r="O241" s="9">
        <v>43</v>
      </c>
      <c r="P241" s="9">
        <v>236.05082383299299</v>
      </c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9">
        <v>236.04102570799299</v>
      </c>
      <c r="AC241" s="9">
        <v>236.05082383299299</v>
      </c>
      <c r="AD241" s="9">
        <v>236.538905333</v>
      </c>
      <c r="AE241" s="9">
        <v>236.538905333</v>
      </c>
      <c r="AF241" s="9">
        <v>236.538905333</v>
      </c>
      <c r="AG241" s="9">
        <v>236.981578708001</v>
      </c>
      <c r="AH241" s="10" t="s">
        <v>63</v>
      </c>
      <c r="AI241" s="9">
        <v>1</v>
      </c>
      <c r="AJ241" s="9">
        <v>0.43953066600079199</v>
      </c>
      <c r="AK241" s="10" t="s">
        <v>51</v>
      </c>
      <c r="AL241" s="8"/>
      <c r="AM241" s="8"/>
      <c r="AN241" s="8"/>
      <c r="AO241" s="8"/>
      <c r="AP241" s="9">
        <v>4</v>
      </c>
      <c r="AQ241" s="9">
        <v>1</v>
      </c>
      <c r="AR241" s="10" t="s">
        <v>98</v>
      </c>
      <c r="AS241" s="10" t="s">
        <v>53</v>
      </c>
      <c r="AT241" s="8"/>
      <c r="AU241" s="10" t="s">
        <v>54</v>
      </c>
      <c r="AV241" s="10" t="s">
        <v>51</v>
      </c>
      <c r="AW241" s="10" t="s">
        <v>99</v>
      </c>
      <c r="AX241" s="8"/>
    </row>
    <row r="242" spans="1:50" x14ac:dyDescent="0.15">
      <c r="A242" s="6"/>
      <c r="B242" s="7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9">
        <v>1.3373333000345201E-2</v>
      </c>
      <c r="S242" s="9">
        <v>3.8869124997290803E-2</v>
      </c>
      <c r="T242" s="9">
        <v>3.8869124997290803E-2</v>
      </c>
      <c r="U242" s="9">
        <v>12.886738749992199</v>
      </c>
      <c r="V242" s="10" t="s">
        <v>50</v>
      </c>
      <c r="W242" s="9">
        <v>12.5072517499939</v>
      </c>
      <c r="X242" s="10" t="s">
        <v>51</v>
      </c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9">
        <v>4</v>
      </c>
      <c r="AQ242" s="9">
        <v>1</v>
      </c>
      <c r="AR242" s="10" t="s">
        <v>98</v>
      </c>
      <c r="AS242" s="10" t="s">
        <v>53</v>
      </c>
      <c r="AT242" s="8"/>
      <c r="AU242" s="10" t="s">
        <v>54</v>
      </c>
      <c r="AV242" s="10" t="s">
        <v>51</v>
      </c>
      <c r="AW242" s="10" t="s">
        <v>99</v>
      </c>
      <c r="AX242" s="8"/>
    </row>
    <row r="243" spans="1:50" x14ac:dyDescent="0.15">
      <c r="A243" s="6"/>
      <c r="B243" s="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9">
        <v>12.886783333000499</v>
      </c>
      <c r="Z243" s="9">
        <v>12.903781957997101</v>
      </c>
      <c r="AA243" s="9">
        <v>13.889076874998899</v>
      </c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9">
        <v>4</v>
      </c>
      <c r="AQ243" s="9">
        <v>1</v>
      </c>
      <c r="AR243" s="10" t="s">
        <v>98</v>
      </c>
      <c r="AS243" s="10" t="s">
        <v>53</v>
      </c>
      <c r="AT243" s="8"/>
      <c r="AU243" s="10" t="s">
        <v>54</v>
      </c>
      <c r="AV243" s="10" t="s">
        <v>51</v>
      </c>
      <c r="AW243" s="10" t="s">
        <v>99</v>
      </c>
      <c r="AX243" s="8"/>
    </row>
    <row r="244" spans="1:50" x14ac:dyDescent="0.15">
      <c r="A244" s="6"/>
      <c r="B244" s="7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9">
        <v>240.23255008299</v>
      </c>
      <c r="AM244" s="9">
        <v>240.244295707991</v>
      </c>
      <c r="AN244" s="9">
        <v>242.23694379199901</v>
      </c>
      <c r="AO244" s="9">
        <v>242.23111937499201</v>
      </c>
      <c r="AP244" s="9">
        <v>4</v>
      </c>
      <c r="AQ244" s="9">
        <v>1</v>
      </c>
      <c r="AR244" s="10" t="s">
        <v>98</v>
      </c>
      <c r="AS244" s="10" t="s">
        <v>53</v>
      </c>
      <c r="AT244" s="8"/>
      <c r="AU244" s="10" t="s">
        <v>54</v>
      </c>
      <c r="AV244" s="10" t="s">
        <v>51</v>
      </c>
      <c r="AW244" s="10" t="s">
        <v>99</v>
      </c>
      <c r="AX244" s="8"/>
    </row>
    <row r="248" spans="1:50" ht="14" x14ac:dyDescent="0.15">
      <c r="E248" s="16" t="s">
        <v>87</v>
      </c>
      <c r="H248" s="16" t="s">
        <v>101</v>
      </c>
    </row>
    <row r="249" spans="1:50" ht="14" x14ac:dyDescent="0.15">
      <c r="E249" s="15" t="s">
        <v>88</v>
      </c>
      <c r="F249" s="18">
        <f>AVERAGE(J2:J81)</f>
        <v>0.46930704600017642</v>
      </c>
      <c r="H249" s="15" t="s">
        <v>92</v>
      </c>
      <c r="I249" s="18">
        <f>F249-F250</f>
        <v>4.6684496202408665E-2</v>
      </c>
    </row>
    <row r="250" spans="1:50" ht="14" x14ac:dyDescent="0.15">
      <c r="E250" s="15" t="s">
        <v>89</v>
      </c>
      <c r="F250" s="18">
        <f>AVERAGE(J83:J161)</f>
        <v>0.42262254979776775</v>
      </c>
      <c r="H250" s="15" t="s">
        <v>93</v>
      </c>
      <c r="I250" s="18">
        <f>F249-F251</f>
        <v>4.6076671425908045E-2</v>
      </c>
    </row>
    <row r="251" spans="1:50" ht="14" x14ac:dyDescent="0.15">
      <c r="E251" s="15" t="s">
        <v>90</v>
      </c>
      <c r="F251" s="18">
        <f>AVERAGE(J162:J241)</f>
        <v>0.42323037457426838</v>
      </c>
    </row>
    <row r="255" spans="1:50" ht="14" x14ac:dyDescent="0.15">
      <c r="E255" s="16" t="s">
        <v>114</v>
      </c>
    </row>
    <row r="256" spans="1:50" ht="14" x14ac:dyDescent="0.15">
      <c r="E256" s="19" t="s">
        <v>115</v>
      </c>
      <c r="F256" s="18">
        <f>AVERAGE(I2:I81)*100</f>
        <v>92.5</v>
      </c>
    </row>
    <row r="257" spans="5:6" ht="14" x14ac:dyDescent="0.15">
      <c r="E257" s="15" t="s">
        <v>116</v>
      </c>
      <c r="F257" s="18">
        <f>AVERAGE(I82:I161)*100</f>
        <v>92.5</v>
      </c>
    </row>
    <row r="258" spans="5:6" ht="14" x14ac:dyDescent="0.15">
      <c r="E258" s="15" t="s">
        <v>117</v>
      </c>
      <c r="F258" s="18">
        <f>76/80*100</f>
        <v>95</v>
      </c>
    </row>
  </sheetData>
  <sortState xmlns:xlrd2="http://schemas.microsoft.com/office/spreadsheetml/2017/richdata2" ref="A2:AW244">
    <sortCondition descending="1" ref="B1:B24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642D-D647-8A49-8401-D0AC46B4B16D}">
  <dimension ref="A1:AW258"/>
  <sheetViews>
    <sheetView topLeftCell="A232" workbookViewId="0">
      <selection activeCell="I249" sqref="I249:I250"/>
    </sheetView>
  </sheetViews>
  <sheetFormatPr baseColWidth="10" defaultColWidth="10.83203125" defaultRowHeight="13" x14ac:dyDescent="0.15"/>
  <cols>
    <col min="5" max="5" width="22.83203125" customWidth="1"/>
    <col min="6" max="6" width="11.6640625" bestFit="1" customWidth="1"/>
    <col min="7" max="7" width="10.83203125" customWidth="1"/>
    <col min="8" max="8" width="21.83203125" customWidth="1"/>
    <col min="9" max="9" width="11.6640625" bestFit="1" customWidth="1"/>
  </cols>
  <sheetData>
    <row r="1" spans="1:4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2"/>
    </row>
    <row r="2" spans="1:49" x14ac:dyDescent="0.15">
      <c r="A2" s="13" t="s">
        <v>73</v>
      </c>
      <c r="B2" s="14" t="s">
        <v>61</v>
      </c>
      <c r="C2" s="5" t="s">
        <v>62</v>
      </c>
      <c r="D2" s="5" t="s">
        <v>63</v>
      </c>
      <c r="E2" s="4">
        <v>1</v>
      </c>
      <c r="F2" s="4">
        <v>1</v>
      </c>
      <c r="G2" s="4">
        <v>0</v>
      </c>
      <c r="H2" s="5" t="s">
        <v>63</v>
      </c>
      <c r="I2" s="4">
        <v>1</v>
      </c>
      <c r="J2" s="4">
        <v>0.56785395799670402</v>
      </c>
      <c r="K2" s="5" t="s">
        <v>51</v>
      </c>
      <c r="L2" s="4">
        <v>0</v>
      </c>
      <c r="M2" s="4">
        <v>1</v>
      </c>
      <c r="N2" s="4">
        <v>1</v>
      </c>
      <c r="O2" s="4">
        <v>15</v>
      </c>
      <c r="P2" s="4">
        <v>22.553004542001901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4">
        <v>22.543041083990801</v>
      </c>
      <c r="AC2" s="4">
        <v>22.553004542001901</v>
      </c>
      <c r="AD2" s="4">
        <v>23.039726041999501</v>
      </c>
      <c r="AE2" s="4">
        <v>23.039726041999501</v>
      </c>
      <c r="AF2" s="4">
        <v>23.039726041999501</v>
      </c>
      <c r="AG2" s="4">
        <v>23.615857041993898</v>
      </c>
      <c r="AH2" s="5" t="s">
        <v>63</v>
      </c>
      <c r="AI2" s="4">
        <v>1</v>
      </c>
      <c r="AJ2" s="4">
        <v>0.56785395799670402</v>
      </c>
      <c r="AK2" s="5" t="s">
        <v>51</v>
      </c>
      <c r="AL2" s="3"/>
      <c r="AM2" s="3"/>
      <c r="AN2" s="3"/>
      <c r="AO2" s="4">
        <v>5</v>
      </c>
      <c r="AP2" s="4">
        <v>1</v>
      </c>
      <c r="AQ2" s="5" t="s">
        <v>110</v>
      </c>
      <c r="AR2" s="5" t="s">
        <v>53</v>
      </c>
      <c r="AS2" s="3"/>
      <c r="AT2" s="5" t="s">
        <v>54</v>
      </c>
      <c r="AU2" s="4">
        <v>121.002689767825</v>
      </c>
      <c r="AV2" s="5" t="s">
        <v>111</v>
      </c>
      <c r="AW2" s="3"/>
    </row>
    <row r="3" spans="1:49" x14ac:dyDescent="0.15">
      <c r="A3" s="11" t="s">
        <v>85</v>
      </c>
      <c r="B3" s="12" t="s">
        <v>61</v>
      </c>
      <c r="C3" s="10" t="s">
        <v>62</v>
      </c>
      <c r="D3" s="10" t="s">
        <v>63</v>
      </c>
      <c r="E3" s="9">
        <v>7</v>
      </c>
      <c r="F3" s="9">
        <v>7</v>
      </c>
      <c r="G3" s="9">
        <v>0</v>
      </c>
      <c r="H3" s="10" t="s">
        <v>63</v>
      </c>
      <c r="I3" s="9">
        <v>1</v>
      </c>
      <c r="J3" s="9">
        <v>0.74750374899303995</v>
      </c>
      <c r="K3" s="10" t="s">
        <v>51</v>
      </c>
      <c r="L3" s="9">
        <v>0</v>
      </c>
      <c r="M3" s="9">
        <v>7</v>
      </c>
      <c r="N3" s="9">
        <v>7</v>
      </c>
      <c r="O3" s="9">
        <v>11</v>
      </c>
      <c r="P3" s="9">
        <v>27.986613749992099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>
        <v>27.977224959002299</v>
      </c>
      <c r="AC3" s="9">
        <v>27.986613749992099</v>
      </c>
      <c r="AD3" s="9">
        <v>28.473070084000899</v>
      </c>
      <c r="AE3" s="9">
        <v>28.473070084000899</v>
      </c>
      <c r="AF3" s="9">
        <v>28.473070084000899</v>
      </c>
      <c r="AG3" s="9">
        <v>29.232575041998601</v>
      </c>
      <c r="AH3" s="10" t="s">
        <v>63</v>
      </c>
      <c r="AI3" s="9">
        <v>1</v>
      </c>
      <c r="AJ3" s="9">
        <v>0.74750374899303995</v>
      </c>
      <c r="AK3" s="10" t="s">
        <v>51</v>
      </c>
      <c r="AL3" s="8"/>
      <c r="AM3" s="8"/>
      <c r="AN3" s="8"/>
      <c r="AO3" s="9">
        <v>5</v>
      </c>
      <c r="AP3" s="9">
        <v>1</v>
      </c>
      <c r="AQ3" s="10" t="s">
        <v>110</v>
      </c>
      <c r="AR3" s="10" t="s">
        <v>53</v>
      </c>
      <c r="AS3" s="8"/>
      <c r="AT3" s="10" t="s">
        <v>54</v>
      </c>
      <c r="AU3" s="9">
        <v>121.002689767825</v>
      </c>
      <c r="AV3" s="10" t="s">
        <v>111</v>
      </c>
      <c r="AW3" s="8"/>
    </row>
    <row r="4" spans="1:49" x14ac:dyDescent="0.15">
      <c r="A4" s="11" t="s">
        <v>73</v>
      </c>
      <c r="B4" s="12" t="s">
        <v>61</v>
      </c>
      <c r="C4" s="10" t="s">
        <v>62</v>
      </c>
      <c r="D4" s="10" t="s">
        <v>63</v>
      </c>
      <c r="E4" s="9">
        <v>9</v>
      </c>
      <c r="F4" s="9">
        <v>9</v>
      </c>
      <c r="G4" s="9">
        <v>1</v>
      </c>
      <c r="H4" s="10" t="s">
        <v>63</v>
      </c>
      <c r="I4" s="9">
        <v>1</v>
      </c>
      <c r="J4" s="9">
        <v>0.41788162499142301</v>
      </c>
      <c r="K4" s="10" t="s">
        <v>51</v>
      </c>
      <c r="L4" s="9">
        <v>1</v>
      </c>
      <c r="M4" s="9">
        <v>9</v>
      </c>
      <c r="N4" s="9">
        <v>9</v>
      </c>
      <c r="O4" s="9">
        <v>15</v>
      </c>
      <c r="P4" s="9">
        <v>30.1800313749991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9">
        <v>30.170885708998</v>
      </c>
      <c r="AC4" s="9">
        <v>30.1800313749991</v>
      </c>
      <c r="AD4" s="9">
        <v>30.6638062499987</v>
      </c>
      <c r="AE4" s="9">
        <v>30.6638062499987</v>
      </c>
      <c r="AF4" s="9">
        <v>30.6638062499987</v>
      </c>
      <c r="AG4" s="9">
        <v>31.088564042002002</v>
      </c>
      <c r="AH4" s="10" t="s">
        <v>63</v>
      </c>
      <c r="AI4" s="9">
        <v>1</v>
      </c>
      <c r="AJ4" s="9">
        <v>0.41788162499142301</v>
      </c>
      <c r="AK4" s="10" t="s">
        <v>51</v>
      </c>
      <c r="AL4" s="8"/>
      <c r="AM4" s="8"/>
      <c r="AN4" s="8"/>
      <c r="AO4" s="9">
        <v>5</v>
      </c>
      <c r="AP4" s="9">
        <v>1</v>
      </c>
      <c r="AQ4" s="10" t="s">
        <v>110</v>
      </c>
      <c r="AR4" s="10" t="s">
        <v>53</v>
      </c>
      <c r="AS4" s="8"/>
      <c r="AT4" s="10" t="s">
        <v>54</v>
      </c>
      <c r="AU4" s="9">
        <v>121.002689767825</v>
      </c>
      <c r="AV4" s="10" t="s">
        <v>111</v>
      </c>
      <c r="AW4" s="8"/>
    </row>
    <row r="5" spans="1:49" x14ac:dyDescent="0.15">
      <c r="A5" s="11" t="s">
        <v>85</v>
      </c>
      <c r="B5" s="12" t="s">
        <v>61</v>
      </c>
      <c r="C5" s="10" t="s">
        <v>62</v>
      </c>
      <c r="D5" s="10" t="s">
        <v>63</v>
      </c>
      <c r="E5" s="9">
        <v>10</v>
      </c>
      <c r="F5" s="9">
        <v>10</v>
      </c>
      <c r="G5" s="9">
        <v>1</v>
      </c>
      <c r="H5" s="10" t="s">
        <v>63</v>
      </c>
      <c r="I5" s="9">
        <v>1</v>
      </c>
      <c r="J5" s="9">
        <v>0.35193637400516298</v>
      </c>
      <c r="K5" s="10" t="s">
        <v>51</v>
      </c>
      <c r="L5" s="9">
        <v>1</v>
      </c>
      <c r="M5" s="9">
        <v>10</v>
      </c>
      <c r="N5" s="9">
        <v>10</v>
      </c>
      <c r="O5" s="9">
        <v>11</v>
      </c>
      <c r="P5" s="9">
        <v>31.102640666998902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9">
        <v>31.093164374993702</v>
      </c>
      <c r="AC5" s="9">
        <v>31.102640666998902</v>
      </c>
      <c r="AD5" s="9">
        <v>31.589854833990099</v>
      </c>
      <c r="AE5" s="9">
        <v>31.589854833990099</v>
      </c>
      <c r="AF5" s="9">
        <v>31.589854833990099</v>
      </c>
      <c r="AG5" s="9">
        <v>31.949227417004298</v>
      </c>
      <c r="AH5" s="10" t="s">
        <v>63</v>
      </c>
      <c r="AI5" s="9">
        <v>1</v>
      </c>
      <c r="AJ5" s="9">
        <v>0.35193637400516298</v>
      </c>
      <c r="AK5" s="10" t="s">
        <v>51</v>
      </c>
      <c r="AL5" s="8"/>
      <c r="AM5" s="8"/>
      <c r="AN5" s="8"/>
      <c r="AO5" s="9">
        <v>5</v>
      </c>
      <c r="AP5" s="9">
        <v>1</v>
      </c>
      <c r="AQ5" s="10" t="s">
        <v>110</v>
      </c>
      <c r="AR5" s="10" t="s">
        <v>53</v>
      </c>
      <c r="AS5" s="8"/>
      <c r="AT5" s="10" t="s">
        <v>54</v>
      </c>
      <c r="AU5" s="9">
        <v>121.002689767825</v>
      </c>
      <c r="AV5" s="10" t="s">
        <v>111</v>
      </c>
      <c r="AW5" s="8"/>
    </row>
    <row r="6" spans="1:49" x14ac:dyDescent="0.15">
      <c r="A6" s="11" t="s">
        <v>73</v>
      </c>
      <c r="B6" s="12" t="s">
        <v>61</v>
      </c>
      <c r="C6" s="10" t="s">
        <v>58</v>
      </c>
      <c r="D6" s="10" t="s">
        <v>59</v>
      </c>
      <c r="E6" s="9">
        <v>15</v>
      </c>
      <c r="F6" s="9">
        <v>15</v>
      </c>
      <c r="G6" s="9">
        <v>0</v>
      </c>
      <c r="H6" s="10" t="s">
        <v>59</v>
      </c>
      <c r="I6" s="9">
        <v>1</v>
      </c>
      <c r="J6" s="9">
        <v>0.29443412499676902</v>
      </c>
      <c r="K6" s="10" t="s">
        <v>51</v>
      </c>
      <c r="L6" s="9">
        <v>0</v>
      </c>
      <c r="M6" s="9">
        <v>15</v>
      </c>
      <c r="N6" s="9">
        <v>15</v>
      </c>
      <c r="O6" s="9">
        <v>14</v>
      </c>
      <c r="P6" s="9">
        <v>35.364255749998897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9">
        <v>35.354942249992703</v>
      </c>
      <c r="AC6" s="9">
        <v>35.364255749998897</v>
      </c>
      <c r="AD6" s="9">
        <v>35.847412624992998</v>
      </c>
      <c r="AE6" s="9">
        <v>35.847412624992998</v>
      </c>
      <c r="AF6" s="9">
        <v>35.847412624992998</v>
      </c>
      <c r="AG6" s="9">
        <v>36.149574166993297</v>
      </c>
      <c r="AH6" s="10" t="s">
        <v>59</v>
      </c>
      <c r="AI6" s="9">
        <v>1</v>
      </c>
      <c r="AJ6" s="9">
        <v>0.29443412499676902</v>
      </c>
      <c r="AK6" s="10" t="s">
        <v>51</v>
      </c>
      <c r="AL6" s="8"/>
      <c r="AM6" s="8"/>
      <c r="AN6" s="8"/>
      <c r="AO6" s="9">
        <v>5</v>
      </c>
      <c r="AP6" s="9">
        <v>1</v>
      </c>
      <c r="AQ6" s="10" t="s">
        <v>110</v>
      </c>
      <c r="AR6" s="10" t="s">
        <v>53</v>
      </c>
      <c r="AS6" s="8"/>
      <c r="AT6" s="10" t="s">
        <v>54</v>
      </c>
      <c r="AU6" s="9">
        <v>121.002689767825</v>
      </c>
      <c r="AV6" s="10" t="s">
        <v>111</v>
      </c>
      <c r="AW6" s="8"/>
    </row>
    <row r="7" spans="1:49" x14ac:dyDescent="0.15">
      <c r="A7" s="11" t="s">
        <v>64</v>
      </c>
      <c r="B7" s="12" t="s">
        <v>61</v>
      </c>
      <c r="C7" s="10" t="s">
        <v>58</v>
      </c>
      <c r="D7" s="10" t="s">
        <v>59</v>
      </c>
      <c r="E7" s="9">
        <v>19</v>
      </c>
      <c r="F7" s="9">
        <v>19</v>
      </c>
      <c r="G7" s="9">
        <v>0</v>
      </c>
      <c r="H7" s="10" t="s">
        <v>59</v>
      </c>
      <c r="I7" s="9">
        <v>1</v>
      </c>
      <c r="J7" s="9">
        <v>0.45705720699334101</v>
      </c>
      <c r="K7" s="10" t="s">
        <v>51</v>
      </c>
      <c r="L7" s="9">
        <v>0</v>
      </c>
      <c r="M7" s="9">
        <v>19</v>
      </c>
      <c r="N7" s="9">
        <v>19</v>
      </c>
      <c r="O7" s="9">
        <v>4</v>
      </c>
      <c r="P7" s="9">
        <v>38.696379667002503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9">
        <v>38.687344833990203</v>
      </c>
      <c r="AC7" s="9">
        <v>38.696379667002503</v>
      </c>
      <c r="AD7" s="9">
        <v>39.180785666991099</v>
      </c>
      <c r="AE7" s="9">
        <v>39.180785666991099</v>
      </c>
      <c r="AF7" s="9">
        <v>39.180785666991099</v>
      </c>
      <c r="AG7" s="9">
        <v>39.649695083993699</v>
      </c>
      <c r="AH7" s="10" t="s">
        <v>59</v>
      </c>
      <c r="AI7" s="9">
        <v>1</v>
      </c>
      <c r="AJ7" s="9">
        <v>0.45705720699334101</v>
      </c>
      <c r="AK7" s="10" t="s">
        <v>51</v>
      </c>
      <c r="AL7" s="8"/>
      <c r="AM7" s="8"/>
      <c r="AN7" s="8"/>
      <c r="AO7" s="9">
        <v>5</v>
      </c>
      <c r="AP7" s="9">
        <v>1</v>
      </c>
      <c r="AQ7" s="10" t="s">
        <v>110</v>
      </c>
      <c r="AR7" s="10" t="s">
        <v>53</v>
      </c>
      <c r="AS7" s="8"/>
      <c r="AT7" s="10" t="s">
        <v>54</v>
      </c>
      <c r="AU7" s="9">
        <v>121.002689767825</v>
      </c>
      <c r="AV7" s="10" t="s">
        <v>111</v>
      </c>
      <c r="AW7" s="8"/>
    </row>
    <row r="8" spans="1:49" x14ac:dyDescent="0.15">
      <c r="A8" s="11" t="s">
        <v>79</v>
      </c>
      <c r="B8" s="12" t="s">
        <v>61</v>
      </c>
      <c r="C8" s="10" t="s">
        <v>58</v>
      </c>
      <c r="D8" s="10" t="s">
        <v>59</v>
      </c>
      <c r="E8" s="9">
        <v>21</v>
      </c>
      <c r="F8" s="9">
        <v>21</v>
      </c>
      <c r="G8" s="9">
        <v>0</v>
      </c>
      <c r="H8" s="10" t="s">
        <v>59</v>
      </c>
      <c r="I8" s="9">
        <v>1</v>
      </c>
      <c r="J8" s="9">
        <v>0.68308154100668605</v>
      </c>
      <c r="K8" s="10" t="s">
        <v>51</v>
      </c>
      <c r="L8" s="9">
        <v>0</v>
      </c>
      <c r="M8" s="9">
        <v>21</v>
      </c>
      <c r="N8" s="9">
        <v>21</v>
      </c>
      <c r="O8" s="9">
        <v>6</v>
      </c>
      <c r="P8" s="9">
        <v>40.547247666996597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9">
        <v>40.537939208996299</v>
      </c>
      <c r="AC8" s="9">
        <v>40.547247666996597</v>
      </c>
      <c r="AD8" s="9">
        <v>41.030892209004399</v>
      </c>
      <c r="AE8" s="9">
        <v>41.030892209004399</v>
      </c>
      <c r="AF8" s="9">
        <v>41.030892209004399</v>
      </c>
      <c r="AG8" s="9">
        <v>41.716385249994303</v>
      </c>
      <c r="AH8" s="10" t="s">
        <v>59</v>
      </c>
      <c r="AI8" s="9">
        <v>1</v>
      </c>
      <c r="AJ8" s="9">
        <v>0.68308154100668605</v>
      </c>
      <c r="AK8" s="10" t="s">
        <v>51</v>
      </c>
      <c r="AL8" s="8"/>
      <c r="AM8" s="8"/>
      <c r="AN8" s="8"/>
      <c r="AO8" s="9">
        <v>5</v>
      </c>
      <c r="AP8" s="9">
        <v>1</v>
      </c>
      <c r="AQ8" s="10" t="s">
        <v>110</v>
      </c>
      <c r="AR8" s="10" t="s">
        <v>53</v>
      </c>
      <c r="AS8" s="8"/>
      <c r="AT8" s="10" t="s">
        <v>54</v>
      </c>
      <c r="AU8" s="9">
        <v>121.002689767825</v>
      </c>
      <c r="AV8" s="10" t="s">
        <v>111</v>
      </c>
      <c r="AW8" s="8"/>
    </row>
    <row r="9" spans="1:49" x14ac:dyDescent="0.15">
      <c r="A9" s="11" t="s">
        <v>74</v>
      </c>
      <c r="B9" s="12" t="s">
        <v>61</v>
      </c>
      <c r="C9" s="10" t="s">
        <v>62</v>
      </c>
      <c r="D9" s="10" t="s">
        <v>63</v>
      </c>
      <c r="E9" s="9">
        <v>26</v>
      </c>
      <c r="F9" s="9">
        <v>26</v>
      </c>
      <c r="G9" s="9">
        <v>0</v>
      </c>
      <c r="H9" s="10" t="s">
        <v>59</v>
      </c>
      <c r="I9" s="9">
        <v>0</v>
      </c>
      <c r="J9" s="9">
        <v>0.347786833008286</v>
      </c>
      <c r="K9" s="10" t="s">
        <v>51</v>
      </c>
      <c r="L9" s="9">
        <v>0</v>
      </c>
      <c r="M9" s="9">
        <v>26</v>
      </c>
      <c r="N9" s="9">
        <v>26</v>
      </c>
      <c r="O9" s="9">
        <v>1</v>
      </c>
      <c r="P9" s="9">
        <v>45.697988874991999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9">
        <v>45.689255374993103</v>
      </c>
      <c r="AC9" s="9">
        <v>45.697988874991999</v>
      </c>
      <c r="AD9" s="9">
        <v>46.181185749999699</v>
      </c>
      <c r="AE9" s="9">
        <v>46.181185749999699</v>
      </c>
      <c r="AF9" s="9">
        <v>46.181185749999699</v>
      </c>
      <c r="AG9" s="9">
        <v>46.533383000001798</v>
      </c>
      <c r="AH9" s="10" t="s">
        <v>59</v>
      </c>
      <c r="AI9" s="9">
        <v>0</v>
      </c>
      <c r="AJ9" s="9">
        <v>0.347786833008286</v>
      </c>
      <c r="AK9" s="10" t="s">
        <v>51</v>
      </c>
      <c r="AL9" s="8"/>
      <c r="AM9" s="8"/>
      <c r="AN9" s="8"/>
      <c r="AO9" s="9">
        <v>5</v>
      </c>
      <c r="AP9" s="9">
        <v>1</v>
      </c>
      <c r="AQ9" s="10" t="s">
        <v>110</v>
      </c>
      <c r="AR9" s="10" t="s">
        <v>53</v>
      </c>
      <c r="AS9" s="8"/>
      <c r="AT9" s="10" t="s">
        <v>54</v>
      </c>
      <c r="AU9" s="9">
        <v>121.002689767825</v>
      </c>
      <c r="AV9" s="10" t="s">
        <v>111</v>
      </c>
      <c r="AW9" s="8"/>
    </row>
    <row r="10" spans="1:49" x14ac:dyDescent="0.15">
      <c r="A10" s="11" t="s">
        <v>70</v>
      </c>
      <c r="B10" s="12" t="s">
        <v>61</v>
      </c>
      <c r="C10" s="10" t="s">
        <v>58</v>
      </c>
      <c r="D10" s="10" t="s">
        <v>59</v>
      </c>
      <c r="E10" s="9">
        <v>27</v>
      </c>
      <c r="F10" s="9">
        <v>27</v>
      </c>
      <c r="G10" s="9">
        <v>0</v>
      </c>
      <c r="H10" s="10" t="s">
        <v>63</v>
      </c>
      <c r="I10" s="9">
        <v>0</v>
      </c>
      <c r="J10" s="9">
        <v>0.67171754100127201</v>
      </c>
      <c r="K10" s="10" t="s">
        <v>51</v>
      </c>
      <c r="L10" s="9">
        <v>0</v>
      </c>
      <c r="M10" s="9">
        <v>27</v>
      </c>
      <c r="N10" s="9">
        <v>27</v>
      </c>
      <c r="O10" s="9">
        <v>12</v>
      </c>
      <c r="P10" s="9">
        <v>46.547451541991897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9">
        <v>46.538419791992098</v>
      </c>
      <c r="AC10" s="9">
        <v>46.547451541991897</v>
      </c>
      <c r="AD10" s="9">
        <v>47.031204458995497</v>
      </c>
      <c r="AE10" s="9">
        <v>47.031204458995497</v>
      </c>
      <c r="AF10" s="9">
        <v>47.031204458995497</v>
      </c>
      <c r="AG10" s="9">
        <v>47.705566624994397</v>
      </c>
      <c r="AH10" s="10" t="s">
        <v>63</v>
      </c>
      <c r="AI10" s="9">
        <v>0</v>
      </c>
      <c r="AJ10" s="9">
        <v>0.67171754100127201</v>
      </c>
      <c r="AK10" s="10" t="s">
        <v>51</v>
      </c>
      <c r="AL10" s="8"/>
      <c r="AM10" s="8"/>
      <c r="AN10" s="8"/>
      <c r="AO10" s="9">
        <v>5</v>
      </c>
      <c r="AP10" s="9">
        <v>1</v>
      </c>
      <c r="AQ10" s="10" t="s">
        <v>110</v>
      </c>
      <c r="AR10" s="10" t="s">
        <v>53</v>
      </c>
      <c r="AS10" s="8"/>
      <c r="AT10" s="10" t="s">
        <v>54</v>
      </c>
      <c r="AU10" s="9">
        <v>121.002689767825</v>
      </c>
      <c r="AV10" s="10" t="s">
        <v>111</v>
      </c>
      <c r="AW10" s="8"/>
    </row>
    <row r="11" spans="1:49" x14ac:dyDescent="0.15">
      <c r="A11" s="11" t="s">
        <v>83</v>
      </c>
      <c r="B11" s="12" t="s">
        <v>61</v>
      </c>
      <c r="C11" s="10" t="s">
        <v>58</v>
      </c>
      <c r="D11" s="10" t="s">
        <v>59</v>
      </c>
      <c r="E11" s="9">
        <v>28</v>
      </c>
      <c r="F11" s="9">
        <v>28</v>
      </c>
      <c r="G11" s="9">
        <v>0</v>
      </c>
      <c r="H11" s="10" t="s">
        <v>59</v>
      </c>
      <c r="I11" s="9">
        <v>1</v>
      </c>
      <c r="J11" s="9">
        <v>0.39537070800724899</v>
      </c>
      <c r="K11" s="10" t="s">
        <v>51</v>
      </c>
      <c r="L11" s="9">
        <v>0</v>
      </c>
      <c r="M11" s="9">
        <v>28</v>
      </c>
      <c r="N11" s="9">
        <v>28</v>
      </c>
      <c r="O11" s="9">
        <v>2</v>
      </c>
      <c r="P11" s="9">
        <v>47.719049708990497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9">
        <v>47.708801874992801</v>
      </c>
      <c r="AC11" s="9">
        <v>47.719049708990497</v>
      </c>
      <c r="AD11" s="9">
        <v>48.197801333997603</v>
      </c>
      <c r="AE11" s="9">
        <v>48.197801333997603</v>
      </c>
      <c r="AF11" s="9">
        <v>48.197801333997603</v>
      </c>
      <c r="AG11" s="9">
        <v>48.599803499993897</v>
      </c>
      <c r="AH11" s="10" t="s">
        <v>59</v>
      </c>
      <c r="AI11" s="9">
        <v>1</v>
      </c>
      <c r="AJ11" s="9">
        <v>0.39537070800724899</v>
      </c>
      <c r="AK11" s="10" t="s">
        <v>51</v>
      </c>
      <c r="AL11" s="8"/>
      <c r="AM11" s="8"/>
      <c r="AN11" s="8"/>
      <c r="AO11" s="9">
        <v>5</v>
      </c>
      <c r="AP11" s="9">
        <v>1</v>
      </c>
      <c r="AQ11" s="10" t="s">
        <v>110</v>
      </c>
      <c r="AR11" s="10" t="s">
        <v>53</v>
      </c>
      <c r="AS11" s="8"/>
      <c r="AT11" s="10" t="s">
        <v>54</v>
      </c>
      <c r="AU11" s="9">
        <v>121.002689767825</v>
      </c>
      <c r="AV11" s="10" t="s">
        <v>111</v>
      </c>
      <c r="AW11" s="8"/>
    </row>
    <row r="12" spans="1:49" x14ac:dyDescent="0.15">
      <c r="A12" s="11" t="s">
        <v>70</v>
      </c>
      <c r="B12" s="12" t="s">
        <v>61</v>
      </c>
      <c r="C12" s="10" t="s">
        <v>62</v>
      </c>
      <c r="D12" s="10" t="s">
        <v>63</v>
      </c>
      <c r="E12" s="9">
        <v>29</v>
      </c>
      <c r="F12" s="9">
        <v>29</v>
      </c>
      <c r="G12" s="9">
        <v>0</v>
      </c>
      <c r="H12" s="10" t="s">
        <v>63</v>
      </c>
      <c r="I12" s="9">
        <v>1</v>
      </c>
      <c r="J12" s="9">
        <v>0.67017700000724301</v>
      </c>
      <c r="K12" s="10" t="s">
        <v>51</v>
      </c>
      <c r="L12" s="9">
        <v>0</v>
      </c>
      <c r="M12" s="9">
        <v>29</v>
      </c>
      <c r="N12" s="9">
        <v>29</v>
      </c>
      <c r="O12" s="9">
        <v>13</v>
      </c>
      <c r="P12" s="9">
        <v>48.6138372919959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9">
        <v>48.604498917004101</v>
      </c>
      <c r="AC12" s="9">
        <v>48.6138372919959</v>
      </c>
      <c r="AD12" s="9">
        <v>49.0977578750026</v>
      </c>
      <c r="AE12" s="9">
        <v>49.0977578750026</v>
      </c>
      <c r="AF12" s="9">
        <v>49.0977578750026</v>
      </c>
      <c r="AG12" s="9">
        <v>49.7724207089923</v>
      </c>
      <c r="AH12" s="10" t="s">
        <v>63</v>
      </c>
      <c r="AI12" s="9">
        <v>1</v>
      </c>
      <c r="AJ12" s="9">
        <v>0.67017700000724301</v>
      </c>
      <c r="AK12" s="10" t="s">
        <v>51</v>
      </c>
      <c r="AL12" s="8"/>
      <c r="AM12" s="8"/>
      <c r="AN12" s="8"/>
      <c r="AO12" s="9">
        <v>5</v>
      </c>
      <c r="AP12" s="9">
        <v>1</v>
      </c>
      <c r="AQ12" s="10" t="s">
        <v>110</v>
      </c>
      <c r="AR12" s="10" t="s">
        <v>53</v>
      </c>
      <c r="AS12" s="8"/>
      <c r="AT12" s="10" t="s">
        <v>54</v>
      </c>
      <c r="AU12" s="9">
        <v>121.002689767825</v>
      </c>
      <c r="AV12" s="10" t="s">
        <v>111</v>
      </c>
      <c r="AW12" s="8"/>
    </row>
    <row r="13" spans="1:49" x14ac:dyDescent="0.15">
      <c r="A13" s="11" t="s">
        <v>83</v>
      </c>
      <c r="B13" s="12" t="s">
        <v>61</v>
      </c>
      <c r="C13" s="10" t="s">
        <v>62</v>
      </c>
      <c r="D13" s="10" t="s">
        <v>63</v>
      </c>
      <c r="E13" s="9">
        <v>31</v>
      </c>
      <c r="F13" s="9">
        <v>31</v>
      </c>
      <c r="G13" s="9">
        <v>0</v>
      </c>
      <c r="H13" s="10" t="s">
        <v>63</v>
      </c>
      <c r="I13" s="9">
        <v>1</v>
      </c>
      <c r="J13" s="9">
        <v>0.43049837400030799</v>
      </c>
      <c r="K13" s="10" t="s">
        <v>51</v>
      </c>
      <c r="L13" s="9">
        <v>0</v>
      </c>
      <c r="M13" s="9">
        <v>31</v>
      </c>
      <c r="N13" s="9">
        <v>31</v>
      </c>
      <c r="O13" s="9">
        <v>3</v>
      </c>
      <c r="P13" s="9">
        <v>50.703913334000397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9">
        <v>50.692827209000797</v>
      </c>
      <c r="AC13" s="9">
        <v>50.703913334000397</v>
      </c>
      <c r="AD13" s="9">
        <v>51.189590041991302</v>
      </c>
      <c r="AE13" s="9">
        <v>51.189590041991302</v>
      </c>
      <c r="AF13" s="9">
        <v>51.189590041991302</v>
      </c>
      <c r="AG13" s="9">
        <v>51.622383750000203</v>
      </c>
      <c r="AH13" s="10" t="s">
        <v>63</v>
      </c>
      <c r="AI13" s="9">
        <v>1</v>
      </c>
      <c r="AJ13" s="9">
        <v>0.43049837400030799</v>
      </c>
      <c r="AK13" s="10" t="s">
        <v>51</v>
      </c>
      <c r="AL13" s="8"/>
      <c r="AM13" s="8"/>
      <c r="AN13" s="8"/>
      <c r="AO13" s="9">
        <v>5</v>
      </c>
      <c r="AP13" s="9">
        <v>1</v>
      </c>
      <c r="AQ13" s="10" t="s">
        <v>110</v>
      </c>
      <c r="AR13" s="10" t="s">
        <v>53</v>
      </c>
      <c r="AS13" s="8"/>
      <c r="AT13" s="10" t="s">
        <v>54</v>
      </c>
      <c r="AU13" s="9">
        <v>121.002689767825</v>
      </c>
      <c r="AV13" s="10" t="s">
        <v>111</v>
      </c>
      <c r="AW13" s="8"/>
    </row>
    <row r="14" spans="1:49" x14ac:dyDescent="0.15">
      <c r="A14" s="11" t="s">
        <v>64</v>
      </c>
      <c r="B14" s="12" t="s">
        <v>61</v>
      </c>
      <c r="C14" s="10" t="s">
        <v>62</v>
      </c>
      <c r="D14" s="10" t="s">
        <v>63</v>
      </c>
      <c r="E14" s="9">
        <v>32</v>
      </c>
      <c r="F14" s="9">
        <v>32</v>
      </c>
      <c r="G14" s="9">
        <v>0</v>
      </c>
      <c r="H14" s="10" t="s">
        <v>63</v>
      </c>
      <c r="I14" s="9">
        <v>1</v>
      </c>
      <c r="J14" s="9">
        <v>0.34174529099254902</v>
      </c>
      <c r="K14" s="10" t="s">
        <v>51</v>
      </c>
      <c r="L14" s="9">
        <v>0</v>
      </c>
      <c r="M14" s="9">
        <v>32</v>
      </c>
      <c r="N14" s="9">
        <v>32</v>
      </c>
      <c r="O14" s="9">
        <v>5</v>
      </c>
      <c r="P14" s="9">
        <v>51.636502416993601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9">
        <v>51.627038167003803</v>
      </c>
      <c r="AC14" s="9">
        <v>51.636502416993601</v>
      </c>
      <c r="AD14" s="9">
        <v>52.124286709004103</v>
      </c>
      <c r="AE14" s="9">
        <v>52.124286709004103</v>
      </c>
      <c r="AF14" s="9">
        <v>52.124286709004103</v>
      </c>
      <c r="AG14" s="9">
        <v>52.472980291990098</v>
      </c>
      <c r="AH14" s="10" t="s">
        <v>63</v>
      </c>
      <c r="AI14" s="9">
        <v>1</v>
      </c>
      <c r="AJ14" s="9">
        <v>0.34174529099254902</v>
      </c>
      <c r="AK14" s="10" t="s">
        <v>51</v>
      </c>
      <c r="AL14" s="8"/>
      <c r="AM14" s="8"/>
      <c r="AN14" s="8"/>
      <c r="AO14" s="9">
        <v>5</v>
      </c>
      <c r="AP14" s="9">
        <v>1</v>
      </c>
      <c r="AQ14" s="10" t="s">
        <v>110</v>
      </c>
      <c r="AR14" s="10" t="s">
        <v>53</v>
      </c>
      <c r="AS14" s="8"/>
      <c r="AT14" s="10" t="s">
        <v>54</v>
      </c>
      <c r="AU14" s="9">
        <v>121.002689767825</v>
      </c>
      <c r="AV14" s="10" t="s">
        <v>111</v>
      </c>
      <c r="AW14" s="8"/>
    </row>
    <row r="15" spans="1:49" x14ac:dyDescent="0.15">
      <c r="A15" s="11" t="s">
        <v>64</v>
      </c>
      <c r="B15" s="12" t="s">
        <v>61</v>
      </c>
      <c r="C15" s="10" t="s">
        <v>62</v>
      </c>
      <c r="D15" s="10" t="s">
        <v>63</v>
      </c>
      <c r="E15" s="9">
        <v>34</v>
      </c>
      <c r="F15" s="9">
        <v>34</v>
      </c>
      <c r="G15" s="9">
        <v>1</v>
      </c>
      <c r="H15" s="10" t="s">
        <v>63</v>
      </c>
      <c r="I15" s="9">
        <v>1</v>
      </c>
      <c r="J15" s="9">
        <v>0.37525916598678999</v>
      </c>
      <c r="K15" s="10" t="s">
        <v>51</v>
      </c>
      <c r="L15" s="9">
        <v>1</v>
      </c>
      <c r="M15" s="9">
        <v>34</v>
      </c>
      <c r="N15" s="9">
        <v>34</v>
      </c>
      <c r="O15" s="9">
        <v>5</v>
      </c>
      <c r="P15" s="9">
        <v>53.3306210839946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9">
        <v>53.321539083990501</v>
      </c>
      <c r="AC15" s="9">
        <v>53.3306210839946</v>
      </c>
      <c r="AD15" s="9">
        <v>53.814818083992598</v>
      </c>
      <c r="AE15" s="9">
        <v>53.814818083992598</v>
      </c>
      <c r="AF15" s="9">
        <v>53.814818083992598</v>
      </c>
      <c r="AG15" s="9">
        <v>54.200142166999299</v>
      </c>
      <c r="AH15" s="10" t="s">
        <v>63</v>
      </c>
      <c r="AI15" s="9">
        <v>1</v>
      </c>
      <c r="AJ15" s="9">
        <v>0.37525916598678999</v>
      </c>
      <c r="AK15" s="10" t="s">
        <v>51</v>
      </c>
      <c r="AL15" s="8"/>
      <c r="AM15" s="8"/>
      <c r="AN15" s="8"/>
      <c r="AO15" s="9">
        <v>5</v>
      </c>
      <c r="AP15" s="9">
        <v>1</v>
      </c>
      <c r="AQ15" s="10" t="s">
        <v>110</v>
      </c>
      <c r="AR15" s="10" t="s">
        <v>53</v>
      </c>
      <c r="AS15" s="8"/>
      <c r="AT15" s="10" t="s">
        <v>54</v>
      </c>
      <c r="AU15" s="9">
        <v>121.002689767825</v>
      </c>
      <c r="AV15" s="10" t="s">
        <v>111</v>
      </c>
      <c r="AW15" s="8"/>
    </row>
    <row r="16" spans="1:49" x14ac:dyDescent="0.15">
      <c r="A16" s="11" t="s">
        <v>85</v>
      </c>
      <c r="B16" s="12" t="s">
        <v>61</v>
      </c>
      <c r="C16" s="10" t="s">
        <v>58</v>
      </c>
      <c r="D16" s="10" t="s">
        <v>59</v>
      </c>
      <c r="E16" s="9">
        <v>37</v>
      </c>
      <c r="F16" s="9">
        <v>37</v>
      </c>
      <c r="G16" s="9">
        <v>0</v>
      </c>
      <c r="H16" s="10" t="s">
        <v>59</v>
      </c>
      <c r="I16" s="9">
        <v>1</v>
      </c>
      <c r="J16" s="9">
        <v>0.313575291002053</v>
      </c>
      <c r="K16" s="10" t="s">
        <v>51</v>
      </c>
      <c r="L16" s="9">
        <v>0</v>
      </c>
      <c r="M16" s="9">
        <v>37</v>
      </c>
      <c r="N16" s="9">
        <v>37</v>
      </c>
      <c r="O16" s="9">
        <v>10</v>
      </c>
      <c r="P16" s="9">
        <v>55.936899958993301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9">
        <v>55.926619666992302</v>
      </c>
      <c r="AC16" s="9">
        <v>55.936899958993301</v>
      </c>
      <c r="AD16" s="9">
        <v>56.424631749992798</v>
      </c>
      <c r="AE16" s="9">
        <v>56.424631749992798</v>
      </c>
      <c r="AF16" s="9">
        <v>56.424631749992798</v>
      </c>
      <c r="AG16" s="9">
        <v>56.750220916990699</v>
      </c>
      <c r="AH16" s="10" t="s">
        <v>59</v>
      </c>
      <c r="AI16" s="9">
        <v>1</v>
      </c>
      <c r="AJ16" s="9">
        <v>0.313575291002053</v>
      </c>
      <c r="AK16" s="10" t="s">
        <v>51</v>
      </c>
      <c r="AL16" s="8"/>
      <c r="AM16" s="8"/>
      <c r="AN16" s="8"/>
      <c r="AO16" s="9">
        <v>5</v>
      </c>
      <c r="AP16" s="9">
        <v>1</v>
      </c>
      <c r="AQ16" s="10" t="s">
        <v>110</v>
      </c>
      <c r="AR16" s="10" t="s">
        <v>53</v>
      </c>
      <c r="AS16" s="8"/>
      <c r="AT16" s="10" t="s">
        <v>54</v>
      </c>
      <c r="AU16" s="9">
        <v>121.002689767825</v>
      </c>
      <c r="AV16" s="10" t="s">
        <v>111</v>
      </c>
      <c r="AW16" s="8"/>
    </row>
    <row r="17" spans="1:49" x14ac:dyDescent="0.15">
      <c r="A17" s="11" t="s">
        <v>74</v>
      </c>
      <c r="B17" s="12" t="s">
        <v>61</v>
      </c>
      <c r="C17" s="10" t="s">
        <v>62</v>
      </c>
      <c r="D17" s="10" t="s">
        <v>63</v>
      </c>
      <c r="E17" s="9">
        <v>40</v>
      </c>
      <c r="F17" s="9">
        <v>40</v>
      </c>
      <c r="G17" s="9">
        <v>1</v>
      </c>
      <c r="H17" s="10" t="s">
        <v>63</v>
      </c>
      <c r="I17" s="9">
        <v>1</v>
      </c>
      <c r="J17" s="9">
        <v>0.36748220700246798</v>
      </c>
      <c r="K17" s="10" t="s">
        <v>51</v>
      </c>
      <c r="L17" s="9">
        <v>1</v>
      </c>
      <c r="M17" s="9">
        <v>40</v>
      </c>
      <c r="N17" s="9">
        <v>40</v>
      </c>
      <c r="O17" s="9">
        <v>1</v>
      </c>
      <c r="P17" s="9">
        <v>58.671848625002902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9">
        <v>58.661835708990097</v>
      </c>
      <c r="AC17" s="9">
        <v>58.671848625002902</v>
      </c>
      <c r="AD17" s="9">
        <v>59.157867208996301</v>
      </c>
      <c r="AE17" s="9">
        <v>59.157867208996301</v>
      </c>
      <c r="AF17" s="9">
        <v>59.157867208996301</v>
      </c>
      <c r="AG17" s="9">
        <v>59.533759208992699</v>
      </c>
      <c r="AH17" s="10" t="s">
        <v>63</v>
      </c>
      <c r="AI17" s="9">
        <v>1</v>
      </c>
      <c r="AJ17" s="9">
        <v>0.36748220700246798</v>
      </c>
      <c r="AK17" s="10" t="s">
        <v>51</v>
      </c>
      <c r="AL17" s="8"/>
      <c r="AM17" s="8"/>
      <c r="AN17" s="8"/>
      <c r="AO17" s="9">
        <v>5</v>
      </c>
      <c r="AP17" s="9">
        <v>1</v>
      </c>
      <c r="AQ17" s="10" t="s">
        <v>110</v>
      </c>
      <c r="AR17" s="10" t="s">
        <v>53</v>
      </c>
      <c r="AS17" s="8"/>
      <c r="AT17" s="10" t="s">
        <v>54</v>
      </c>
      <c r="AU17" s="9">
        <v>121.002689767825</v>
      </c>
      <c r="AV17" s="10" t="s">
        <v>111</v>
      </c>
      <c r="AW17" s="8"/>
    </row>
    <row r="18" spans="1:49" x14ac:dyDescent="0.15">
      <c r="A18" s="11" t="s">
        <v>64</v>
      </c>
      <c r="B18" s="12" t="s">
        <v>61</v>
      </c>
      <c r="C18" s="10" t="s">
        <v>58</v>
      </c>
      <c r="D18" s="10" t="s">
        <v>59</v>
      </c>
      <c r="E18" s="9">
        <v>41</v>
      </c>
      <c r="F18" s="9">
        <v>41</v>
      </c>
      <c r="G18" s="9">
        <v>1</v>
      </c>
      <c r="H18" s="10" t="s">
        <v>63</v>
      </c>
      <c r="I18" s="9">
        <v>0</v>
      </c>
      <c r="J18" s="9">
        <v>0.37617308300104901</v>
      </c>
      <c r="K18" s="10" t="s">
        <v>51</v>
      </c>
      <c r="L18" s="9">
        <v>1</v>
      </c>
      <c r="M18" s="9">
        <v>41</v>
      </c>
      <c r="N18" s="9">
        <v>41</v>
      </c>
      <c r="O18" s="9">
        <v>4</v>
      </c>
      <c r="P18" s="9">
        <v>59.548359666994699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9">
        <v>59.5391701249901</v>
      </c>
      <c r="AC18" s="9">
        <v>59.548359666994699</v>
      </c>
      <c r="AD18" s="9">
        <v>60.032134416993401</v>
      </c>
      <c r="AE18" s="9">
        <v>60.032134416993401</v>
      </c>
      <c r="AF18" s="9">
        <v>60.032134416993401</v>
      </c>
      <c r="AG18" s="9">
        <v>60.417073541990298</v>
      </c>
      <c r="AH18" s="10" t="s">
        <v>63</v>
      </c>
      <c r="AI18" s="9">
        <v>0</v>
      </c>
      <c r="AJ18" s="9">
        <v>0.37617308300104901</v>
      </c>
      <c r="AK18" s="10" t="s">
        <v>51</v>
      </c>
      <c r="AL18" s="8"/>
      <c r="AM18" s="8"/>
      <c r="AN18" s="8"/>
      <c r="AO18" s="9">
        <v>5</v>
      </c>
      <c r="AP18" s="9">
        <v>1</v>
      </c>
      <c r="AQ18" s="10" t="s">
        <v>110</v>
      </c>
      <c r="AR18" s="10" t="s">
        <v>53</v>
      </c>
      <c r="AS18" s="8"/>
      <c r="AT18" s="10" t="s">
        <v>54</v>
      </c>
      <c r="AU18" s="9">
        <v>121.002689767825</v>
      </c>
      <c r="AV18" s="10" t="s">
        <v>111</v>
      </c>
      <c r="AW18" s="8"/>
    </row>
    <row r="19" spans="1:49" x14ac:dyDescent="0.15">
      <c r="A19" s="11" t="s">
        <v>73</v>
      </c>
      <c r="B19" s="12" t="s">
        <v>61</v>
      </c>
      <c r="C19" s="10" t="s">
        <v>58</v>
      </c>
      <c r="D19" s="10" t="s">
        <v>59</v>
      </c>
      <c r="E19" s="9">
        <v>43</v>
      </c>
      <c r="F19" s="9">
        <v>43</v>
      </c>
      <c r="G19" s="9">
        <v>1</v>
      </c>
      <c r="H19" s="10" t="s">
        <v>59</v>
      </c>
      <c r="I19" s="9">
        <v>1</v>
      </c>
      <c r="J19" s="9">
        <v>0.355007707999903</v>
      </c>
      <c r="K19" s="10" t="s">
        <v>51</v>
      </c>
      <c r="L19" s="9">
        <v>1</v>
      </c>
      <c r="M19" s="9">
        <v>43</v>
      </c>
      <c r="N19" s="9">
        <v>43</v>
      </c>
      <c r="O19" s="9">
        <v>14</v>
      </c>
      <c r="P19" s="9">
        <v>61.820764124990099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9">
        <v>61.811501000003801</v>
      </c>
      <c r="AC19" s="9">
        <v>61.820764124990099</v>
      </c>
      <c r="AD19" s="9">
        <v>62.307510458995203</v>
      </c>
      <c r="AE19" s="9">
        <v>62.307510458995203</v>
      </c>
      <c r="AF19" s="9">
        <v>62.307510458995203</v>
      </c>
      <c r="AG19" s="9">
        <v>62.667183625002501</v>
      </c>
      <c r="AH19" s="10" t="s">
        <v>59</v>
      </c>
      <c r="AI19" s="9">
        <v>1</v>
      </c>
      <c r="AJ19" s="9">
        <v>0.355007707999903</v>
      </c>
      <c r="AK19" s="10" t="s">
        <v>51</v>
      </c>
      <c r="AL19" s="8"/>
      <c r="AM19" s="8"/>
      <c r="AN19" s="8"/>
      <c r="AO19" s="9">
        <v>5</v>
      </c>
      <c r="AP19" s="9">
        <v>1</v>
      </c>
      <c r="AQ19" s="10" t="s">
        <v>110</v>
      </c>
      <c r="AR19" s="10" t="s">
        <v>53</v>
      </c>
      <c r="AS19" s="8"/>
      <c r="AT19" s="10" t="s">
        <v>54</v>
      </c>
      <c r="AU19" s="9">
        <v>121.002689767825</v>
      </c>
      <c r="AV19" s="10" t="s">
        <v>111</v>
      </c>
      <c r="AW19" s="8"/>
    </row>
    <row r="20" spans="1:49" x14ac:dyDescent="0.15">
      <c r="A20" s="11" t="s">
        <v>70</v>
      </c>
      <c r="B20" s="12" t="s">
        <v>61</v>
      </c>
      <c r="C20" s="10" t="s">
        <v>58</v>
      </c>
      <c r="D20" s="10" t="s">
        <v>59</v>
      </c>
      <c r="E20" s="9">
        <v>44</v>
      </c>
      <c r="F20" s="9">
        <v>44</v>
      </c>
      <c r="G20" s="9">
        <v>1</v>
      </c>
      <c r="H20" s="10" t="s">
        <v>59</v>
      </c>
      <c r="I20" s="9">
        <v>1</v>
      </c>
      <c r="J20" s="9">
        <v>0.37793645700730899</v>
      </c>
      <c r="K20" s="10" t="s">
        <v>51</v>
      </c>
      <c r="L20" s="9">
        <v>1</v>
      </c>
      <c r="M20" s="9">
        <v>44</v>
      </c>
      <c r="N20" s="9">
        <v>44</v>
      </c>
      <c r="O20" s="9">
        <v>12</v>
      </c>
      <c r="P20" s="9">
        <v>62.6823983749928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9">
        <v>62.673102542001303</v>
      </c>
      <c r="AC20" s="9">
        <v>62.6823983749928</v>
      </c>
      <c r="AD20" s="9">
        <v>63.165453624998896</v>
      </c>
      <c r="AE20" s="9">
        <v>63.165453624998896</v>
      </c>
      <c r="AF20" s="9">
        <v>63.165453624998896</v>
      </c>
      <c r="AG20" s="9">
        <v>63.550609250000001</v>
      </c>
      <c r="AH20" s="10" t="s">
        <v>59</v>
      </c>
      <c r="AI20" s="9">
        <v>1</v>
      </c>
      <c r="AJ20" s="9">
        <v>0.37793645700730899</v>
      </c>
      <c r="AK20" s="10" t="s">
        <v>51</v>
      </c>
      <c r="AL20" s="8"/>
      <c r="AM20" s="8"/>
      <c r="AN20" s="8"/>
      <c r="AO20" s="9">
        <v>5</v>
      </c>
      <c r="AP20" s="9">
        <v>1</v>
      </c>
      <c r="AQ20" s="10" t="s">
        <v>110</v>
      </c>
      <c r="AR20" s="10" t="s">
        <v>53</v>
      </c>
      <c r="AS20" s="8"/>
      <c r="AT20" s="10" t="s">
        <v>54</v>
      </c>
      <c r="AU20" s="9">
        <v>121.002689767825</v>
      </c>
      <c r="AV20" s="10" t="s">
        <v>111</v>
      </c>
      <c r="AW20" s="8"/>
    </row>
    <row r="21" spans="1:49" x14ac:dyDescent="0.15">
      <c r="A21" s="11" t="s">
        <v>70</v>
      </c>
      <c r="B21" s="12" t="s">
        <v>61</v>
      </c>
      <c r="C21" s="10" t="s">
        <v>62</v>
      </c>
      <c r="D21" s="10" t="s">
        <v>63</v>
      </c>
      <c r="E21" s="9">
        <v>47</v>
      </c>
      <c r="F21" s="9">
        <v>47</v>
      </c>
      <c r="G21" s="9">
        <v>1</v>
      </c>
      <c r="H21" s="10" t="s">
        <v>63</v>
      </c>
      <c r="I21" s="9">
        <v>1</v>
      </c>
      <c r="J21" s="9">
        <v>0.33228074999351498</v>
      </c>
      <c r="K21" s="10" t="s">
        <v>51</v>
      </c>
      <c r="L21" s="9">
        <v>1</v>
      </c>
      <c r="M21" s="9">
        <v>47</v>
      </c>
      <c r="N21" s="9">
        <v>47</v>
      </c>
      <c r="O21" s="9">
        <v>13</v>
      </c>
      <c r="P21" s="9">
        <v>65.531818041999898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9">
        <v>65.522642833995604</v>
      </c>
      <c r="AC21" s="9">
        <v>65.531818041999898</v>
      </c>
      <c r="AD21" s="9">
        <v>66.0151529169962</v>
      </c>
      <c r="AE21" s="9">
        <v>66.0151529169962</v>
      </c>
      <c r="AF21" s="9">
        <v>66.0151529169962</v>
      </c>
      <c r="AG21" s="9">
        <v>66.350631583991301</v>
      </c>
      <c r="AH21" s="10" t="s">
        <v>63</v>
      </c>
      <c r="AI21" s="9">
        <v>1</v>
      </c>
      <c r="AJ21" s="9">
        <v>0.33228074999351498</v>
      </c>
      <c r="AK21" s="10" t="s">
        <v>51</v>
      </c>
      <c r="AL21" s="8"/>
      <c r="AM21" s="8"/>
      <c r="AN21" s="8"/>
      <c r="AO21" s="9">
        <v>5</v>
      </c>
      <c r="AP21" s="9">
        <v>1</v>
      </c>
      <c r="AQ21" s="10" t="s">
        <v>110</v>
      </c>
      <c r="AR21" s="10" t="s">
        <v>53</v>
      </c>
      <c r="AS21" s="8"/>
      <c r="AT21" s="10" t="s">
        <v>54</v>
      </c>
      <c r="AU21" s="9">
        <v>121.002689767825</v>
      </c>
      <c r="AV21" s="10" t="s">
        <v>111</v>
      </c>
      <c r="AW21" s="8"/>
    </row>
    <row r="22" spans="1:49" x14ac:dyDescent="0.15">
      <c r="A22" s="11" t="s">
        <v>60</v>
      </c>
      <c r="B22" s="12" t="s">
        <v>61</v>
      </c>
      <c r="C22" s="10" t="s">
        <v>58</v>
      </c>
      <c r="D22" s="10" t="s">
        <v>59</v>
      </c>
      <c r="E22" s="9">
        <v>49</v>
      </c>
      <c r="F22" s="9">
        <v>49</v>
      </c>
      <c r="G22" s="9">
        <v>0</v>
      </c>
      <c r="H22" s="10" t="s">
        <v>59</v>
      </c>
      <c r="I22" s="9">
        <v>1</v>
      </c>
      <c r="J22" s="9">
        <v>0.407218207998085</v>
      </c>
      <c r="K22" s="10" t="s">
        <v>51</v>
      </c>
      <c r="L22" s="9">
        <v>0</v>
      </c>
      <c r="M22" s="9">
        <v>49</v>
      </c>
      <c r="N22" s="9">
        <v>49</v>
      </c>
      <c r="O22" s="9">
        <v>8</v>
      </c>
      <c r="P22" s="9">
        <v>67.380800083992696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9">
        <v>67.371542833992905</v>
      </c>
      <c r="AC22" s="9">
        <v>67.380800083992696</v>
      </c>
      <c r="AD22" s="9">
        <v>67.865201708991705</v>
      </c>
      <c r="AE22" s="9">
        <v>67.865201708991705</v>
      </c>
      <c r="AF22" s="9">
        <v>67.865201708991705</v>
      </c>
      <c r="AG22" s="9">
        <v>68.283973083991398</v>
      </c>
      <c r="AH22" s="10" t="s">
        <v>59</v>
      </c>
      <c r="AI22" s="9">
        <v>1</v>
      </c>
      <c r="AJ22" s="9">
        <v>0.407218207998085</v>
      </c>
      <c r="AK22" s="10" t="s">
        <v>51</v>
      </c>
      <c r="AL22" s="8"/>
      <c r="AM22" s="8"/>
      <c r="AN22" s="8"/>
      <c r="AO22" s="9">
        <v>5</v>
      </c>
      <c r="AP22" s="9">
        <v>1</v>
      </c>
      <c r="AQ22" s="10" t="s">
        <v>110</v>
      </c>
      <c r="AR22" s="10" t="s">
        <v>53</v>
      </c>
      <c r="AS22" s="8"/>
      <c r="AT22" s="10" t="s">
        <v>54</v>
      </c>
      <c r="AU22" s="9">
        <v>121.002689767825</v>
      </c>
      <c r="AV22" s="10" t="s">
        <v>111</v>
      </c>
      <c r="AW22" s="8"/>
    </row>
    <row r="23" spans="1:49" x14ac:dyDescent="0.15">
      <c r="A23" s="11" t="s">
        <v>64</v>
      </c>
      <c r="B23" s="12" t="s">
        <v>61</v>
      </c>
      <c r="C23" s="10" t="s">
        <v>62</v>
      </c>
      <c r="D23" s="10" t="s">
        <v>63</v>
      </c>
      <c r="E23" s="9">
        <v>51</v>
      </c>
      <c r="F23" s="9">
        <v>51</v>
      </c>
      <c r="G23" s="9">
        <v>2</v>
      </c>
      <c r="H23" s="10" t="s">
        <v>63</v>
      </c>
      <c r="I23" s="9">
        <v>1</v>
      </c>
      <c r="J23" s="9">
        <v>0.37789983300899599</v>
      </c>
      <c r="K23" s="10" t="s">
        <v>51</v>
      </c>
      <c r="L23" s="9">
        <v>2</v>
      </c>
      <c r="M23" s="9">
        <v>51</v>
      </c>
      <c r="N23" s="9">
        <v>51</v>
      </c>
      <c r="O23" s="9">
        <v>5</v>
      </c>
      <c r="P23" s="9">
        <v>69.187680584000205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9">
        <v>69.177717291997396</v>
      </c>
      <c r="AC23" s="9">
        <v>69.187680584000205</v>
      </c>
      <c r="AD23" s="9">
        <v>69.674498624997796</v>
      </c>
      <c r="AE23" s="9">
        <v>69.674498624997796</v>
      </c>
      <c r="AF23" s="9">
        <v>69.674498624997796</v>
      </c>
      <c r="AG23" s="9">
        <v>70.056605666992297</v>
      </c>
      <c r="AH23" s="10" t="s">
        <v>63</v>
      </c>
      <c r="AI23" s="9">
        <v>1</v>
      </c>
      <c r="AJ23" s="9">
        <v>0.37789983300899599</v>
      </c>
      <c r="AK23" s="10" t="s">
        <v>51</v>
      </c>
      <c r="AL23" s="8"/>
      <c r="AM23" s="8"/>
      <c r="AN23" s="8"/>
      <c r="AO23" s="9">
        <v>5</v>
      </c>
      <c r="AP23" s="9">
        <v>1</v>
      </c>
      <c r="AQ23" s="10" t="s">
        <v>110</v>
      </c>
      <c r="AR23" s="10" t="s">
        <v>53</v>
      </c>
      <c r="AS23" s="8"/>
      <c r="AT23" s="10" t="s">
        <v>54</v>
      </c>
      <c r="AU23" s="9">
        <v>121.002689767825</v>
      </c>
      <c r="AV23" s="10" t="s">
        <v>111</v>
      </c>
      <c r="AW23" s="8"/>
    </row>
    <row r="24" spans="1:49" x14ac:dyDescent="0.15">
      <c r="A24" s="11" t="s">
        <v>79</v>
      </c>
      <c r="B24" s="12" t="s">
        <v>61</v>
      </c>
      <c r="C24" s="10" t="s">
        <v>58</v>
      </c>
      <c r="D24" s="10" t="s">
        <v>59</v>
      </c>
      <c r="E24" s="9">
        <v>53</v>
      </c>
      <c r="F24" s="9">
        <v>53</v>
      </c>
      <c r="G24" s="9">
        <v>1</v>
      </c>
      <c r="H24" s="10" t="s">
        <v>59</v>
      </c>
      <c r="I24" s="9">
        <v>1</v>
      </c>
      <c r="J24" s="9">
        <v>0.587408040999435</v>
      </c>
      <c r="K24" s="10" t="s">
        <v>51</v>
      </c>
      <c r="L24" s="9">
        <v>1</v>
      </c>
      <c r="M24" s="9">
        <v>53</v>
      </c>
      <c r="N24" s="9">
        <v>53</v>
      </c>
      <c r="O24" s="9">
        <v>6</v>
      </c>
      <c r="P24" s="9">
        <v>70.913990250002797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9">
        <v>70.904923209003798</v>
      </c>
      <c r="AC24" s="9">
        <v>70.913990250002797</v>
      </c>
      <c r="AD24" s="9">
        <v>71.399012791996896</v>
      </c>
      <c r="AE24" s="9">
        <v>71.399012791996896</v>
      </c>
      <c r="AF24" s="9">
        <v>71.399012791996896</v>
      </c>
      <c r="AG24" s="9">
        <v>71.989982541999794</v>
      </c>
      <c r="AH24" s="10" t="s">
        <v>59</v>
      </c>
      <c r="AI24" s="9">
        <v>1</v>
      </c>
      <c r="AJ24" s="9">
        <v>0.587408040999435</v>
      </c>
      <c r="AK24" s="10" t="s">
        <v>51</v>
      </c>
      <c r="AL24" s="8"/>
      <c r="AM24" s="8"/>
      <c r="AN24" s="8"/>
      <c r="AO24" s="9">
        <v>5</v>
      </c>
      <c r="AP24" s="9">
        <v>1</v>
      </c>
      <c r="AQ24" s="10" t="s">
        <v>110</v>
      </c>
      <c r="AR24" s="10" t="s">
        <v>53</v>
      </c>
      <c r="AS24" s="8"/>
      <c r="AT24" s="10" t="s">
        <v>54</v>
      </c>
      <c r="AU24" s="9">
        <v>121.002689767825</v>
      </c>
      <c r="AV24" s="10" t="s">
        <v>111</v>
      </c>
      <c r="AW24" s="8"/>
    </row>
    <row r="25" spans="1:49" x14ac:dyDescent="0.15">
      <c r="A25" s="11" t="s">
        <v>64</v>
      </c>
      <c r="B25" s="12" t="s">
        <v>61</v>
      </c>
      <c r="C25" s="10" t="s">
        <v>58</v>
      </c>
      <c r="D25" s="10" t="s">
        <v>59</v>
      </c>
      <c r="E25" s="9">
        <v>57</v>
      </c>
      <c r="F25" s="9">
        <v>57</v>
      </c>
      <c r="G25" s="9">
        <v>2</v>
      </c>
      <c r="H25" s="10" t="s">
        <v>59</v>
      </c>
      <c r="I25" s="9">
        <v>1</v>
      </c>
      <c r="J25" s="9">
        <v>0.32591587399656402</v>
      </c>
      <c r="K25" s="10" t="s">
        <v>51</v>
      </c>
      <c r="L25" s="9">
        <v>2</v>
      </c>
      <c r="M25" s="9">
        <v>57</v>
      </c>
      <c r="N25" s="9">
        <v>57</v>
      </c>
      <c r="O25" s="9">
        <v>4</v>
      </c>
      <c r="P25" s="9">
        <v>74.981818458996699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9">
        <v>74.972433458999205</v>
      </c>
      <c r="AC25" s="9">
        <v>74.981818458996699</v>
      </c>
      <c r="AD25" s="9">
        <v>75.465687999996604</v>
      </c>
      <c r="AE25" s="9">
        <v>75.465687999996604</v>
      </c>
      <c r="AF25" s="9">
        <v>75.465687999996604</v>
      </c>
      <c r="AG25" s="9">
        <v>75.800874958993504</v>
      </c>
      <c r="AH25" s="10" t="s">
        <v>59</v>
      </c>
      <c r="AI25" s="9">
        <v>1</v>
      </c>
      <c r="AJ25" s="9">
        <v>0.32591587399656402</v>
      </c>
      <c r="AK25" s="10" t="s">
        <v>51</v>
      </c>
      <c r="AL25" s="8"/>
      <c r="AM25" s="8"/>
      <c r="AN25" s="8"/>
      <c r="AO25" s="9">
        <v>5</v>
      </c>
      <c r="AP25" s="9">
        <v>1</v>
      </c>
      <c r="AQ25" s="10" t="s">
        <v>110</v>
      </c>
      <c r="AR25" s="10" t="s">
        <v>53</v>
      </c>
      <c r="AS25" s="8"/>
      <c r="AT25" s="10" t="s">
        <v>54</v>
      </c>
      <c r="AU25" s="9">
        <v>121.002689767825</v>
      </c>
      <c r="AV25" s="10" t="s">
        <v>111</v>
      </c>
      <c r="AW25" s="8"/>
    </row>
    <row r="26" spans="1:49" x14ac:dyDescent="0.15">
      <c r="A26" s="11" t="s">
        <v>74</v>
      </c>
      <c r="B26" s="12" t="s">
        <v>61</v>
      </c>
      <c r="C26" s="10" t="s">
        <v>58</v>
      </c>
      <c r="D26" s="10" t="s">
        <v>59</v>
      </c>
      <c r="E26" s="9">
        <v>66</v>
      </c>
      <c r="F26" s="9">
        <v>66</v>
      </c>
      <c r="G26" s="9">
        <v>0</v>
      </c>
      <c r="H26" s="10" t="s">
        <v>59</v>
      </c>
      <c r="I26" s="9">
        <v>1</v>
      </c>
      <c r="J26" s="9">
        <v>0.33997733300202498</v>
      </c>
      <c r="K26" s="10" t="s">
        <v>51</v>
      </c>
      <c r="L26" s="9">
        <v>0</v>
      </c>
      <c r="M26" s="9">
        <v>66</v>
      </c>
      <c r="N26" s="9">
        <v>66</v>
      </c>
      <c r="O26" s="9">
        <v>0</v>
      </c>
      <c r="P26" s="9">
        <v>83.304523083992507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9">
        <v>83.294512916996595</v>
      </c>
      <c r="AC26" s="9">
        <v>83.304523083992507</v>
      </c>
      <c r="AD26" s="9">
        <v>83.789983124996098</v>
      </c>
      <c r="AE26" s="9">
        <v>83.789983124996098</v>
      </c>
      <c r="AF26" s="9">
        <v>83.789983124996098</v>
      </c>
      <c r="AG26" s="9">
        <v>84.134484209003901</v>
      </c>
      <c r="AH26" s="10" t="s">
        <v>59</v>
      </c>
      <c r="AI26" s="9">
        <v>1</v>
      </c>
      <c r="AJ26" s="9">
        <v>0.33997733300202498</v>
      </c>
      <c r="AK26" s="10" t="s">
        <v>51</v>
      </c>
      <c r="AL26" s="8"/>
      <c r="AM26" s="8"/>
      <c r="AN26" s="8"/>
      <c r="AO26" s="9">
        <v>5</v>
      </c>
      <c r="AP26" s="9">
        <v>1</v>
      </c>
      <c r="AQ26" s="10" t="s">
        <v>110</v>
      </c>
      <c r="AR26" s="10" t="s">
        <v>53</v>
      </c>
      <c r="AS26" s="8"/>
      <c r="AT26" s="10" t="s">
        <v>54</v>
      </c>
      <c r="AU26" s="9">
        <v>121.002689767825</v>
      </c>
      <c r="AV26" s="10" t="s">
        <v>111</v>
      </c>
      <c r="AW26" s="8"/>
    </row>
    <row r="27" spans="1:49" x14ac:dyDescent="0.15">
      <c r="A27" s="11" t="s">
        <v>70</v>
      </c>
      <c r="B27" s="12" t="s">
        <v>61</v>
      </c>
      <c r="C27" s="10" t="s">
        <v>62</v>
      </c>
      <c r="D27" s="10" t="s">
        <v>63</v>
      </c>
      <c r="E27" s="9">
        <v>69</v>
      </c>
      <c r="F27" s="9">
        <v>69</v>
      </c>
      <c r="G27" s="9">
        <v>2</v>
      </c>
      <c r="H27" s="10" t="s">
        <v>63</v>
      </c>
      <c r="I27" s="9">
        <v>1</v>
      </c>
      <c r="J27" s="9">
        <v>0.30508524998731401</v>
      </c>
      <c r="K27" s="10" t="s">
        <v>51</v>
      </c>
      <c r="L27" s="9">
        <v>2</v>
      </c>
      <c r="M27" s="9">
        <v>69</v>
      </c>
      <c r="N27" s="9">
        <v>69</v>
      </c>
      <c r="O27" s="9">
        <v>13</v>
      </c>
      <c r="P27" s="9">
        <v>85.865823125001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9">
        <v>85.856599874998196</v>
      </c>
      <c r="AC27" s="9">
        <v>85.865823125001</v>
      </c>
      <c r="AD27" s="9">
        <v>86.349732667004005</v>
      </c>
      <c r="AE27" s="9">
        <v>86.349732667004005</v>
      </c>
      <c r="AF27" s="9">
        <v>86.349732667004005</v>
      </c>
      <c r="AG27" s="9">
        <v>86.657337958997203</v>
      </c>
      <c r="AH27" s="10" t="s">
        <v>63</v>
      </c>
      <c r="AI27" s="9">
        <v>1</v>
      </c>
      <c r="AJ27" s="9">
        <v>0.30508524998731401</v>
      </c>
      <c r="AK27" s="10" t="s">
        <v>51</v>
      </c>
      <c r="AL27" s="8"/>
      <c r="AM27" s="8"/>
      <c r="AN27" s="8"/>
      <c r="AO27" s="9">
        <v>5</v>
      </c>
      <c r="AP27" s="9">
        <v>1</v>
      </c>
      <c r="AQ27" s="10" t="s">
        <v>110</v>
      </c>
      <c r="AR27" s="10" t="s">
        <v>53</v>
      </c>
      <c r="AS27" s="8"/>
      <c r="AT27" s="10" t="s">
        <v>54</v>
      </c>
      <c r="AU27" s="9">
        <v>121.002689767825</v>
      </c>
      <c r="AV27" s="10" t="s">
        <v>111</v>
      </c>
      <c r="AW27" s="8"/>
    </row>
    <row r="28" spans="1:49" x14ac:dyDescent="0.15">
      <c r="A28" s="11" t="s">
        <v>85</v>
      </c>
      <c r="B28" s="12" t="s">
        <v>61</v>
      </c>
      <c r="C28" s="10" t="s">
        <v>62</v>
      </c>
      <c r="D28" s="10" t="s">
        <v>63</v>
      </c>
      <c r="E28" s="9">
        <v>71</v>
      </c>
      <c r="F28" s="9">
        <v>71</v>
      </c>
      <c r="G28" s="9">
        <v>2</v>
      </c>
      <c r="H28" s="10" t="s">
        <v>63</v>
      </c>
      <c r="I28" s="9">
        <v>1</v>
      </c>
      <c r="J28" s="9">
        <v>0.55302362400107097</v>
      </c>
      <c r="K28" s="10" t="s">
        <v>51</v>
      </c>
      <c r="L28" s="9">
        <v>2</v>
      </c>
      <c r="M28" s="9">
        <v>71</v>
      </c>
      <c r="N28" s="9">
        <v>71</v>
      </c>
      <c r="O28" s="9">
        <v>11</v>
      </c>
      <c r="P28" s="9">
        <v>87.498559416999299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9">
        <v>87.489432250004</v>
      </c>
      <c r="AC28" s="9">
        <v>87.498559416999299</v>
      </c>
      <c r="AD28" s="9">
        <v>87.982720999993006</v>
      </c>
      <c r="AE28" s="9">
        <v>87.982720999993006</v>
      </c>
      <c r="AF28" s="9">
        <v>87.982720999993006</v>
      </c>
      <c r="AG28" s="9">
        <v>88.540861333996901</v>
      </c>
      <c r="AH28" s="10" t="s">
        <v>63</v>
      </c>
      <c r="AI28" s="9">
        <v>1</v>
      </c>
      <c r="AJ28" s="9">
        <v>0.55302362400107097</v>
      </c>
      <c r="AK28" s="10" t="s">
        <v>51</v>
      </c>
      <c r="AL28" s="8"/>
      <c r="AM28" s="8"/>
      <c r="AN28" s="8"/>
      <c r="AO28" s="9">
        <v>5</v>
      </c>
      <c r="AP28" s="9">
        <v>1</v>
      </c>
      <c r="AQ28" s="10" t="s">
        <v>110</v>
      </c>
      <c r="AR28" s="10" t="s">
        <v>53</v>
      </c>
      <c r="AS28" s="8"/>
      <c r="AT28" s="10" t="s">
        <v>54</v>
      </c>
      <c r="AU28" s="9">
        <v>121.002689767825</v>
      </c>
      <c r="AV28" s="10" t="s">
        <v>111</v>
      </c>
      <c r="AW28" s="8"/>
    </row>
    <row r="29" spans="1:49" x14ac:dyDescent="0.15">
      <c r="A29" s="11" t="s">
        <v>83</v>
      </c>
      <c r="B29" s="12" t="s">
        <v>61</v>
      </c>
      <c r="C29" s="10" t="s">
        <v>62</v>
      </c>
      <c r="D29" s="10" t="s">
        <v>63</v>
      </c>
      <c r="E29" s="9">
        <v>72</v>
      </c>
      <c r="F29" s="9">
        <v>72</v>
      </c>
      <c r="G29" s="9">
        <v>1</v>
      </c>
      <c r="H29" s="10" t="s">
        <v>63</v>
      </c>
      <c r="I29" s="9">
        <v>1</v>
      </c>
      <c r="J29" s="9">
        <v>0.62173741598962795</v>
      </c>
      <c r="K29" s="10" t="s">
        <v>51</v>
      </c>
      <c r="L29" s="9">
        <v>1</v>
      </c>
      <c r="M29" s="9">
        <v>72</v>
      </c>
      <c r="N29" s="9">
        <v>72</v>
      </c>
      <c r="O29" s="9">
        <v>3</v>
      </c>
      <c r="P29" s="9">
        <v>88.554533458998804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9">
        <v>88.545492459001295</v>
      </c>
      <c r="AC29" s="9">
        <v>88.554533458998804</v>
      </c>
      <c r="AD29" s="9">
        <v>89.042362459003897</v>
      </c>
      <c r="AE29" s="9">
        <v>89.042362459003897</v>
      </c>
      <c r="AF29" s="9">
        <v>89.042362459003897</v>
      </c>
      <c r="AG29" s="9">
        <v>89.668169708995293</v>
      </c>
      <c r="AH29" s="10" t="s">
        <v>63</v>
      </c>
      <c r="AI29" s="9">
        <v>1</v>
      </c>
      <c r="AJ29" s="9">
        <v>0.62173741598962795</v>
      </c>
      <c r="AK29" s="10" t="s">
        <v>51</v>
      </c>
      <c r="AL29" s="8"/>
      <c r="AM29" s="8"/>
      <c r="AN29" s="8"/>
      <c r="AO29" s="9">
        <v>5</v>
      </c>
      <c r="AP29" s="9">
        <v>1</v>
      </c>
      <c r="AQ29" s="10" t="s">
        <v>110</v>
      </c>
      <c r="AR29" s="10" t="s">
        <v>53</v>
      </c>
      <c r="AS29" s="8"/>
      <c r="AT29" s="10" t="s">
        <v>54</v>
      </c>
      <c r="AU29" s="9">
        <v>121.002689767825</v>
      </c>
      <c r="AV29" s="10" t="s">
        <v>111</v>
      </c>
      <c r="AW29" s="8"/>
    </row>
    <row r="30" spans="1:49" x14ac:dyDescent="0.15">
      <c r="A30" s="11" t="s">
        <v>74</v>
      </c>
      <c r="B30" s="12" t="s">
        <v>61</v>
      </c>
      <c r="C30" s="10" t="s">
        <v>62</v>
      </c>
      <c r="D30" s="10" t="s">
        <v>63</v>
      </c>
      <c r="E30" s="9">
        <v>73</v>
      </c>
      <c r="F30" s="9">
        <v>73</v>
      </c>
      <c r="G30" s="9">
        <v>2</v>
      </c>
      <c r="H30" s="10" t="s">
        <v>63</v>
      </c>
      <c r="I30" s="9">
        <v>1</v>
      </c>
      <c r="J30" s="9">
        <v>0.29483866599912301</v>
      </c>
      <c r="K30" s="10" t="s">
        <v>51</v>
      </c>
      <c r="L30" s="9">
        <v>2</v>
      </c>
      <c r="M30" s="9">
        <v>73</v>
      </c>
      <c r="N30" s="9">
        <v>73</v>
      </c>
      <c r="O30" s="9">
        <v>1</v>
      </c>
      <c r="P30" s="9">
        <v>89.682364334003097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9">
        <v>89.673107458991595</v>
      </c>
      <c r="AC30" s="9">
        <v>89.682364334003097</v>
      </c>
      <c r="AD30" s="9">
        <v>90.166072499996503</v>
      </c>
      <c r="AE30" s="9">
        <v>90.166072499996503</v>
      </c>
      <c r="AF30" s="9">
        <v>90.166072499996503</v>
      </c>
      <c r="AG30" s="9">
        <v>90.468191499996493</v>
      </c>
      <c r="AH30" s="10" t="s">
        <v>63</v>
      </c>
      <c r="AI30" s="9">
        <v>1</v>
      </c>
      <c r="AJ30" s="9">
        <v>0.29483866599912301</v>
      </c>
      <c r="AK30" s="10" t="s">
        <v>51</v>
      </c>
      <c r="AL30" s="8"/>
      <c r="AM30" s="8"/>
      <c r="AN30" s="8"/>
      <c r="AO30" s="9">
        <v>5</v>
      </c>
      <c r="AP30" s="9">
        <v>1</v>
      </c>
      <c r="AQ30" s="10" t="s">
        <v>110</v>
      </c>
      <c r="AR30" s="10" t="s">
        <v>53</v>
      </c>
      <c r="AS30" s="8"/>
      <c r="AT30" s="10" t="s">
        <v>54</v>
      </c>
      <c r="AU30" s="9">
        <v>121.002689767825</v>
      </c>
      <c r="AV30" s="10" t="s">
        <v>111</v>
      </c>
      <c r="AW30" s="8"/>
    </row>
    <row r="31" spans="1:49" x14ac:dyDescent="0.15">
      <c r="A31" s="11" t="s">
        <v>79</v>
      </c>
      <c r="B31" s="12" t="s">
        <v>61</v>
      </c>
      <c r="C31" s="10" t="s">
        <v>58</v>
      </c>
      <c r="D31" s="10" t="s">
        <v>59</v>
      </c>
      <c r="E31" s="9">
        <v>75</v>
      </c>
      <c r="F31" s="9">
        <v>75</v>
      </c>
      <c r="G31" s="9">
        <v>2</v>
      </c>
      <c r="H31" s="10" t="s">
        <v>59</v>
      </c>
      <c r="I31" s="9">
        <v>1</v>
      </c>
      <c r="J31" s="9">
        <v>0.72570304101100203</v>
      </c>
      <c r="K31" s="10" t="s">
        <v>51</v>
      </c>
      <c r="L31" s="9">
        <v>2</v>
      </c>
      <c r="M31" s="9">
        <v>75</v>
      </c>
      <c r="N31" s="9">
        <v>75</v>
      </c>
      <c r="O31" s="9">
        <v>6</v>
      </c>
      <c r="P31" s="9">
        <v>91.388387749990201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9">
        <v>91.378681166999698</v>
      </c>
      <c r="AC31" s="9">
        <v>91.388387749990201</v>
      </c>
      <c r="AD31" s="9">
        <v>91.8750679590012</v>
      </c>
      <c r="AE31" s="9">
        <v>91.8750679590012</v>
      </c>
      <c r="AF31" s="9">
        <v>91.8750679590012</v>
      </c>
      <c r="AG31" s="9">
        <v>92.606914125004593</v>
      </c>
      <c r="AH31" s="10" t="s">
        <v>59</v>
      </c>
      <c r="AI31" s="9">
        <v>1</v>
      </c>
      <c r="AJ31" s="9">
        <v>0.72570304101100203</v>
      </c>
      <c r="AK31" s="10" t="s">
        <v>51</v>
      </c>
      <c r="AL31" s="8"/>
      <c r="AM31" s="8"/>
      <c r="AN31" s="8"/>
      <c r="AO31" s="9">
        <v>5</v>
      </c>
      <c r="AP31" s="9">
        <v>1</v>
      </c>
      <c r="AQ31" s="10" t="s">
        <v>110</v>
      </c>
      <c r="AR31" s="10" t="s">
        <v>53</v>
      </c>
      <c r="AS31" s="8"/>
      <c r="AT31" s="10" t="s">
        <v>54</v>
      </c>
      <c r="AU31" s="9">
        <v>121.002689767825</v>
      </c>
      <c r="AV31" s="10" t="s">
        <v>111</v>
      </c>
      <c r="AW31" s="8"/>
    </row>
    <row r="32" spans="1:49" x14ac:dyDescent="0.15">
      <c r="A32" s="11" t="s">
        <v>79</v>
      </c>
      <c r="B32" s="12" t="s">
        <v>61</v>
      </c>
      <c r="C32" s="10" t="s">
        <v>62</v>
      </c>
      <c r="D32" s="10" t="s">
        <v>63</v>
      </c>
      <c r="E32" s="9">
        <v>82</v>
      </c>
      <c r="F32" s="9">
        <v>82</v>
      </c>
      <c r="G32" s="9">
        <v>0</v>
      </c>
      <c r="H32" s="10" t="s">
        <v>63</v>
      </c>
      <c r="I32" s="9">
        <v>1</v>
      </c>
      <c r="J32" s="9">
        <v>0.38487633300246699</v>
      </c>
      <c r="K32" s="10" t="s">
        <v>51</v>
      </c>
      <c r="L32" s="9">
        <v>0</v>
      </c>
      <c r="M32" s="9">
        <v>82</v>
      </c>
      <c r="N32" s="9">
        <v>82</v>
      </c>
      <c r="O32" s="9">
        <v>7</v>
      </c>
      <c r="P32" s="9">
        <v>98.448498458994393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9">
        <v>98.439342333993395</v>
      </c>
      <c r="AC32" s="9">
        <v>98.448498458994393</v>
      </c>
      <c r="AD32" s="9">
        <v>98.933075334003703</v>
      </c>
      <c r="AE32" s="9">
        <v>98.933075334003703</v>
      </c>
      <c r="AF32" s="9">
        <v>98.933075334003703</v>
      </c>
      <c r="AG32" s="9">
        <v>99.325472041993606</v>
      </c>
      <c r="AH32" s="10" t="s">
        <v>63</v>
      </c>
      <c r="AI32" s="9">
        <v>1</v>
      </c>
      <c r="AJ32" s="9">
        <v>0.38487633300246699</v>
      </c>
      <c r="AK32" s="10" t="s">
        <v>51</v>
      </c>
      <c r="AL32" s="8"/>
      <c r="AM32" s="8"/>
      <c r="AN32" s="8"/>
      <c r="AO32" s="9">
        <v>5</v>
      </c>
      <c r="AP32" s="9">
        <v>1</v>
      </c>
      <c r="AQ32" s="10" t="s">
        <v>110</v>
      </c>
      <c r="AR32" s="10" t="s">
        <v>53</v>
      </c>
      <c r="AS32" s="8"/>
      <c r="AT32" s="10" t="s">
        <v>54</v>
      </c>
      <c r="AU32" s="9">
        <v>121.002689767825</v>
      </c>
      <c r="AV32" s="10" t="s">
        <v>111</v>
      </c>
      <c r="AW32" s="8"/>
    </row>
    <row r="33" spans="1:49" x14ac:dyDescent="0.15">
      <c r="A33" s="11" t="s">
        <v>60</v>
      </c>
      <c r="B33" s="12" t="s">
        <v>61</v>
      </c>
      <c r="C33" s="10" t="s">
        <v>58</v>
      </c>
      <c r="D33" s="10" t="s">
        <v>59</v>
      </c>
      <c r="E33" s="9">
        <v>83</v>
      </c>
      <c r="F33" s="9">
        <v>83</v>
      </c>
      <c r="G33" s="9">
        <v>1</v>
      </c>
      <c r="H33" s="10" t="s">
        <v>63</v>
      </c>
      <c r="I33" s="9">
        <v>0</v>
      </c>
      <c r="J33" s="9">
        <v>0.414815041003749</v>
      </c>
      <c r="K33" s="10" t="s">
        <v>51</v>
      </c>
      <c r="L33" s="9">
        <v>1</v>
      </c>
      <c r="M33" s="9">
        <v>83</v>
      </c>
      <c r="N33" s="9">
        <v>83</v>
      </c>
      <c r="O33" s="9">
        <v>8</v>
      </c>
      <c r="P33" s="9">
        <v>99.3398501670017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9">
        <v>99.329584791994407</v>
      </c>
      <c r="AC33" s="9">
        <v>99.3398501670017</v>
      </c>
      <c r="AD33" s="9">
        <v>99.826111499991399</v>
      </c>
      <c r="AE33" s="9">
        <v>99.826111499991399</v>
      </c>
      <c r="AF33" s="9">
        <v>99.826111499991399</v>
      </c>
      <c r="AG33" s="9">
        <v>100.252029166993</v>
      </c>
      <c r="AH33" s="10" t="s">
        <v>63</v>
      </c>
      <c r="AI33" s="9">
        <v>0</v>
      </c>
      <c r="AJ33" s="9">
        <v>0.414815041003749</v>
      </c>
      <c r="AK33" s="10" t="s">
        <v>51</v>
      </c>
      <c r="AL33" s="8"/>
      <c r="AM33" s="8"/>
      <c r="AN33" s="8"/>
      <c r="AO33" s="9">
        <v>5</v>
      </c>
      <c r="AP33" s="9">
        <v>1</v>
      </c>
      <c r="AQ33" s="10" t="s">
        <v>110</v>
      </c>
      <c r="AR33" s="10" t="s">
        <v>53</v>
      </c>
      <c r="AS33" s="8"/>
      <c r="AT33" s="10" t="s">
        <v>54</v>
      </c>
      <c r="AU33" s="9">
        <v>121.002689767825</v>
      </c>
      <c r="AV33" s="10" t="s">
        <v>111</v>
      </c>
      <c r="AW33" s="8"/>
    </row>
    <row r="34" spans="1:49" x14ac:dyDescent="0.15">
      <c r="A34" s="11" t="s">
        <v>60</v>
      </c>
      <c r="B34" s="12" t="s">
        <v>61</v>
      </c>
      <c r="C34" s="10" t="s">
        <v>58</v>
      </c>
      <c r="D34" s="10" t="s">
        <v>59</v>
      </c>
      <c r="E34" s="9">
        <v>84</v>
      </c>
      <c r="F34" s="9">
        <v>84</v>
      </c>
      <c r="G34" s="9">
        <v>2</v>
      </c>
      <c r="H34" s="10" t="s">
        <v>59</v>
      </c>
      <c r="I34" s="9">
        <v>1</v>
      </c>
      <c r="J34" s="9">
        <v>0.49915808199148198</v>
      </c>
      <c r="K34" s="10" t="s">
        <v>51</v>
      </c>
      <c r="L34" s="9">
        <v>2</v>
      </c>
      <c r="M34" s="9">
        <v>84</v>
      </c>
      <c r="N34" s="9">
        <v>84</v>
      </c>
      <c r="O34" s="9">
        <v>8</v>
      </c>
      <c r="P34" s="9">
        <v>100.262887624995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9">
        <v>100.253243874991</v>
      </c>
      <c r="AC34" s="9">
        <v>100.262887624995</v>
      </c>
      <c r="AD34" s="9">
        <v>100.750022499997</v>
      </c>
      <c r="AE34" s="9">
        <v>100.750022499997</v>
      </c>
      <c r="AF34" s="9">
        <v>100.750022499997</v>
      </c>
      <c r="AG34" s="9">
        <v>101.25186895899201</v>
      </c>
      <c r="AH34" s="10" t="s">
        <v>59</v>
      </c>
      <c r="AI34" s="9">
        <v>1</v>
      </c>
      <c r="AJ34" s="9">
        <v>0.49915808199148198</v>
      </c>
      <c r="AK34" s="10" t="s">
        <v>51</v>
      </c>
      <c r="AL34" s="8"/>
      <c r="AM34" s="8"/>
      <c r="AN34" s="8"/>
      <c r="AO34" s="9">
        <v>5</v>
      </c>
      <c r="AP34" s="9">
        <v>1</v>
      </c>
      <c r="AQ34" s="10" t="s">
        <v>110</v>
      </c>
      <c r="AR34" s="10" t="s">
        <v>53</v>
      </c>
      <c r="AS34" s="8"/>
      <c r="AT34" s="10" t="s">
        <v>54</v>
      </c>
      <c r="AU34" s="9">
        <v>121.002689767825</v>
      </c>
      <c r="AV34" s="10" t="s">
        <v>111</v>
      </c>
      <c r="AW34" s="8"/>
    </row>
    <row r="35" spans="1:49" x14ac:dyDescent="0.15">
      <c r="A35" s="11" t="s">
        <v>79</v>
      </c>
      <c r="B35" s="12" t="s">
        <v>61</v>
      </c>
      <c r="C35" s="10" t="s">
        <v>62</v>
      </c>
      <c r="D35" s="10" t="s">
        <v>63</v>
      </c>
      <c r="E35" s="9">
        <v>85</v>
      </c>
      <c r="F35" s="9">
        <v>85</v>
      </c>
      <c r="G35" s="9">
        <v>1</v>
      </c>
      <c r="H35" s="10" t="s">
        <v>63</v>
      </c>
      <c r="I35" s="9">
        <v>1</v>
      </c>
      <c r="J35" s="9">
        <v>0.60318441600247796</v>
      </c>
      <c r="K35" s="10" t="s">
        <v>51</v>
      </c>
      <c r="L35" s="9">
        <v>1</v>
      </c>
      <c r="M35" s="9">
        <v>85</v>
      </c>
      <c r="N35" s="9">
        <v>85</v>
      </c>
      <c r="O35" s="9">
        <v>7</v>
      </c>
      <c r="P35" s="9">
        <v>101.26579412499299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9">
        <v>101.256789459003</v>
      </c>
      <c r="AC35" s="9">
        <v>101.26579412499299</v>
      </c>
      <c r="AD35" s="9">
        <v>101.749774625001</v>
      </c>
      <c r="AE35" s="9">
        <v>101.749774625001</v>
      </c>
      <c r="AF35" s="9">
        <v>101.749774625001</v>
      </c>
      <c r="AG35" s="9">
        <v>102.358801374998</v>
      </c>
      <c r="AH35" s="10" t="s">
        <v>63</v>
      </c>
      <c r="AI35" s="9">
        <v>1</v>
      </c>
      <c r="AJ35" s="9">
        <v>0.60318441600247796</v>
      </c>
      <c r="AK35" s="10" t="s">
        <v>51</v>
      </c>
      <c r="AL35" s="8"/>
      <c r="AM35" s="8"/>
      <c r="AN35" s="8"/>
      <c r="AO35" s="9">
        <v>5</v>
      </c>
      <c r="AP35" s="9">
        <v>1</v>
      </c>
      <c r="AQ35" s="10" t="s">
        <v>110</v>
      </c>
      <c r="AR35" s="10" t="s">
        <v>53</v>
      </c>
      <c r="AS35" s="8"/>
      <c r="AT35" s="10" t="s">
        <v>54</v>
      </c>
      <c r="AU35" s="9">
        <v>121.002689767825</v>
      </c>
      <c r="AV35" s="10" t="s">
        <v>111</v>
      </c>
      <c r="AW35" s="8"/>
    </row>
    <row r="36" spans="1:49" x14ac:dyDescent="0.15">
      <c r="A36" s="11" t="s">
        <v>83</v>
      </c>
      <c r="B36" s="12" t="s">
        <v>61</v>
      </c>
      <c r="C36" s="10" t="s">
        <v>58</v>
      </c>
      <c r="D36" s="10" t="s">
        <v>59</v>
      </c>
      <c r="E36" s="9">
        <v>86</v>
      </c>
      <c r="F36" s="9">
        <v>86</v>
      </c>
      <c r="G36" s="9">
        <v>1</v>
      </c>
      <c r="H36" s="10" t="s">
        <v>59</v>
      </c>
      <c r="I36" s="9">
        <v>1</v>
      </c>
      <c r="J36" s="9">
        <v>0.507912373999716</v>
      </c>
      <c r="K36" s="10" t="s">
        <v>51</v>
      </c>
      <c r="L36" s="9">
        <v>1</v>
      </c>
      <c r="M36" s="9">
        <v>86</v>
      </c>
      <c r="N36" s="9">
        <v>86</v>
      </c>
      <c r="O36" s="9">
        <v>2</v>
      </c>
      <c r="P36" s="9">
        <v>102.371915833995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9">
        <v>102.362297917003</v>
      </c>
      <c r="AC36" s="9">
        <v>102.371915833995</v>
      </c>
      <c r="AD36" s="9">
        <v>102.860061500003</v>
      </c>
      <c r="AE36" s="9">
        <v>102.860061500003</v>
      </c>
      <c r="AF36" s="9">
        <v>102.860061500003</v>
      </c>
      <c r="AG36" s="9">
        <v>103.374588791994</v>
      </c>
      <c r="AH36" s="10" t="s">
        <v>59</v>
      </c>
      <c r="AI36" s="9">
        <v>1</v>
      </c>
      <c r="AJ36" s="9">
        <v>0.507912373999716</v>
      </c>
      <c r="AK36" s="10" t="s">
        <v>51</v>
      </c>
      <c r="AL36" s="8"/>
      <c r="AM36" s="8"/>
      <c r="AN36" s="8"/>
      <c r="AO36" s="9">
        <v>5</v>
      </c>
      <c r="AP36" s="9">
        <v>1</v>
      </c>
      <c r="AQ36" s="10" t="s">
        <v>110</v>
      </c>
      <c r="AR36" s="10" t="s">
        <v>53</v>
      </c>
      <c r="AS36" s="8"/>
      <c r="AT36" s="10" t="s">
        <v>54</v>
      </c>
      <c r="AU36" s="9">
        <v>121.002689767825</v>
      </c>
      <c r="AV36" s="10" t="s">
        <v>111</v>
      </c>
      <c r="AW36" s="8"/>
    </row>
    <row r="37" spans="1:49" x14ac:dyDescent="0.15">
      <c r="A37" s="11" t="s">
        <v>79</v>
      </c>
      <c r="B37" s="12" t="s">
        <v>61</v>
      </c>
      <c r="C37" s="10" t="s">
        <v>62</v>
      </c>
      <c r="D37" s="10" t="s">
        <v>63</v>
      </c>
      <c r="E37" s="9">
        <v>89</v>
      </c>
      <c r="F37" s="9">
        <v>89</v>
      </c>
      <c r="G37" s="9">
        <v>2</v>
      </c>
      <c r="H37" s="10" t="s">
        <v>59</v>
      </c>
      <c r="I37" s="9">
        <v>0</v>
      </c>
      <c r="J37" s="9">
        <v>0.52386337399366301</v>
      </c>
      <c r="K37" s="10" t="s">
        <v>51</v>
      </c>
      <c r="L37" s="9">
        <v>2</v>
      </c>
      <c r="M37" s="9">
        <v>89</v>
      </c>
      <c r="N37" s="9">
        <v>89</v>
      </c>
      <c r="O37" s="9">
        <v>7</v>
      </c>
      <c r="P37" s="9">
        <v>105.349016249995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9">
        <v>105.33984641700199</v>
      </c>
      <c r="AC37" s="9">
        <v>105.349016249995</v>
      </c>
      <c r="AD37" s="9">
        <v>105.833247125003</v>
      </c>
      <c r="AE37" s="9">
        <v>105.833247125003</v>
      </c>
      <c r="AF37" s="9">
        <v>105.833247125003</v>
      </c>
      <c r="AG37" s="9">
        <v>106.368809042004</v>
      </c>
      <c r="AH37" s="10" t="s">
        <v>59</v>
      </c>
      <c r="AI37" s="9">
        <v>0</v>
      </c>
      <c r="AJ37" s="9">
        <v>0.52386337399366301</v>
      </c>
      <c r="AK37" s="10" t="s">
        <v>51</v>
      </c>
      <c r="AL37" s="8"/>
      <c r="AM37" s="8"/>
      <c r="AN37" s="8"/>
      <c r="AO37" s="9">
        <v>5</v>
      </c>
      <c r="AP37" s="9">
        <v>1</v>
      </c>
      <c r="AQ37" s="10" t="s">
        <v>110</v>
      </c>
      <c r="AR37" s="10" t="s">
        <v>53</v>
      </c>
      <c r="AS37" s="8"/>
      <c r="AT37" s="10" t="s">
        <v>54</v>
      </c>
      <c r="AU37" s="9">
        <v>121.002689767825</v>
      </c>
      <c r="AV37" s="10" t="s">
        <v>111</v>
      </c>
      <c r="AW37" s="8"/>
    </row>
    <row r="38" spans="1:49" x14ac:dyDescent="0.15">
      <c r="A38" s="11" t="s">
        <v>74</v>
      </c>
      <c r="B38" s="12" t="s">
        <v>61</v>
      </c>
      <c r="C38" s="10" t="s">
        <v>62</v>
      </c>
      <c r="D38" s="10" t="s">
        <v>63</v>
      </c>
      <c r="E38" s="9">
        <v>93</v>
      </c>
      <c r="F38" s="9">
        <v>93</v>
      </c>
      <c r="G38" s="9">
        <v>3</v>
      </c>
      <c r="H38" s="10" t="s">
        <v>63</v>
      </c>
      <c r="I38" s="9">
        <v>1</v>
      </c>
      <c r="J38" s="9">
        <v>0.41021158199873797</v>
      </c>
      <c r="K38" s="10" t="s">
        <v>51</v>
      </c>
      <c r="L38" s="9">
        <v>3</v>
      </c>
      <c r="M38" s="9">
        <v>93</v>
      </c>
      <c r="N38" s="9">
        <v>93</v>
      </c>
      <c r="O38" s="9">
        <v>1</v>
      </c>
      <c r="P38" s="9">
        <v>109.90491625000099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9">
        <v>109.894831124999</v>
      </c>
      <c r="AC38" s="9">
        <v>109.90491625000099</v>
      </c>
      <c r="AD38" s="9">
        <v>110.392978834003</v>
      </c>
      <c r="AE38" s="9">
        <v>110.392978834003</v>
      </c>
      <c r="AF38" s="9">
        <v>110.392978834003</v>
      </c>
      <c r="AG38" s="9">
        <v>110.80818583400099</v>
      </c>
      <c r="AH38" s="10" t="s">
        <v>63</v>
      </c>
      <c r="AI38" s="9">
        <v>1</v>
      </c>
      <c r="AJ38" s="9">
        <v>0.41021158199873797</v>
      </c>
      <c r="AK38" s="10" t="s">
        <v>51</v>
      </c>
      <c r="AL38" s="8"/>
      <c r="AM38" s="8"/>
      <c r="AN38" s="8"/>
      <c r="AO38" s="9">
        <v>5</v>
      </c>
      <c r="AP38" s="9">
        <v>1</v>
      </c>
      <c r="AQ38" s="10" t="s">
        <v>110</v>
      </c>
      <c r="AR38" s="10" t="s">
        <v>53</v>
      </c>
      <c r="AS38" s="8"/>
      <c r="AT38" s="10" t="s">
        <v>54</v>
      </c>
      <c r="AU38" s="9">
        <v>121.002689767825</v>
      </c>
      <c r="AV38" s="10" t="s">
        <v>111</v>
      </c>
      <c r="AW38" s="8"/>
    </row>
    <row r="39" spans="1:49" x14ac:dyDescent="0.15">
      <c r="A39" s="11" t="s">
        <v>73</v>
      </c>
      <c r="B39" s="12" t="s">
        <v>61</v>
      </c>
      <c r="C39" s="10" t="s">
        <v>58</v>
      </c>
      <c r="D39" s="10" t="s">
        <v>59</v>
      </c>
      <c r="E39" s="9">
        <v>95</v>
      </c>
      <c r="F39" s="9">
        <v>95</v>
      </c>
      <c r="G39" s="9">
        <v>2</v>
      </c>
      <c r="H39" s="10" t="s">
        <v>59</v>
      </c>
      <c r="I39" s="9">
        <v>1</v>
      </c>
      <c r="J39" s="9">
        <v>0.36379937399760798</v>
      </c>
      <c r="K39" s="10" t="s">
        <v>51</v>
      </c>
      <c r="L39" s="9">
        <v>2</v>
      </c>
      <c r="M39" s="9">
        <v>95</v>
      </c>
      <c r="N39" s="9">
        <v>95</v>
      </c>
      <c r="O39" s="9">
        <v>14</v>
      </c>
      <c r="P39" s="9">
        <v>111.87383470899699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9">
        <v>111.86384374999</v>
      </c>
      <c r="AC39" s="9">
        <v>111.87383470899699</v>
      </c>
      <c r="AD39" s="9">
        <v>112.35944812500399</v>
      </c>
      <c r="AE39" s="9">
        <v>112.35944812500399</v>
      </c>
      <c r="AF39" s="9">
        <v>112.35944812500399</v>
      </c>
      <c r="AG39" s="9">
        <v>112.724600417001</v>
      </c>
      <c r="AH39" s="10" t="s">
        <v>59</v>
      </c>
      <c r="AI39" s="9">
        <v>1</v>
      </c>
      <c r="AJ39" s="9">
        <v>0.36379937399760798</v>
      </c>
      <c r="AK39" s="10" t="s">
        <v>51</v>
      </c>
      <c r="AL39" s="8"/>
      <c r="AM39" s="8"/>
      <c r="AN39" s="8"/>
      <c r="AO39" s="9">
        <v>5</v>
      </c>
      <c r="AP39" s="9">
        <v>1</v>
      </c>
      <c r="AQ39" s="10" t="s">
        <v>110</v>
      </c>
      <c r="AR39" s="10" t="s">
        <v>53</v>
      </c>
      <c r="AS39" s="8"/>
      <c r="AT39" s="10" t="s">
        <v>54</v>
      </c>
      <c r="AU39" s="9">
        <v>121.002689767825</v>
      </c>
      <c r="AV39" s="10" t="s">
        <v>111</v>
      </c>
      <c r="AW39" s="8"/>
    </row>
    <row r="40" spans="1:49" x14ac:dyDescent="0.15">
      <c r="A40" s="11" t="s">
        <v>73</v>
      </c>
      <c r="B40" s="12" t="s">
        <v>61</v>
      </c>
      <c r="C40" s="10" t="s">
        <v>62</v>
      </c>
      <c r="D40" s="10" t="s">
        <v>63</v>
      </c>
      <c r="E40" s="9">
        <v>98</v>
      </c>
      <c r="F40" s="9">
        <v>98</v>
      </c>
      <c r="G40" s="9">
        <v>2</v>
      </c>
      <c r="H40" s="10" t="s">
        <v>63</v>
      </c>
      <c r="I40" s="9">
        <v>1</v>
      </c>
      <c r="J40" s="9">
        <v>0.376513540992164</v>
      </c>
      <c r="K40" s="10" t="s">
        <v>51</v>
      </c>
      <c r="L40" s="9">
        <v>2</v>
      </c>
      <c r="M40" s="9">
        <v>98</v>
      </c>
      <c r="N40" s="9">
        <v>98</v>
      </c>
      <c r="O40" s="9">
        <v>15</v>
      </c>
      <c r="P40" s="9">
        <v>114.533291125001</v>
      </c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9">
        <v>114.524181749992</v>
      </c>
      <c r="AC40" s="9">
        <v>114.533291125001</v>
      </c>
      <c r="AD40" s="9">
        <v>115.016903666998</v>
      </c>
      <c r="AE40" s="9">
        <v>115.016903666998</v>
      </c>
      <c r="AF40" s="9">
        <v>115.016903666998</v>
      </c>
      <c r="AG40" s="9">
        <v>115.40247566699701</v>
      </c>
      <c r="AH40" s="10" t="s">
        <v>63</v>
      </c>
      <c r="AI40" s="9">
        <v>1</v>
      </c>
      <c r="AJ40" s="9">
        <v>0.376513540992164</v>
      </c>
      <c r="AK40" s="10" t="s">
        <v>51</v>
      </c>
      <c r="AL40" s="8"/>
      <c r="AM40" s="8"/>
      <c r="AN40" s="8"/>
      <c r="AO40" s="9">
        <v>5</v>
      </c>
      <c r="AP40" s="9">
        <v>1</v>
      </c>
      <c r="AQ40" s="10" t="s">
        <v>110</v>
      </c>
      <c r="AR40" s="10" t="s">
        <v>53</v>
      </c>
      <c r="AS40" s="8"/>
      <c r="AT40" s="10" t="s">
        <v>54</v>
      </c>
      <c r="AU40" s="9">
        <v>121.002689767825</v>
      </c>
      <c r="AV40" s="10" t="s">
        <v>111</v>
      </c>
      <c r="AW40" s="8"/>
    </row>
    <row r="41" spans="1:49" x14ac:dyDescent="0.15">
      <c r="A41" s="11" t="s">
        <v>64</v>
      </c>
      <c r="B41" s="12" t="s">
        <v>61</v>
      </c>
      <c r="C41" s="10" t="s">
        <v>62</v>
      </c>
      <c r="D41" s="10" t="s">
        <v>63</v>
      </c>
      <c r="E41" s="9">
        <v>106</v>
      </c>
      <c r="F41" s="9">
        <v>106</v>
      </c>
      <c r="G41" s="9">
        <v>3</v>
      </c>
      <c r="H41" s="10" t="s">
        <v>63</v>
      </c>
      <c r="I41" s="9">
        <v>1</v>
      </c>
      <c r="J41" s="9">
        <v>0.54691350000212002</v>
      </c>
      <c r="K41" s="10" t="s">
        <v>51</v>
      </c>
      <c r="L41" s="9">
        <v>3</v>
      </c>
      <c r="M41" s="9">
        <v>106</v>
      </c>
      <c r="N41" s="9">
        <v>106</v>
      </c>
      <c r="O41" s="9">
        <v>5</v>
      </c>
      <c r="P41" s="9">
        <v>122.289529792004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9">
        <v>122.279806584003</v>
      </c>
      <c r="AC41" s="9">
        <v>122.289529792004</v>
      </c>
      <c r="AD41" s="9">
        <v>122.776471499994</v>
      </c>
      <c r="AE41" s="9">
        <v>122.776471499994</v>
      </c>
      <c r="AF41" s="9">
        <v>122.776471499994</v>
      </c>
      <c r="AG41" s="9">
        <v>123.325244624997</v>
      </c>
      <c r="AH41" s="10" t="s">
        <v>63</v>
      </c>
      <c r="AI41" s="9">
        <v>1</v>
      </c>
      <c r="AJ41" s="9">
        <v>0.54691350000212002</v>
      </c>
      <c r="AK41" s="10" t="s">
        <v>51</v>
      </c>
      <c r="AL41" s="8"/>
      <c r="AM41" s="8"/>
      <c r="AN41" s="8"/>
      <c r="AO41" s="9">
        <v>5</v>
      </c>
      <c r="AP41" s="9">
        <v>1</v>
      </c>
      <c r="AQ41" s="10" t="s">
        <v>110</v>
      </c>
      <c r="AR41" s="10" t="s">
        <v>53</v>
      </c>
      <c r="AS41" s="8"/>
      <c r="AT41" s="10" t="s">
        <v>54</v>
      </c>
      <c r="AU41" s="9">
        <v>121.002689767825</v>
      </c>
      <c r="AV41" s="10" t="s">
        <v>111</v>
      </c>
      <c r="AW41" s="8"/>
    </row>
    <row r="42" spans="1:49" x14ac:dyDescent="0.15">
      <c r="A42" s="11" t="s">
        <v>74</v>
      </c>
      <c r="B42" s="12" t="s">
        <v>61</v>
      </c>
      <c r="C42" s="10" t="s">
        <v>58</v>
      </c>
      <c r="D42" s="10" t="s">
        <v>59</v>
      </c>
      <c r="E42" s="9">
        <v>107</v>
      </c>
      <c r="F42" s="9">
        <v>107</v>
      </c>
      <c r="G42" s="9">
        <v>1</v>
      </c>
      <c r="H42" s="10" t="s">
        <v>59</v>
      </c>
      <c r="I42" s="9">
        <v>1</v>
      </c>
      <c r="J42" s="9">
        <v>0.692867831996409</v>
      </c>
      <c r="K42" s="10" t="s">
        <v>51</v>
      </c>
      <c r="L42" s="9">
        <v>1</v>
      </c>
      <c r="M42" s="9">
        <v>107</v>
      </c>
      <c r="N42" s="9">
        <v>107</v>
      </c>
      <c r="O42" s="9">
        <v>0</v>
      </c>
      <c r="P42" s="9">
        <v>123.339421583994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9">
        <v>123.329864375002</v>
      </c>
      <c r="AC42" s="9">
        <v>123.339421583994</v>
      </c>
      <c r="AD42" s="9">
        <v>123.825572792004</v>
      </c>
      <c r="AE42" s="9">
        <v>123.825572792004</v>
      </c>
      <c r="AF42" s="9">
        <v>123.825572792004</v>
      </c>
      <c r="AG42" s="9">
        <v>124.52512749999001</v>
      </c>
      <c r="AH42" s="10" t="s">
        <v>59</v>
      </c>
      <c r="AI42" s="9">
        <v>1</v>
      </c>
      <c r="AJ42" s="9">
        <v>0.692867831996409</v>
      </c>
      <c r="AK42" s="10" t="s">
        <v>51</v>
      </c>
      <c r="AL42" s="8"/>
      <c r="AM42" s="8"/>
      <c r="AN42" s="8"/>
      <c r="AO42" s="9">
        <v>5</v>
      </c>
      <c r="AP42" s="9">
        <v>1</v>
      </c>
      <c r="AQ42" s="10" t="s">
        <v>110</v>
      </c>
      <c r="AR42" s="10" t="s">
        <v>53</v>
      </c>
      <c r="AS42" s="8"/>
      <c r="AT42" s="10" t="s">
        <v>54</v>
      </c>
      <c r="AU42" s="9">
        <v>121.002689767825</v>
      </c>
      <c r="AV42" s="10" t="s">
        <v>111</v>
      </c>
      <c r="AW42" s="8"/>
    </row>
    <row r="43" spans="1:49" x14ac:dyDescent="0.15">
      <c r="A43" s="11" t="s">
        <v>73</v>
      </c>
      <c r="B43" s="12" t="s">
        <v>61</v>
      </c>
      <c r="C43" s="10" t="s">
        <v>58</v>
      </c>
      <c r="D43" s="10" t="s">
        <v>59</v>
      </c>
      <c r="E43" s="9">
        <v>112</v>
      </c>
      <c r="F43" s="9">
        <v>112</v>
      </c>
      <c r="G43" s="9">
        <v>3</v>
      </c>
      <c r="H43" s="10" t="s">
        <v>59</v>
      </c>
      <c r="I43" s="9">
        <v>1</v>
      </c>
      <c r="J43" s="9">
        <v>0.44966829101031203</v>
      </c>
      <c r="K43" s="10" t="s">
        <v>51</v>
      </c>
      <c r="L43" s="9">
        <v>3</v>
      </c>
      <c r="M43" s="9">
        <v>112</v>
      </c>
      <c r="N43" s="9">
        <v>112</v>
      </c>
      <c r="O43" s="9">
        <v>14</v>
      </c>
      <c r="P43" s="9">
        <v>128.173563292003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9">
        <v>128.16360437500401</v>
      </c>
      <c r="AC43" s="9">
        <v>128.173563292003</v>
      </c>
      <c r="AD43" s="9">
        <v>128.659953791997</v>
      </c>
      <c r="AE43" s="9">
        <v>128.659953791997</v>
      </c>
      <c r="AF43" s="9">
        <v>128.659953791997</v>
      </c>
      <c r="AG43" s="9">
        <v>129.11954462499099</v>
      </c>
      <c r="AH43" s="10" t="s">
        <v>59</v>
      </c>
      <c r="AI43" s="9">
        <v>1</v>
      </c>
      <c r="AJ43" s="9">
        <v>0.44966829101031203</v>
      </c>
      <c r="AK43" s="10" t="s">
        <v>51</v>
      </c>
      <c r="AL43" s="8"/>
      <c r="AM43" s="8"/>
      <c r="AN43" s="8"/>
      <c r="AO43" s="9">
        <v>5</v>
      </c>
      <c r="AP43" s="9">
        <v>1</v>
      </c>
      <c r="AQ43" s="10" t="s">
        <v>110</v>
      </c>
      <c r="AR43" s="10" t="s">
        <v>53</v>
      </c>
      <c r="AS43" s="8"/>
      <c r="AT43" s="10" t="s">
        <v>54</v>
      </c>
      <c r="AU43" s="9">
        <v>121.002689767825</v>
      </c>
      <c r="AV43" s="10" t="s">
        <v>111</v>
      </c>
      <c r="AW43" s="8"/>
    </row>
    <row r="44" spans="1:49" x14ac:dyDescent="0.15">
      <c r="A44" s="11" t="s">
        <v>73</v>
      </c>
      <c r="B44" s="12" t="s">
        <v>61</v>
      </c>
      <c r="C44" s="10" t="s">
        <v>62</v>
      </c>
      <c r="D44" s="10" t="s">
        <v>63</v>
      </c>
      <c r="E44" s="9">
        <v>115</v>
      </c>
      <c r="F44" s="9">
        <v>115</v>
      </c>
      <c r="G44" s="9">
        <v>3</v>
      </c>
      <c r="H44" s="10" t="s">
        <v>63</v>
      </c>
      <c r="I44" s="9">
        <v>1</v>
      </c>
      <c r="J44" s="9">
        <v>0.347838540998055</v>
      </c>
      <c r="K44" s="10" t="s">
        <v>51</v>
      </c>
      <c r="L44" s="9">
        <v>3</v>
      </c>
      <c r="M44" s="9">
        <v>115</v>
      </c>
      <c r="N44" s="9">
        <v>115</v>
      </c>
      <c r="O44" s="9">
        <v>15</v>
      </c>
      <c r="P44" s="9">
        <v>131.18985012499601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9">
        <v>131.18025641699199</v>
      </c>
      <c r="AC44" s="9">
        <v>131.18985012499601</v>
      </c>
      <c r="AD44" s="9">
        <v>131.67772179200301</v>
      </c>
      <c r="AE44" s="9">
        <v>131.67772179200301</v>
      </c>
      <c r="AF44" s="9">
        <v>131.67772179200301</v>
      </c>
      <c r="AG44" s="9">
        <v>132.03624195899499</v>
      </c>
      <c r="AH44" s="10" t="s">
        <v>63</v>
      </c>
      <c r="AI44" s="9">
        <v>1</v>
      </c>
      <c r="AJ44" s="9">
        <v>0.347838540998055</v>
      </c>
      <c r="AK44" s="10" t="s">
        <v>51</v>
      </c>
      <c r="AL44" s="8"/>
      <c r="AM44" s="8"/>
      <c r="AN44" s="8"/>
      <c r="AO44" s="9">
        <v>5</v>
      </c>
      <c r="AP44" s="9">
        <v>1</v>
      </c>
      <c r="AQ44" s="10" t="s">
        <v>110</v>
      </c>
      <c r="AR44" s="10" t="s">
        <v>53</v>
      </c>
      <c r="AS44" s="8"/>
      <c r="AT44" s="10" t="s">
        <v>54</v>
      </c>
      <c r="AU44" s="9">
        <v>121.002689767825</v>
      </c>
      <c r="AV44" s="10" t="s">
        <v>111</v>
      </c>
      <c r="AW44" s="8"/>
    </row>
    <row r="45" spans="1:49" x14ac:dyDescent="0.15">
      <c r="A45" s="11" t="s">
        <v>70</v>
      </c>
      <c r="B45" s="12" t="s">
        <v>61</v>
      </c>
      <c r="C45" s="10" t="s">
        <v>62</v>
      </c>
      <c r="D45" s="10" t="s">
        <v>63</v>
      </c>
      <c r="E45" s="9">
        <v>116</v>
      </c>
      <c r="F45" s="9">
        <v>116</v>
      </c>
      <c r="G45" s="9">
        <v>3</v>
      </c>
      <c r="H45" s="10" t="s">
        <v>63</v>
      </c>
      <c r="I45" s="9">
        <v>1</v>
      </c>
      <c r="J45" s="9">
        <v>0.31690033200720802</v>
      </c>
      <c r="K45" s="10" t="s">
        <v>51</v>
      </c>
      <c r="L45" s="9">
        <v>3</v>
      </c>
      <c r="M45" s="9">
        <v>116</v>
      </c>
      <c r="N45" s="9">
        <v>116</v>
      </c>
      <c r="O45" s="9">
        <v>13</v>
      </c>
      <c r="P45" s="9">
        <v>132.05029404199701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9">
        <v>132.04120929200101</v>
      </c>
      <c r="AC45" s="9">
        <v>132.05029404199701</v>
      </c>
      <c r="AD45" s="9">
        <v>132.534761250005</v>
      </c>
      <c r="AE45" s="9">
        <v>132.534761250005</v>
      </c>
      <c r="AF45" s="9">
        <v>132.534761250005</v>
      </c>
      <c r="AG45" s="9">
        <v>132.85907079199399</v>
      </c>
      <c r="AH45" s="10" t="s">
        <v>63</v>
      </c>
      <c r="AI45" s="9">
        <v>1</v>
      </c>
      <c r="AJ45" s="9">
        <v>0.31690033200720802</v>
      </c>
      <c r="AK45" s="10" t="s">
        <v>51</v>
      </c>
      <c r="AL45" s="8"/>
      <c r="AM45" s="8"/>
      <c r="AN45" s="8"/>
      <c r="AO45" s="9">
        <v>5</v>
      </c>
      <c r="AP45" s="9">
        <v>1</v>
      </c>
      <c r="AQ45" s="10" t="s">
        <v>110</v>
      </c>
      <c r="AR45" s="10" t="s">
        <v>53</v>
      </c>
      <c r="AS45" s="8"/>
      <c r="AT45" s="10" t="s">
        <v>54</v>
      </c>
      <c r="AU45" s="9">
        <v>121.002689767825</v>
      </c>
      <c r="AV45" s="10" t="s">
        <v>111</v>
      </c>
      <c r="AW45" s="8"/>
    </row>
    <row r="46" spans="1:49" x14ac:dyDescent="0.15">
      <c r="A46" s="11" t="s">
        <v>83</v>
      </c>
      <c r="B46" s="12" t="s">
        <v>61</v>
      </c>
      <c r="C46" s="10" t="s">
        <v>58</v>
      </c>
      <c r="D46" s="10" t="s">
        <v>59</v>
      </c>
      <c r="E46" s="9">
        <v>117</v>
      </c>
      <c r="F46" s="9">
        <v>117</v>
      </c>
      <c r="G46" s="9">
        <v>2</v>
      </c>
      <c r="H46" s="10" t="s">
        <v>59</v>
      </c>
      <c r="I46" s="9">
        <v>1</v>
      </c>
      <c r="J46" s="9">
        <v>0.33446387399453698</v>
      </c>
      <c r="K46" s="10" t="s">
        <v>51</v>
      </c>
      <c r="L46" s="9">
        <v>2</v>
      </c>
      <c r="M46" s="9">
        <v>117</v>
      </c>
      <c r="N46" s="9">
        <v>117</v>
      </c>
      <c r="O46" s="9">
        <v>2</v>
      </c>
      <c r="P46" s="9">
        <v>132.87305733400001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9">
        <v>132.863588875</v>
      </c>
      <c r="AC46" s="9">
        <v>132.87305733400001</v>
      </c>
      <c r="AD46" s="9">
        <v>133.361211916999</v>
      </c>
      <c r="AE46" s="9">
        <v>133.361211916999</v>
      </c>
      <c r="AF46" s="9">
        <v>133.361211916999</v>
      </c>
      <c r="AG46" s="9">
        <v>133.70296479199899</v>
      </c>
      <c r="AH46" s="10" t="s">
        <v>59</v>
      </c>
      <c r="AI46" s="9">
        <v>1</v>
      </c>
      <c r="AJ46" s="9">
        <v>0.33446387399453698</v>
      </c>
      <c r="AK46" s="10" t="s">
        <v>51</v>
      </c>
      <c r="AL46" s="8"/>
      <c r="AM46" s="8"/>
      <c r="AN46" s="8"/>
      <c r="AO46" s="9">
        <v>5</v>
      </c>
      <c r="AP46" s="9">
        <v>1</v>
      </c>
      <c r="AQ46" s="10" t="s">
        <v>110</v>
      </c>
      <c r="AR46" s="10" t="s">
        <v>53</v>
      </c>
      <c r="AS46" s="8"/>
      <c r="AT46" s="10" t="s">
        <v>54</v>
      </c>
      <c r="AU46" s="9">
        <v>121.002689767825</v>
      </c>
      <c r="AV46" s="10" t="s">
        <v>111</v>
      </c>
      <c r="AW46" s="8"/>
    </row>
    <row r="47" spans="1:49" x14ac:dyDescent="0.15">
      <c r="A47" s="11" t="s">
        <v>85</v>
      </c>
      <c r="B47" s="12" t="s">
        <v>61</v>
      </c>
      <c r="C47" s="10" t="s">
        <v>58</v>
      </c>
      <c r="D47" s="10" t="s">
        <v>59</v>
      </c>
      <c r="E47" s="9">
        <v>123</v>
      </c>
      <c r="F47" s="9">
        <v>123</v>
      </c>
      <c r="G47" s="9">
        <v>1</v>
      </c>
      <c r="H47" s="10" t="s">
        <v>59</v>
      </c>
      <c r="I47" s="9">
        <v>1</v>
      </c>
      <c r="J47" s="9">
        <v>0.47801079100463501</v>
      </c>
      <c r="K47" s="10" t="s">
        <v>51</v>
      </c>
      <c r="L47" s="9">
        <v>1</v>
      </c>
      <c r="M47" s="9">
        <v>123</v>
      </c>
      <c r="N47" s="9">
        <v>123</v>
      </c>
      <c r="O47" s="9">
        <v>10</v>
      </c>
      <c r="P47" s="9">
        <v>138.522966916993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9">
        <v>138.51328004199601</v>
      </c>
      <c r="AC47" s="9">
        <v>138.522966916993</v>
      </c>
      <c r="AD47" s="9">
        <v>139.011714166991</v>
      </c>
      <c r="AE47" s="9">
        <v>139.011714166991</v>
      </c>
      <c r="AF47" s="9">
        <v>139.011714166991</v>
      </c>
      <c r="AG47" s="9">
        <v>139.49249737500199</v>
      </c>
      <c r="AH47" s="10" t="s">
        <v>59</v>
      </c>
      <c r="AI47" s="9">
        <v>1</v>
      </c>
      <c r="AJ47" s="9">
        <v>0.47801079100463501</v>
      </c>
      <c r="AK47" s="10" t="s">
        <v>51</v>
      </c>
      <c r="AL47" s="8"/>
      <c r="AM47" s="8"/>
      <c r="AN47" s="8"/>
      <c r="AO47" s="9">
        <v>5</v>
      </c>
      <c r="AP47" s="9">
        <v>1</v>
      </c>
      <c r="AQ47" s="10" t="s">
        <v>110</v>
      </c>
      <c r="AR47" s="10" t="s">
        <v>53</v>
      </c>
      <c r="AS47" s="8"/>
      <c r="AT47" s="10" t="s">
        <v>54</v>
      </c>
      <c r="AU47" s="9">
        <v>121.002689767825</v>
      </c>
      <c r="AV47" s="10" t="s">
        <v>111</v>
      </c>
      <c r="AW47" s="8"/>
    </row>
    <row r="48" spans="1:49" x14ac:dyDescent="0.15">
      <c r="A48" s="11" t="s">
        <v>64</v>
      </c>
      <c r="B48" s="12" t="s">
        <v>61</v>
      </c>
      <c r="C48" s="10" t="s">
        <v>58</v>
      </c>
      <c r="D48" s="10" t="s">
        <v>59</v>
      </c>
      <c r="E48" s="9">
        <v>124</v>
      </c>
      <c r="F48" s="9">
        <v>124</v>
      </c>
      <c r="G48" s="9">
        <v>3</v>
      </c>
      <c r="H48" s="10" t="s">
        <v>59</v>
      </c>
      <c r="I48" s="9">
        <v>1</v>
      </c>
      <c r="J48" s="9">
        <v>0.64631970800110095</v>
      </c>
      <c r="K48" s="10" t="s">
        <v>51</v>
      </c>
      <c r="L48" s="9">
        <v>3</v>
      </c>
      <c r="M48" s="9">
        <v>124</v>
      </c>
      <c r="N48" s="9">
        <v>124</v>
      </c>
      <c r="O48" s="9">
        <v>4</v>
      </c>
      <c r="P48" s="9">
        <v>139.507599834003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9">
        <v>139.497693833997</v>
      </c>
      <c r="AC48" s="9">
        <v>139.507599834003</v>
      </c>
      <c r="AD48" s="9">
        <v>139.992427124991</v>
      </c>
      <c r="AE48" s="9">
        <v>139.992427124991</v>
      </c>
      <c r="AF48" s="9">
        <v>139.992427124991</v>
      </c>
      <c r="AG48" s="9">
        <v>140.643343874995</v>
      </c>
      <c r="AH48" s="10" t="s">
        <v>59</v>
      </c>
      <c r="AI48" s="9">
        <v>1</v>
      </c>
      <c r="AJ48" s="9">
        <v>0.64631970800110095</v>
      </c>
      <c r="AK48" s="10" t="s">
        <v>51</v>
      </c>
      <c r="AL48" s="8"/>
      <c r="AM48" s="8"/>
      <c r="AN48" s="8"/>
      <c r="AO48" s="9">
        <v>5</v>
      </c>
      <c r="AP48" s="9">
        <v>1</v>
      </c>
      <c r="AQ48" s="10" t="s">
        <v>110</v>
      </c>
      <c r="AR48" s="10" t="s">
        <v>53</v>
      </c>
      <c r="AS48" s="8"/>
      <c r="AT48" s="10" t="s">
        <v>54</v>
      </c>
      <c r="AU48" s="9">
        <v>121.002689767825</v>
      </c>
      <c r="AV48" s="10" t="s">
        <v>111</v>
      </c>
      <c r="AW48" s="8"/>
    </row>
    <row r="49" spans="1:49" x14ac:dyDescent="0.15">
      <c r="A49" s="11" t="s">
        <v>74</v>
      </c>
      <c r="B49" s="12" t="s">
        <v>61</v>
      </c>
      <c r="C49" s="10" t="s">
        <v>58</v>
      </c>
      <c r="D49" s="10" t="s">
        <v>59</v>
      </c>
      <c r="E49" s="9">
        <v>125</v>
      </c>
      <c r="F49" s="9">
        <v>125</v>
      </c>
      <c r="G49" s="9">
        <v>2</v>
      </c>
      <c r="H49" s="10" t="s">
        <v>59</v>
      </c>
      <c r="I49" s="9">
        <v>1</v>
      </c>
      <c r="J49" s="9">
        <v>0.77608733299712196</v>
      </c>
      <c r="K49" s="10" t="s">
        <v>51</v>
      </c>
      <c r="L49" s="9">
        <v>2</v>
      </c>
      <c r="M49" s="9">
        <v>125</v>
      </c>
      <c r="N49" s="9">
        <v>125</v>
      </c>
      <c r="O49" s="9">
        <v>0</v>
      </c>
      <c r="P49" s="9">
        <v>140.65713133399601</v>
      </c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9">
        <v>140.64740049999099</v>
      </c>
      <c r="AC49" s="9">
        <v>140.65713133399601</v>
      </c>
      <c r="AD49" s="9">
        <v>141.14461533399299</v>
      </c>
      <c r="AE49" s="9">
        <v>141.14461533399299</v>
      </c>
      <c r="AF49" s="9">
        <v>141.14461533399299</v>
      </c>
      <c r="AG49" s="9">
        <v>141.92581508400301</v>
      </c>
      <c r="AH49" s="10" t="s">
        <v>59</v>
      </c>
      <c r="AI49" s="9">
        <v>1</v>
      </c>
      <c r="AJ49" s="9">
        <v>0.77608733299712196</v>
      </c>
      <c r="AK49" s="10" t="s">
        <v>51</v>
      </c>
      <c r="AL49" s="8"/>
      <c r="AM49" s="8"/>
      <c r="AN49" s="8"/>
      <c r="AO49" s="9">
        <v>5</v>
      </c>
      <c r="AP49" s="9">
        <v>1</v>
      </c>
      <c r="AQ49" s="10" t="s">
        <v>110</v>
      </c>
      <c r="AR49" s="10" t="s">
        <v>53</v>
      </c>
      <c r="AS49" s="8"/>
      <c r="AT49" s="10" t="s">
        <v>54</v>
      </c>
      <c r="AU49" s="9">
        <v>121.002689767825</v>
      </c>
      <c r="AV49" s="10" t="s">
        <v>111</v>
      </c>
      <c r="AW49" s="8"/>
    </row>
    <row r="50" spans="1:49" x14ac:dyDescent="0.15">
      <c r="A50" s="11" t="s">
        <v>74</v>
      </c>
      <c r="B50" s="12" t="s">
        <v>61</v>
      </c>
      <c r="C50" s="10" t="s">
        <v>62</v>
      </c>
      <c r="D50" s="10" t="s">
        <v>63</v>
      </c>
      <c r="E50" s="9">
        <v>126</v>
      </c>
      <c r="F50" s="9">
        <v>126</v>
      </c>
      <c r="G50" s="9">
        <v>4</v>
      </c>
      <c r="H50" s="10" t="s">
        <v>59</v>
      </c>
      <c r="I50" s="9">
        <v>0</v>
      </c>
      <c r="J50" s="9">
        <v>0.462757000001147</v>
      </c>
      <c r="K50" s="10" t="s">
        <v>51</v>
      </c>
      <c r="L50" s="9">
        <v>4</v>
      </c>
      <c r="M50" s="9">
        <v>126</v>
      </c>
      <c r="N50" s="9">
        <v>126</v>
      </c>
      <c r="O50" s="9">
        <v>1</v>
      </c>
      <c r="P50" s="9">
        <v>141.93634487499401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9">
        <v>141.92672849999499</v>
      </c>
      <c r="AC50" s="9">
        <v>141.93634487499401</v>
      </c>
      <c r="AD50" s="9">
        <v>142.42600616699201</v>
      </c>
      <c r="AE50" s="9">
        <v>142.42600616699201</v>
      </c>
      <c r="AF50" s="9">
        <v>142.42600616699201</v>
      </c>
      <c r="AG50" s="9">
        <v>142.89263437499201</v>
      </c>
      <c r="AH50" s="10" t="s">
        <v>59</v>
      </c>
      <c r="AI50" s="9">
        <v>0</v>
      </c>
      <c r="AJ50" s="9">
        <v>0.462757000001147</v>
      </c>
      <c r="AK50" s="10" t="s">
        <v>51</v>
      </c>
      <c r="AL50" s="8"/>
      <c r="AM50" s="8"/>
      <c r="AN50" s="8"/>
      <c r="AO50" s="9">
        <v>5</v>
      </c>
      <c r="AP50" s="9">
        <v>1</v>
      </c>
      <c r="AQ50" s="10" t="s">
        <v>110</v>
      </c>
      <c r="AR50" s="10" t="s">
        <v>53</v>
      </c>
      <c r="AS50" s="8"/>
      <c r="AT50" s="10" t="s">
        <v>54</v>
      </c>
      <c r="AU50" s="9">
        <v>121.002689767825</v>
      </c>
      <c r="AV50" s="10" t="s">
        <v>111</v>
      </c>
      <c r="AW50" s="8"/>
    </row>
    <row r="51" spans="1:49" x14ac:dyDescent="0.15">
      <c r="A51" s="11" t="s">
        <v>70</v>
      </c>
      <c r="B51" s="12" t="s">
        <v>61</v>
      </c>
      <c r="C51" s="10" t="s">
        <v>58</v>
      </c>
      <c r="D51" s="10" t="s">
        <v>59</v>
      </c>
      <c r="E51" s="9">
        <v>138</v>
      </c>
      <c r="F51" s="9">
        <v>138</v>
      </c>
      <c r="G51" s="9">
        <v>2</v>
      </c>
      <c r="H51" s="10" t="s">
        <v>59</v>
      </c>
      <c r="I51" s="9">
        <v>1</v>
      </c>
      <c r="J51" s="9">
        <v>0.30137304100208001</v>
      </c>
      <c r="K51" s="10" t="s">
        <v>51</v>
      </c>
      <c r="L51" s="9">
        <v>2</v>
      </c>
      <c r="M51" s="9">
        <v>138</v>
      </c>
      <c r="N51" s="9">
        <v>138</v>
      </c>
      <c r="O51" s="9">
        <v>12</v>
      </c>
      <c r="P51" s="9">
        <v>153.34104795899501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9">
        <v>153.33153866699999</v>
      </c>
      <c r="AC51" s="9">
        <v>153.34104795899501</v>
      </c>
      <c r="AD51" s="9">
        <v>153.82770433399099</v>
      </c>
      <c r="AE51" s="9">
        <v>153.82770433399099</v>
      </c>
      <c r="AF51" s="9">
        <v>153.82770433399099</v>
      </c>
      <c r="AG51" s="9">
        <v>154.13699845899799</v>
      </c>
      <c r="AH51" s="10" t="s">
        <v>59</v>
      </c>
      <c r="AI51" s="9">
        <v>1</v>
      </c>
      <c r="AJ51" s="9">
        <v>0.30137304100208001</v>
      </c>
      <c r="AK51" s="10" t="s">
        <v>51</v>
      </c>
      <c r="AL51" s="8"/>
      <c r="AM51" s="8"/>
      <c r="AN51" s="8"/>
      <c r="AO51" s="9">
        <v>5</v>
      </c>
      <c r="AP51" s="9">
        <v>1</v>
      </c>
      <c r="AQ51" s="10" t="s">
        <v>110</v>
      </c>
      <c r="AR51" s="10" t="s">
        <v>53</v>
      </c>
      <c r="AS51" s="8"/>
      <c r="AT51" s="10" t="s">
        <v>54</v>
      </c>
      <c r="AU51" s="9">
        <v>121.002689767825</v>
      </c>
      <c r="AV51" s="10" t="s">
        <v>111</v>
      </c>
      <c r="AW51" s="8"/>
    </row>
    <row r="52" spans="1:49" x14ac:dyDescent="0.15">
      <c r="A52" s="11" t="s">
        <v>60</v>
      </c>
      <c r="B52" s="12" t="s">
        <v>61</v>
      </c>
      <c r="C52" s="10" t="s">
        <v>62</v>
      </c>
      <c r="D52" s="10" t="s">
        <v>63</v>
      </c>
      <c r="E52" s="9">
        <v>140</v>
      </c>
      <c r="F52" s="9">
        <v>140</v>
      </c>
      <c r="G52" s="9">
        <v>0</v>
      </c>
      <c r="H52" s="10" t="s">
        <v>63</v>
      </c>
      <c r="I52" s="9">
        <v>1</v>
      </c>
      <c r="J52" s="9">
        <v>0.37885962500877202</v>
      </c>
      <c r="K52" s="10" t="s">
        <v>51</v>
      </c>
      <c r="L52" s="9">
        <v>0</v>
      </c>
      <c r="M52" s="9">
        <v>140</v>
      </c>
      <c r="N52" s="9">
        <v>140</v>
      </c>
      <c r="O52" s="9">
        <v>9</v>
      </c>
      <c r="P52" s="9">
        <v>155.08428516700201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9">
        <v>155.07508404199299</v>
      </c>
      <c r="AC52" s="9">
        <v>155.08428516700201</v>
      </c>
      <c r="AD52" s="9">
        <v>155.56832345899599</v>
      </c>
      <c r="AE52" s="9">
        <v>155.56832345899599</v>
      </c>
      <c r="AF52" s="9">
        <v>155.56832345899599</v>
      </c>
      <c r="AG52" s="9">
        <v>155.95400899999399</v>
      </c>
      <c r="AH52" s="10" t="s">
        <v>63</v>
      </c>
      <c r="AI52" s="9">
        <v>1</v>
      </c>
      <c r="AJ52" s="9">
        <v>0.37885962500877202</v>
      </c>
      <c r="AK52" s="10" t="s">
        <v>51</v>
      </c>
      <c r="AL52" s="8"/>
      <c r="AM52" s="8"/>
      <c r="AN52" s="8"/>
      <c r="AO52" s="9">
        <v>5</v>
      </c>
      <c r="AP52" s="9">
        <v>1</v>
      </c>
      <c r="AQ52" s="10" t="s">
        <v>110</v>
      </c>
      <c r="AR52" s="10" t="s">
        <v>53</v>
      </c>
      <c r="AS52" s="8"/>
      <c r="AT52" s="10" t="s">
        <v>54</v>
      </c>
      <c r="AU52" s="9">
        <v>121.002689767825</v>
      </c>
      <c r="AV52" s="10" t="s">
        <v>111</v>
      </c>
      <c r="AW52" s="8"/>
    </row>
    <row r="53" spans="1:49" x14ac:dyDescent="0.15">
      <c r="A53" s="11" t="s">
        <v>60</v>
      </c>
      <c r="B53" s="12" t="s">
        <v>61</v>
      </c>
      <c r="C53" s="10" t="s">
        <v>62</v>
      </c>
      <c r="D53" s="10" t="s">
        <v>63</v>
      </c>
      <c r="E53" s="9">
        <v>144</v>
      </c>
      <c r="F53" s="9">
        <v>144</v>
      </c>
      <c r="G53" s="9">
        <v>1</v>
      </c>
      <c r="H53" s="10" t="s">
        <v>63</v>
      </c>
      <c r="I53" s="9">
        <v>1</v>
      </c>
      <c r="J53" s="9">
        <v>0.40879733298788801</v>
      </c>
      <c r="K53" s="10" t="s">
        <v>51</v>
      </c>
      <c r="L53" s="9">
        <v>1</v>
      </c>
      <c r="M53" s="9">
        <v>144</v>
      </c>
      <c r="N53" s="9">
        <v>144</v>
      </c>
      <c r="O53" s="9">
        <v>9</v>
      </c>
      <c r="P53" s="9">
        <v>158.551008541996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9">
        <v>158.54187054200199</v>
      </c>
      <c r="AC53" s="9">
        <v>158.551008541996</v>
      </c>
      <c r="AD53" s="9">
        <v>159.035307083992</v>
      </c>
      <c r="AE53" s="9">
        <v>159.035307083992</v>
      </c>
      <c r="AF53" s="9">
        <v>159.035307083992</v>
      </c>
      <c r="AG53" s="9">
        <v>159.45424858399201</v>
      </c>
      <c r="AH53" s="10" t="s">
        <v>63</v>
      </c>
      <c r="AI53" s="9">
        <v>1</v>
      </c>
      <c r="AJ53" s="9">
        <v>0.40879733298788801</v>
      </c>
      <c r="AK53" s="10" t="s">
        <v>51</v>
      </c>
      <c r="AL53" s="8"/>
      <c r="AM53" s="8"/>
      <c r="AN53" s="8"/>
      <c r="AO53" s="9">
        <v>5</v>
      </c>
      <c r="AP53" s="9">
        <v>1</v>
      </c>
      <c r="AQ53" s="10" t="s">
        <v>110</v>
      </c>
      <c r="AR53" s="10" t="s">
        <v>53</v>
      </c>
      <c r="AS53" s="8"/>
      <c r="AT53" s="10" t="s">
        <v>54</v>
      </c>
      <c r="AU53" s="9">
        <v>121.002689767825</v>
      </c>
      <c r="AV53" s="10" t="s">
        <v>111</v>
      </c>
      <c r="AW53" s="8"/>
    </row>
    <row r="54" spans="1:49" x14ac:dyDescent="0.15">
      <c r="A54" s="11" t="s">
        <v>73</v>
      </c>
      <c r="B54" s="12" t="s">
        <v>61</v>
      </c>
      <c r="C54" s="10" t="s">
        <v>58</v>
      </c>
      <c r="D54" s="10" t="s">
        <v>59</v>
      </c>
      <c r="E54" s="9">
        <v>147</v>
      </c>
      <c r="F54" s="9">
        <v>147</v>
      </c>
      <c r="G54" s="9">
        <v>4</v>
      </c>
      <c r="H54" s="10" t="s">
        <v>59</v>
      </c>
      <c r="I54" s="9">
        <v>1</v>
      </c>
      <c r="J54" s="9">
        <v>0.41548599900852401</v>
      </c>
      <c r="K54" s="10" t="s">
        <v>51</v>
      </c>
      <c r="L54" s="9">
        <v>4</v>
      </c>
      <c r="M54" s="9">
        <v>147</v>
      </c>
      <c r="N54" s="9">
        <v>147</v>
      </c>
      <c r="O54" s="9">
        <v>14</v>
      </c>
      <c r="P54" s="9">
        <v>161.06866195899801</v>
      </c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9">
        <v>161.05956137499001</v>
      </c>
      <c r="AC54" s="9">
        <v>161.06866195899801</v>
      </c>
      <c r="AD54" s="9">
        <v>161.55190045900201</v>
      </c>
      <c r="AE54" s="9">
        <v>161.55190045900201</v>
      </c>
      <c r="AF54" s="9">
        <v>161.55190045900201</v>
      </c>
      <c r="AG54" s="9">
        <v>161.970516375004</v>
      </c>
      <c r="AH54" s="10" t="s">
        <v>59</v>
      </c>
      <c r="AI54" s="9">
        <v>1</v>
      </c>
      <c r="AJ54" s="9">
        <v>0.41548599900852401</v>
      </c>
      <c r="AK54" s="10" t="s">
        <v>51</v>
      </c>
      <c r="AL54" s="8"/>
      <c r="AM54" s="8"/>
      <c r="AN54" s="8"/>
      <c r="AO54" s="9">
        <v>5</v>
      </c>
      <c r="AP54" s="9">
        <v>1</v>
      </c>
      <c r="AQ54" s="10" t="s">
        <v>110</v>
      </c>
      <c r="AR54" s="10" t="s">
        <v>53</v>
      </c>
      <c r="AS54" s="8"/>
      <c r="AT54" s="10" t="s">
        <v>54</v>
      </c>
      <c r="AU54" s="9">
        <v>121.002689767825</v>
      </c>
      <c r="AV54" s="10" t="s">
        <v>111</v>
      </c>
      <c r="AW54" s="8"/>
    </row>
    <row r="55" spans="1:49" x14ac:dyDescent="0.15">
      <c r="A55" s="11" t="s">
        <v>60</v>
      </c>
      <c r="B55" s="12" t="s">
        <v>61</v>
      </c>
      <c r="C55" s="10" t="s">
        <v>62</v>
      </c>
      <c r="D55" s="10" t="s">
        <v>63</v>
      </c>
      <c r="E55" s="9">
        <v>149</v>
      </c>
      <c r="F55" s="9">
        <v>149</v>
      </c>
      <c r="G55" s="9">
        <v>2</v>
      </c>
      <c r="H55" s="10" t="s">
        <v>63</v>
      </c>
      <c r="I55" s="9">
        <v>1</v>
      </c>
      <c r="J55" s="9">
        <v>0.43581137400178699</v>
      </c>
      <c r="K55" s="10" t="s">
        <v>51</v>
      </c>
      <c r="L55" s="9">
        <v>2</v>
      </c>
      <c r="M55" s="9">
        <v>149</v>
      </c>
      <c r="N55" s="9">
        <v>149</v>
      </c>
      <c r="O55" s="9">
        <v>9</v>
      </c>
      <c r="P55" s="9">
        <v>162.850941166995</v>
      </c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9">
        <v>162.841850625002</v>
      </c>
      <c r="AC55" s="9">
        <v>162.850941166995</v>
      </c>
      <c r="AD55" s="9">
        <v>163.335375583993</v>
      </c>
      <c r="AE55" s="9">
        <v>163.335375583993</v>
      </c>
      <c r="AF55" s="9">
        <v>163.335375583993</v>
      </c>
      <c r="AG55" s="9">
        <v>163.77732358399999</v>
      </c>
      <c r="AH55" s="10" t="s">
        <v>63</v>
      </c>
      <c r="AI55" s="9">
        <v>1</v>
      </c>
      <c r="AJ55" s="9">
        <v>0.43581137400178699</v>
      </c>
      <c r="AK55" s="10" t="s">
        <v>51</v>
      </c>
      <c r="AL55" s="8"/>
      <c r="AM55" s="8"/>
      <c r="AN55" s="8"/>
      <c r="AO55" s="9">
        <v>5</v>
      </c>
      <c r="AP55" s="9">
        <v>1</v>
      </c>
      <c r="AQ55" s="10" t="s">
        <v>110</v>
      </c>
      <c r="AR55" s="10" t="s">
        <v>53</v>
      </c>
      <c r="AS55" s="8"/>
      <c r="AT55" s="10" t="s">
        <v>54</v>
      </c>
      <c r="AU55" s="9">
        <v>121.002689767825</v>
      </c>
      <c r="AV55" s="10" t="s">
        <v>111</v>
      </c>
      <c r="AW55" s="8"/>
    </row>
    <row r="56" spans="1:49" x14ac:dyDescent="0.15">
      <c r="A56" s="11" t="s">
        <v>64</v>
      </c>
      <c r="B56" s="12" t="s">
        <v>61</v>
      </c>
      <c r="C56" s="10" t="s">
        <v>58</v>
      </c>
      <c r="D56" s="10" t="s">
        <v>59</v>
      </c>
      <c r="E56" s="9">
        <v>157</v>
      </c>
      <c r="F56" s="9">
        <v>157</v>
      </c>
      <c r="G56" s="9">
        <v>4</v>
      </c>
      <c r="H56" s="10" t="s">
        <v>59</v>
      </c>
      <c r="I56" s="9">
        <v>1</v>
      </c>
      <c r="J56" s="9">
        <v>0.36807795699860402</v>
      </c>
      <c r="K56" s="10" t="s">
        <v>51</v>
      </c>
      <c r="L56" s="9">
        <v>4</v>
      </c>
      <c r="M56" s="9">
        <v>157</v>
      </c>
      <c r="N56" s="9">
        <v>157</v>
      </c>
      <c r="O56" s="9">
        <v>4</v>
      </c>
      <c r="P56" s="9">
        <v>170.62464187499401</v>
      </c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9">
        <v>170.61425887499399</v>
      </c>
      <c r="AC56" s="9">
        <v>170.62464187499401</v>
      </c>
      <c r="AD56" s="9">
        <v>171.11133400000099</v>
      </c>
      <c r="AE56" s="9">
        <v>171.11133400000099</v>
      </c>
      <c r="AF56" s="9">
        <v>171.11133400000099</v>
      </c>
      <c r="AG56" s="9">
        <v>171.48782754199101</v>
      </c>
      <c r="AH56" s="10" t="s">
        <v>59</v>
      </c>
      <c r="AI56" s="9">
        <v>1</v>
      </c>
      <c r="AJ56" s="9">
        <v>0.36807795699860402</v>
      </c>
      <c r="AK56" s="10" t="s">
        <v>51</v>
      </c>
      <c r="AL56" s="8"/>
      <c r="AM56" s="8"/>
      <c r="AN56" s="8"/>
      <c r="AO56" s="9">
        <v>5</v>
      </c>
      <c r="AP56" s="9">
        <v>1</v>
      </c>
      <c r="AQ56" s="10" t="s">
        <v>110</v>
      </c>
      <c r="AR56" s="10" t="s">
        <v>53</v>
      </c>
      <c r="AS56" s="8"/>
      <c r="AT56" s="10" t="s">
        <v>54</v>
      </c>
      <c r="AU56" s="9">
        <v>121.002689767825</v>
      </c>
      <c r="AV56" s="10" t="s">
        <v>111</v>
      </c>
      <c r="AW56" s="8"/>
    </row>
    <row r="57" spans="1:49" x14ac:dyDescent="0.15">
      <c r="A57" s="11" t="s">
        <v>85</v>
      </c>
      <c r="B57" s="12" t="s">
        <v>61</v>
      </c>
      <c r="C57" s="10" t="s">
        <v>58</v>
      </c>
      <c r="D57" s="10" t="s">
        <v>59</v>
      </c>
      <c r="E57" s="9">
        <v>158</v>
      </c>
      <c r="F57" s="9">
        <v>158</v>
      </c>
      <c r="G57" s="9">
        <v>2</v>
      </c>
      <c r="H57" s="10" t="s">
        <v>59</v>
      </c>
      <c r="I57" s="9">
        <v>1</v>
      </c>
      <c r="J57" s="9">
        <v>0.38181449900730502</v>
      </c>
      <c r="K57" s="10" t="s">
        <v>51</v>
      </c>
      <c r="L57" s="9">
        <v>2</v>
      </c>
      <c r="M57" s="9">
        <v>158</v>
      </c>
      <c r="N57" s="9">
        <v>158</v>
      </c>
      <c r="O57" s="9">
        <v>10</v>
      </c>
      <c r="P57" s="9">
        <v>171.501543584003</v>
      </c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9">
        <v>171.49251374999599</v>
      </c>
      <c r="AC57" s="9">
        <v>171.501543584003</v>
      </c>
      <c r="AD57" s="9">
        <v>171.98574124999899</v>
      </c>
      <c r="AE57" s="9">
        <v>171.98574124999899</v>
      </c>
      <c r="AF57" s="9">
        <v>171.98574124999899</v>
      </c>
      <c r="AG57" s="9">
        <v>172.37096749999901</v>
      </c>
      <c r="AH57" s="10" t="s">
        <v>59</v>
      </c>
      <c r="AI57" s="9">
        <v>1</v>
      </c>
      <c r="AJ57" s="9">
        <v>0.38181449900730502</v>
      </c>
      <c r="AK57" s="10" t="s">
        <v>51</v>
      </c>
      <c r="AL57" s="8"/>
      <c r="AM57" s="8"/>
      <c r="AN57" s="8"/>
      <c r="AO57" s="9">
        <v>5</v>
      </c>
      <c r="AP57" s="9">
        <v>1</v>
      </c>
      <c r="AQ57" s="10" t="s">
        <v>110</v>
      </c>
      <c r="AR57" s="10" t="s">
        <v>53</v>
      </c>
      <c r="AS57" s="8"/>
      <c r="AT57" s="10" t="s">
        <v>54</v>
      </c>
      <c r="AU57" s="9">
        <v>121.002689767825</v>
      </c>
      <c r="AV57" s="10" t="s">
        <v>111</v>
      </c>
      <c r="AW57" s="8"/>
    </row>
    <row r="58" spans="1:49" x14ac:dyDescent="0.15">
      <c r="A58" s="11" t="s">
        <v>85</v>
      </c>
      <c r="B58" s="12" t="s">
        <v>61</v>
      </c>
      <c r="C58" s="10" t="s">
        <v>62</v>
      </c>
      <c r="D58" s="10" t="s">
        <v>63</v>
      </c>
      <c r="E58" s="9">
        <v>161</v>
      </c>
      <c r="F58" s="9">
        <v>161</v>
      </c>
      <c r="G58" s="9">
        <v>3</v>
      </c>
      <c r="H58" s="10" t="s">
        <v>63</v>
      </c>
      <c r="I58" s="9">
        <v>1</v>
      </c>
      <c r="J58" s="9">
        <v>0.49830029100121498</v>
      </c>
      <c r="K58" s="10" t="s">
        <v>51</v>
      </c>
      <c r="L58" s="9">
        <v>3</v>
      </c>
      <c r="M58" s="9">
        <v>161</v>
      </c>
      <c r="N58" s="9">
        <v>161</v>
      </c>
      <c r="O58" s="9">
        <v>11</v>
      </c>
      <c r="P58" s="9">
        <v>174.11936949999699</v>
      </c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9">
        <v>174.110025417001</v>
      </c>
      <c r="AC58" s="9">
        <v>174.11936949999699</v>
      </c>
      <c r="AD58" s="9">
        <v>174.602365917002</v>
      </c>
      <c r="AE58" s="9">
        <v>174.602365917002</v>
      </c>
      <c r="AF58" s="9">
        <v>174.602365917002</v>
      </c>
      <c r="AG58" s="9">
        <v>175.104536041996</v>
      </c>
      <c r="AH58" s="10" t="s">
        <v>63</v>
      </c>
      <c r="AI58" s="9">
        <v>1</v>
      </c>
      <c r="AJ58" s="9">
        <v>0.49830029100121498</v>
      </c>
      <c r="AK58" s="10" t="s">
        <v>51</v>
      </c>
      <c r="AL58" s="8"/>
      <c r="AM58" s="8"/>
      <c r="AN58" s="8"/>
      <c r="AO58" s="9">
        <v>5</v>
      </c>
      <c r="AP58" s="9">
        <v>1</v>
      </c>
      <c r="AQ58" s="10" t="s">
        <v>110</v>
      </c>
      <c r="AR58" s="10" t="s">
        <v>53</v>
      </c>
      <c r="AS58" s="8"/>
      <c r="AT58" s="10" t="s">
        <v>54</v>
      </c>
      <c r="AU58" s="9">
        <v>121.002689767825</v>
      </c>
      <c r="AV58" s="10" t="s">
        <v>111</v>
      </c>
      <c r="AW58" s="8"/>
    </row>
    <row r="59" spans="1:49" x14ac:dyDescent="0.15">
      <c r="A59" s="11" t="s">
        <v>74</v>
      </c>
      <c r="B59" s="12" t="s">
        <v>61</v>
      </c>
      <c r="C59" s="10" t="s">
        <v>58</v>
      </c>
      <c r="D59" s="10" t="s">
        <v>59</v>
      </c>
      <c r="E59" s="9">
        <v>162</v>
      </c>
      <c r="F59" s="9">
        <v>162</v>
      </c>
      <c r="G59" s="9">
        <v>3</v>
      </c>
      <c r="H59" s="10" t="s">
        <v>59</v>
      </c>
      <c r="I59" s="9">
        <v>1</v>
      </c>
      <c r="J59" s="9">
        <v>0.57189362500503205</v>
      </c>
      <c r="K59" s="10" t="s">
        <v>51</v>
      </c>
      <c r="L59" s="9">
        <v>3</v>
      </c>
      <c r="M59" s="9">
        <v>162</v>
      </c>
      <c r="N59" s="9">
        <v>162</v>
      </c>
      <c r="O59" s="9">
        <v>0</v>
      </c>
      <c r="P59" s="9">
        <v>175.11770116699299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9">
        <v>175.108513542</v>
      </c>
      <c r="AC59" s="9">
        <v>175.11770116699299</v>
      </c>
      <c r="AD59" s="9">
        <v>175.60252962500101</v>
      </c>
      <c r="AE59" s="9">
        <v>175.60252962500101</v>
      </c>
      <c r="AF59" s="9">
        <v>175.60252962500101</v>
      </c>
      <c r="AG59" s="9">
        <v>176.17728270900301</v>
      </c>
      <c r="AH59" s="10" t="s">
        <v>59</v>
      </c>
      <c r="AI59" s="9">
        <v>1</v>
      </c>
      <c r="AJ59" s="9">
        <v>0.57189362500503205</v>
      </c>
      <c r="AK59" s="10" t="s">
        <v>51</v>
      </c>
      <c r="AL59" s="8"/>
      <c r="AM59" s="8"/>
      <c r="AN59" s="8"/>
      <c r="AO59" s="9">
        <v>5</v>
      </c>
      <c r="AP59" s="9">
        <v>1</v>
      </c>
      <c r="AQ59" s="10" t="s">
        <v>110</v>
      </c>
      <c r="AR59" s="10" t="s">
        <v>53</v>
      </c>
      <c r="AS59" s="8"/>
      <c r="AT59" s="10" t="s">
        <v>54</v>
      </c>
      <c r="AU59" s="9">
        <v>121.002689767825</v>
      </c>
      <c r="AV59" s="10" t="s">
        <v>111</v>
      </c>
      <c r="AW59" s="8"/>
    </row>
    <row r="60" spans="1:49" x14ac:dyDescent="0.15">
      <c r="A60" s="11" t="s">
        <v>85</v>
      </c>
      <c r="B60" s="12" t="s">
        <v>61</v>
      </c>
      <c r="C60" s="10" t="s">
        <v>58</v>
      </c>
      <c r="D60" s="10" t="s">
        <v>59</v>
      </c>
      <c r="E60" s="9">
        <v>167</v>
      </c>
      <c r="F60" s="9">
        <v>167</v>
      </c>
      <c r="G60" s="9">
        <v>3</v>
      </c>
      <c r="H60" s="10" t="s">
        <v>59</v>
      </c>
      <c r="I60" s="9">
        <v>1</v>
      </c>
      <c r="J60" s="9">
        <v>0.39840170700335897</v>
      </c>
      <c r="K60" s="10" t="s">
        <v>51</v>
      </c>
      <c r="L60" s="9">
        <v>3</v>
      </c>
      <c r="M60" s="9">
        <v>167</v>
      </c>
      <c r="N60" s="9">
        <v>167</v>
      </c>
      <c r="O60" s="9">
        <v>10</v>
      </c>
      <c r="P60" s="9">
        <v>179.86819233400499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9">
        <v>179.859241458995</v>
      </c>
      <c r="AC60" s="9">
        <v>179.86819233400499</v>
      </c>
      <c r="AD60" s="9">
        <v>180.35309087499601</v>
      </c>
      <c r="AE60" s="9">
        <v>180.35309087499601</v>
      </c>
      <c r="AF60" s="9">
        <v>180.35309087499601</v>
      </c>
      <c r="AG60" s="9">
        <v>180.754818208996</v>
      </c>
      <c r="AH60" s="10" t="s">
        <v>59</v>
      </c>
      <c r="AI60" s="9">
        <v>1</v>
      </c>
      <c r="AJ60" s="9">
        <v>0.39840170700335897</v>
      </c>
      <c r="AK60" s="10" t="s">
        <v>51</v>
      </c>
      <c r="AL60" s="8"/>
      <c r="AM60" s="8"/>
      <c r="AN60" s="8"/>
      <c r="AO60" s="9">
        <v>5</v>
      </c>
      <c r="AP60" s="9">
        <v>1</v>
      </c>
      <c r="AQ60" s="10" t="s">
        <v>110</v>
      </c>
      <c r="AR60" s="10" t="s">
        <v>53</v>
      </c>
      <c r="AS60" s="8"/>
      <c r="AT60" s="10" t="s">
        <v>54</v>
      </c>
      <c r="AU60" s="9">
        <v>121.002689767825</v>
      </c>
      <c r="AV60" s="10" t="s">
        <v>111</v>
      </c>
      <c r="AW60" s="8"/>
    </row>
    <row r="61" spans="1:49" x14ac:dyDescent="0.15">
      <c r="A61" s="11" t="s">
        <v>79</v>
      </c>
      <c r="B61" s="12" t="s">
        <v>61</v>
      </c>
      <c r="C61" s="10" t="s">
        <v>62</v>
      </c>
      <c r="D61" s="10" t="s">
        <v>63</v>
      </c>
      <c r="E61" s="9">
        <v>168</v>
      </c>
      <c r="F61" s="9">
        <v>168</v>
      </c>
      <c r="G61" s="9">
        <v>3</v>
      </c>
      <c r="H61" s="10" t="s">
        <v>63</v>
      </c>
      <c r="I61" s="9">
        <v>1</v>
      </c>
      <c r="J61" s="9">
        <v>0.61153762400499601</v>
      </c>
      <c r="K61" s="10" t="s">
        <v>51</v>
      </c>
      <c r="L61" s="9">
        <v>3</v>
      </c>
      <c r="M61" s="9">
        <v>168</v>
      </c>
      <c r="N61" s="9">
        <v>168</v>
      </c>
      <c r="O61" s="9">
        <v>7</v>
      </c>
      <c r="P61" s="9">
        <v>180.768707958996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9">
        <v>180.75967274999101</v>
      </c>
      <c r="AC61" s="9">
        <v>180.768707958996</v>
      </c>
      <c r="AD61" s="9">
        <v>181.25304174999499</v>
      </c>
      <c r="AE61" s="9">
        <v>181.25304174999499</v>
      </c>
      <c r="AF61" s="9">
        <v>181.25304174999499</v>
      </c>
      <c r="AG61" s="9">
        <v>181.87132562498999</v>
      </c>
      <c r="AH61" s="10" t="s">
        <v>63</v>
      </c>
      <c r="AI61" s="9">
        <v>1</v>
      </c>
      <c r="AJ61" s="9">
        <v>0.61153762400499601</v>
      </c>
      <c r="AK61" s="10" t="s">
        <v>51</v>
      </c>
      <c r="AL61" s="8"/>
      <c r="AM61" s="8"/>
      <c r="AN61" s="8"/>
      <c r="AO61" s="9">
        <v>5</v>
      </c>
      <c r="AP61" s="9">
        <v>1</v>
      </c>
      <c r="AQ61" s="10" t="s">
        <v>110</v>
      </c>
      <c r="AR61" s="10" t="s">
        <v>53</v>
      </c>
      <c r="AS61" s="8"/>
      <c r="AT61" s="10" t="s">
        <v>54</v>
      </c>
      <c r="AU61" s="9">
        <v>121.002689767825</v>
      </c>
      <c r="AV61" s="10" t="s">
        <v>111</v>
      </c>
      <c r="AW61" s="8"/>
    </row>
    <row r="62" spans="1:49" x14ac:dyDescent="0.15">
      <c r="A62" s="11" t="s">
        <v>83</v>
      </c>
      <c r="B62" s="12" t="s">
        <v>61</v>
      </c>
      <c r="C62" s="10" t="s">
        <v>58</v>
      </c>
      <c r="D62" s="10" t="s">
        <v>59</v>
      </c>
      <c r="E62" s="9">
        <v>169</v>
      </c>
      <c r="F62" s="9">
        <v>169</v>
      </c>
      <c r="G62" s="9">
        <v>3</v>
      </c>
      <c r="H62" s="10" t="s">
        <v>63</v>
      </c>
      <c r="I62" s="9">
        <v>0</v>
      </c>
      <c r="J62" s="9">
        <v>0.39605329099867997</v>
      </c>
      <c r="K62" s="10" t="s">
        <v>51</v>
      </c>
      <c r="L62" s="9">
        <v>3</v>
      </c>
      <c r="M62" s="9">
        <v>169</v>
      </c>
      <c r="N62" s="9">
        <v>169</v>
      </c>
      <c r="O62" s="9">
        <v>2</v>
      </c>
      <c r="P62" s="9">
        <v>181.884521833999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9">
        <v>181.87546587499699</v>
      </c>
      <c r="AC62" s="9">
        <v>181.884521833999</v>
      </c>
      <c r="AD62" s="9">
        <v>182.369549791998</v>
      </c>
      <c r="AE62" s="9">
        <v>182.369549791998</v>
      </c>
      <c r="AF62" s="9">
        <v>182.369549791998</v>
      </c>
      <c r="AG62" s="9">
        <v>182.77123737499599</v>
      </c>
      <c r="AH62" s="10" t="s">
        <v>63</v>
      </c>
      <c r="AI62" s="9">
        <v>0</v>
      </c>
      <c r="AJ62" s="9">
        <v>0.39605329099867997</v>
      </c>
      <c r="AK62" s="10" t="s">
        <v>51</v>
      </c>
      <c r="AL62" s="8"/>
      <c r="AM62" s="8"/>
      <c r="AN62" s="8"/>
      <c r="AO62" s="9">
        <v>5</v>
      </c>
      <c r="AP62" s="9">
        <v>1</v>
      </c>
      <c r="AQ62" s="10" t="s">
        <v>110</v>
      </c>
      <c r="AR62" s="10" t="s">
        <v>53</v>
      </c>
      <c r="AS62" s="8"/>
      <c r="AT62" s="10" t="s">
        <v>54</v>
      </c>
      <c r="AU62" s="9">
        <v>121.002689767825</v>
      </c>
      <c r="AV62" s="10" t="s">
        <v>111</v>
      </c>
      <c r="AW62" s="8"/>
    </row>
    <row r="63" spans="1:49" x14ac:dyDescent="0.15">
      <c r="A63" s="11" t="s">
        <v>83</v>
      </c>
      <c r="B63" s="12" t="s">
        <v>61</v>
      </c>
      <c r="C63" s="10" t="s">
        <v>58</v>
      </c>
      <c r="D63" s="10" t="s">
        <v>59</v>
      </c>
      <c r="E63" s="9">
        <v>176</v>
      </c>
      <c r="F63" s="9">
        <v>176</v>
      </c>
      <c r="G63" s="9">
        <v>4</v>
      </c>
      <c r="H63" s="10" t="s">
        <v>59</v>
      </c>
      <c r="I63" s="9">
        <v>1</v>
      </c>
      <c r="J63" s="9">
        <v>0.32647299999371199</v>
      </c>
      <c r="K63" s="10" t="s">
        <v>51</v>
      </c>
      <c r="L63" s="9">
        <v>4</v>
      </c>
      <c r="M63" s="9">
        <v>176</v>
      </c>
      <c r="N63" s="9">
        <v>176</v>
      </c>
      <c r="O63" s="9">
        <v>2</v>
      </c>
      <c r="P63" s="9">
        <v>188.701596458995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9">
        <v>188.692643999995</v>
      </c>
      <c r="AC63" s="9">
        <v>188.701596458995</v>
      </c>
      <c r="AD63" s="9">
        <v>189.18627958399901</v>
      </c>
      <c r="AE63" s="9">
        <v>189.18627958399901</v>
      </c>
      <c r="AF63" s="9">
        <v>189.18627958399901</v>
      </c>
      <c r="AG63" s="9">
        <v>189.52180775000301</v>
      </c>
      <c r="AH63" s="10" t="s">
        <v>59</v>
      </c>
      <c r="AI63" s="9">
        <v>1</v>
      </c>
      <c r="AJ63" s="9">
        <v>0.32647299999371199</v>
      </c>
      <c r="AK63" s="10" t="s">
        <v>51</v>
      </c>
      <c r="AL63" s="8"/>
      <c r="AM63" s="8"/>
      <c r="AN63" s="8"/>
      <c r="AO63" s="9">
        <v>5</v>
      </c>
      <c r="AP63" s="9">
        <v>1</v>
      </c>
      <c r="AQ63" s="10" t="s">
        <v>110</v>
      </c>
      <c r="AR63" s="10" t="s">
        <v>53</v>
      </c>
      <c r="AS63" s="8"/>
      <c r="AT63" s="10" t="s">
        <v>54</v>
      </c>
      <c r="AU63" s="9">
        <v>121.002689767825</v>
      </c>
      <c r="AV63" s="10" t="s">
        <v>111</v>
      </c>
      <c r="AW63" s="8"/>
    </row>
    <row r="64" spans="1:49" x14ac:dyDescent="0.15">
      <c r="A64" s="11" t="s">
        <v>79</v>
      </c>
      <c r="B64" s="12" t="s">
        <v>61</v>
      </c>
      <c r="C64" s="10" t="s">
        <v>58</v>
      </c>
      <c r="D64" s="10" t="s">
        <v>59</v>
      </c>
      <c r="E64" s="9">
        <v>178</v>
      </c>
      <c r="F64" s="9">
        <v>178</v>
      </c>
      <c r="G64" s="9">
        <v>3</v>
      </c>
      <c r="H64" s="10" t="s">
        <v>59</v>
      </c>
      <c r="I64" s="9">
        <v>1</v>
      </c>
      <c r="J64" s="9">
        <v>0.355523748992709</v>
      </c>
      <c r="K64" s="10" t="s">
        <v>51</v>
      </c>
      <c r="L64" s="9">
        <v>3</v>
      </c>
      <c r="M64" s="9">
        <v>178</v>
      </c>
      <c r="N64" s="9">
        <v>178</v>
      </c>
      <c r="O64" s="9">
        <v>6</v>
      </c>
      <c r="P64" s="9">
        <v>190.375317375001</v>
      </c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9">
        <v>190.364865791998</v>
      </c>
      <c r="AC64" s="9">
        <v>190.375317375001</v>
      </c>
      <c r="AD64" s="9">
        <v>190.86232737499799</v>
      </c>
      <c r="AE64" s="9">
        <v>190.86232737499799</v>
      </c>
      <c r="AF64" s="9">
        <v>190.86232737499799</v>
      </c>
      <c r="AG64" s="9">
        <v>191.221906791994</v>
      </c>
      <c r="AH64" s="10" t="s">
        <v>59</v>
      </c>
      <c r="AI64" s="9">
        <v>1</v>
      </c>
      <c r="AJ64" s="9">
        <v>0.355523748992709</v>
      </c>
      <c r="AK64" s="10" t="s">
        <v>51</v>
      </c>
      <c r="AL64" s="8"/>
      <c r="AM64" s="8"/>
      <c r="AN64" s="8"/>
      <c r="AO64" s="9">
        <v>5</v>
      </c>
      <c r="AP64" s="9">
        <v>1</v>
      </c>
      <c r="AQ64" s="10" t="s">
        <v>110</v>
      </c>
      <c r="AR64" s="10" t="s">
        <v>53</v>
      </c>
      <c r="AS64" s="8"/>
      <c r="AT64" s="10" t="s">
        <v>54</v>
      </c>
      <c r="AU64" s="9">
        <v>121.002689767825</v>
      </c>
      <c r="AV64" s="10" t="s">
        <v>111</v>
      </c>
      <c r="AW64" s="8"/>
    </row>
    <row r="65" spans="1:49" x14ac:dyDescent="0.15">
      <c r="A65" s="11" t="s">
        <v>83</v>
      </c>
      <c r="B65" s="12" t="s">
        <v>61</v>
      </c>
      <c r="C65" s="10" t="s">
        <v>62</v>
      </c>
      <c r="D65" s="10" t="s">
        <v>63</v>
      </c>
      <c r="E65" s="9">
        <v>180</v>
      </c>
      <c r="F65" s="9">
        <v>180</v>
      </c>
      <c r="G65" s="9">
        <v>2</v>
      </c>
      <c r="H65" s="10" t="s">
        <v>63</v>
      </c>
      <c r="I65" s="9">
        <v>1</v>
      </c>
      <c r="J65" s="9">
        <v>0.364729708002415</v>
      </c>
      <c r="K65" s="10" t="s">
        <v>51</v>
      </c>
      <c r="L65" s="9">
        <v>2</v>
      </c>
      <c r="M65" s="9">
        <v>180</v>
      </c>
      <c r="N65" s="9">
        <v>180</v>
      </c>
      <c r="O65" s="9">
        <v>3</v>
      </c>
      <c r="P65" s="9">
        <v>192.135114666991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9">
        <v>192.12557983399901</v>
      </c>
      <c r="AC65" s="9">
        <v>192.135114666991</v>
      </c>
      <c r="AD65" s="9">
        <v>192.62012454199399</v>
      </c>
      <c r="AE65" s="9">
        <v>192.62012454199399</v>
      </c>
      <c r="AF65" s="9">
        <v>192.62012454199399</v>
      </c>
      <c r="AG65" s="9">
        <v>192.988643459001</v>
      </c>
      <c r="AH65" s="10" t="s">
        <v>63</v>
      </c>
      <c r="AI65" s="9">
        <v>1</v>
      </c>
      <c r="AJ65" s="9">
        <v>0.364729708002415</v>
      </c>
      <c r="AK65" s="10" t="s">
        <v>51</v>
      </c>
      <c r="AL65" s="8"/>
      <c r="AM65" s="8"/>
      <c r="AN65" s="8"/>
      <c r="AO65" s="9">
        <v>5</v>
      </c>
      <c r="AP65" s="9">
        <v>1</v>
      </c>
      <c r="AQ65" s="10" t="s">
        <v>110</v>
      </c>
      <c r="AR65" s="10" t="s">
        <v>53</v>
      </c>
      <c r="AS65" s="8"/>
      <c r="AT65" s="10" t="s">
        <v>54</v>
      </c>
      <c r="AU65" s="9">
        <v>121.002689767825</v>
      </c>
      <c r="AV65" s="10" t="s">
        <v>111</v>
      </c>
      <c r="AW65" s="8"/>
    </row>
    <row r="66" spans="1:49" x14ac:dyDescent="0.15">
      <c r="A66" s="11" t="s">
        <v>85</v>
      </c>
      <c r="B66" s="12" t="s">
        <v>61</v>
      </c>
      <c r="C66" s="10" t="s">
        <v>58</v>
      </c>
      <c r="D66" s="10" t="s">
        <v>59</v>
      </c>
      <c r="E66" s="9">
        <v>181</v>
      </c>
      <c r="F66" s="9">
        <v>181</v>
      </c>
      <c r="G66" s="9">
        <v>4</v>
      </c>
      <c r="H66" s="10" t="s">
        <v>59</v>
      </c>
      <c r="I66" s="9">
        <v>1</v>
      </c>
      <c r="J66" s="9">
        <v>0.427241166005842</v>
      </c>
      <c r="K66" s="10" t="s">
        <v>51</v>
      </c>
      <c r="L66" s="9">
        <v>4</v>
      </c>
      <c r="M66" s="9">
        <v>181</v>
      </c>
      <c r="N66" s="9">
        <v>181</v>
      </c>
      <c r="O66" s="9">
        <v>10</v>
      </c>
      <c r="P66" s="9">
        <v>193.002810374994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9">
        <v>192.99319537499099</v>
      </c>
      <c r="AC66" s="9">
        <v>193.002810374994</v>
      </c>
      <c r="AD66" s="9">
        <v>193.48653679199899</v>
      </c>
      <c r="AE66" s="9">
        <v>193.48653679199899</v>
      </c>
      <c r="AF66" s="9">
        <v>193.48653679199899</v>
      </c>
      <c r="AG66" s="9">
        <v>193.92182787498999</v>
      </c>
      <c r="AH66" s="10" t="s">
        <v>59</v>
      </c>
      <c r="AI66" s="9">
        <v>1</v>
      </c>
      <c r="AJ66" s="9">
        <v>0.427241166005842</v>
      </c>
      <c r="AK66" s="10" t="s">
        <v>51</v>
      </c>
      <c r="AL66" s="8"/>
      <c r="AM66" s="8"/>
      <c r="AN66" s="8"/>
      <c r="AO66" s="9">
        <v>5</v>
      </c>
      <c r="AP66" s="9">
        <v>1</v>
      </c>
      <c r="AQ66" s="10" t="s">
        <v>110</v>
      </c>
      <c r="AR66" s="10" t="s">
        <v>53</v>
      </c>
      <c r="AS66" s="8"/>
      <c r="AT66" s="10" t="s">
        <v>54</v>
      </c>
      <c r="AU66" s="9">
        <v>121.002689767825</v>
      </c>
      <c r="AV66" s="10" t="s">
        <v>111</v>
      </c>
      <c r="AW66" s="8"/>
    </row>
    <row r="67" spans="1:49" x14ac:dyDescent="0.15">
      <c r="A67" s="11" t="s">
        <v>70</v>
      </c>
      <c r="B67" s="12" t="s">
        <v>61</v>
      </c>
      <c r="C67" s="10" t="s">
        <v>58</v>
      </c>
      <c r="D67" s="10" t="s">
        <v>59</v>
      </c>
      <c r="E67" s="9">
        <v>182</v>
      </c>
      <c r="F67" s="9">
        <v>182</v>
      </c>
      <c r="G67" s="9">
        <v>3</v>
      </c>
      <c r="H67" s="10" t="s">
        <v>59</v>
      </c>
      <c r="I67" s="9">
        <v>1</v>
      </c>
      <c r="J67" s="9">
        <v>0.364631958000246</v>
      </c>
      <c r="K67" s="10" t="s">
        <v>51</v>
      </c>
      <c r="L67" s="9">
        <v>3</v>
      </c>
      <c r="M67" s="9">
        <v>182</v>
      </c>
      <c r="N67" s="9">
        <v>182</v>
      </c>
      <c r="O67" s="9">
        <v>12</v>
      </c>
      <c r="P67" s="9">
        <v>193.93533512500301</v>
      </c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9">
        <v>193.926409666994</v>
      </c>
      <c r="AC67" s="9">
        <v>193.93533512500301</v>
      </c>
      <c r="AD67" s="9">
        <v>194.420220375003</v>
      </c>
      <c r="AE67" s="9">
        <v>194.420220375003</v>
      </c>
      <c r="AF67" s="9">
        <v>194.420220375003</v>
      </c>
      <c r="AG67" s="9">
        <v>194.788668374997</v>
      </c>
      <c r="AH67" s="10" t="s">
        <v>59</v>
      </c>
      <c r="AI67" s="9">
        <v>1</v>
      </c>
      <c r="AJ67" s="9">
        <v>0.364631958000246</v>
      </c>
      <c r="AK67" s="10" t="s">
        <v>51</v>
      </c>
      <c r="AL67" s="8"/>
      <c r="AM67" s="8"/>
      <c r="AN67" s="8"/>
      <c r="AO67" s="9">
        <v>5</v>
      </c>
      <c r="AP67" s="9">
        <v>1</v>
      </c>
      <c r="AQ67" s="10" t="s">
        <v>110</v>
      </c>
      <c r="AR67" s="10" t="s">
        <v>53</v>
      </c>
      <c r="AS67" s="8"/>
      <c r="AT67" s="10" t="s">
        <v>54</v>
      </c>
      <c r="AU67" s="9">
        <v>121.002689767825</v>
      </c>
      <c r="AV67" s="10" t="s">
        <v>111</v>
      </c>
      <c r="AW67" s="8"/>
    </row>
    <row r="68" spans="1:49" x14ac:dyDescent="0.15">
      <c r="A68" s="11" t="s">
        <v>74</v>
      </c>
      <c r="B68" s="12" t="s">
        <v>61</v>
      </c>
      <c r="C68" s="10" t="s">
        <v>58</v>
      </c>
      <c r="D68" s="10" t="s">
        <v>59</v>
      </c>
      <c r="E68" s="9">
        <v>192</v>
      </c>
      <c r="F68" s="9">
        <v>192</v>
      </c>
      <c r="G68" s="9">
        <v>4</v>
      </c>
      <c r="H68" s="10" t="s">
        <v>59</v>
      </c>
      <c r="I68" s="9">
        <v>1</v>
      </c>
      <c r="J68" s="9">
        <v>0.40832162399601701</v>
      </c>
      <c r="K68" s="10" t="s">
        <v>51</v>
      </c>
      <c r="L68" s="9">
        <v>4</v>
      </c>
      <c r="M68" s="9">
        <v>192</v>
      </c>
      <c r="N68" s="9">
        <v>192</v>
      </c>
      <c r="O68" s="9">
        <v>0</v>
      </c>
      <c r="P68" s="9">
        <v>203.40952495900299</v>
      </c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9">
        <v>203.39909462499801</v>
      </c>
      <c r="AC68" s="9">
        <v>203.40952495900299</v>
      </c>
      <c r="AD68" s="9">
        <v>203.89562329200299</v>
      </c>
      <c r="AE68" s="9">
        <v>203.89562329200299</v>
      </c>
      <c r="AF68" s="9">
        <v>203.89562329200299</v>
      </c>
      <c r="AG68" s="9">
        <v>204.30579816699901</v>
      </c>
      <c r="AH68" s="10" t="s">
        <v>59</v>
      </c>
      <c r="AI68" s="9">
        <v>1</v>
      </c>
      <c r="AJ68" s="9">
        <v>0.40832162399601701</v>
      </c>
      <c r="AK68" s="10" t="s">
        <v>51</v>
      </c>
      <c r="AL68" s="8"/>
      <c r="AM68" s="8"/>
      <c r="AN68" s="8"/>
      <c r="AO68" s="9">
        <v>5</v>
      </c>
      <c r="AP68" s="9">
        <v>1</v>
      </c>
      <c r="AQ68" s="10" t="s">
        <v>110</v>
      </c>
      <c r="AR68" s="10" t="s">
        <v>53</v>
      </c>
      <c r="AS68" s="8"/>
      <c r="AT68" s="10" t="s">
        <v>54</v>
      </c>
      <c r="AU68" s="9">
        <v>121.002689767825</v>
      </c>
      <c r="AV68" s="10" t="s">
        <v>111</v>
      </c>
      <c r="AW68" s="8"/>
    </row>
    <row r="69" spans="1:49" x14ac:dyDescent="0.15">
      <c r="A69" s="11" t="s">
        <v>85</v>
      </c>
      <c r="B69" s="12" t="s">
        <v>61</v>
      </c>
      <c r="C69" s="10" t="s">
        <v>62</v>
      </c>
      <c r="D69" s="10" t="s">
        <v>63</v>
      </c>
      <c r="E69" s="9">
        <v>193</v>
      </c>
      <c r="F69" s="9">
        <v>193</v>
      </c>
      <c r="G69" s="9">
        <v>4</v>
      </c>
      <c r="H69" s="10" t="s">
        <v>63</v>
      </c>
      <c r="I69" s="9">
        <v>1</v>
      </c>
      <c r="J69" s="9">
        <v>0.54831754100450802</v>
      </c>
      <c r="K69" s="10" t="s">
        <v>51</v>
      </c>
      <c r="L69" s="9">
        <v>4</v>
      </c>
      <c r="M69" s="9">
        <v>193</v>
      </c>
      <c r="N69" s="9">
        <v>193</v>
      </c>
      <c r="O69" s="9">
        <v>11</v>
      </c>
      <c r="P69" s="9">
        <v>204.31949070899299</v>
      </c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9">
        <v>204.31013625000199</v>
      </c>
      <c r="AC69" s="9">
        <v>204.31949070899299</v>
      </c>
      <c r="AD69" s="9">
        <v>204.80382583399501</v>
      </c>
      <c r="AE69" s="9">
        <v>204.80382583399501</v>
      </c>
      <c r="AF69" s="9">
        <v>204.80382583399501</v>
      </c>
      <c r="AG69" s="9">
        <v>205.355669583994</v>
      </c>
      <c r="AH69" s="10" t="s">
        <v>63</v>
      </c>
      <c r="AI69" s="9">
        <v>1</v>
      </c>
      <c r="AJ69" s="9">
        <v>0.54831754100450802</v>
      </c>
      <c r="AK69" s="10" t="s">
        <v>51</v>
      </c>
      <c r="AL69" s="8"/>
      <c r="AM69" s="8"/>
      <c r="AN69" s="8"/>
      <c r="AO69" s="9">
        <v>5</v>
      </c>
      <c r="AP69" s="9">
        <v>1</v>
      </c>
      <c r="AQ69" s="10" t="s">
        <v>110</v>
      </c>
      <c r="AR69" s="10" t="s">
        <v>53</v>
      </c>
      <c r="AS69" s="8"/>
      <c r="AT69" s="10" t="s">
        <v>54</v>
      </c>
      <c r="AU69" s="9">
        <v>121.002689767825</v>
      </c>
      <c r="AV69" s="10" t="s">
        <v>111</v>
      </c>
      <c r="AW69" s="8"/>
    </row>
    <row r="70" spans="1:49" x14ac:dyDescent="0.15">
      <c r="A70" s="11" t="s">
        <v>60</v>
      </c>
      <c r="B70" s="12" t="s">
        <v>61</v>
      </c>
      <c r="C70" s="10" t="s">
        <v>62</v>
      </c>
      <c r="D70" s="10" t="s">
        <v>63</v>
      </c>
      <c r="E70" s="9">
        <v>194</v>
      </c>
      <c r="F70" s="9">
        <v>194</v>
      </c>
      <c r="G70" s="9">
        <v>3</v>
      </c>
      <c r="H70" s="10" t="s">
        <v>63</v>
      </c>
      <c r="I70" s="9">
        <v>1</v>
      </c>
      <c r="J70" s="9">
        <v>0.41220491600688502</v>
      </c>
      <c r="K70" s="10" t="s">
        <v>51</v>
      </c>
      <c r="L70" s="9">
        <v>3</v>
      </c>
      <c r="M70" s="9">
        <v>194</v>
      </c>
      <c r="N70" s="9">
        <v>194</v>
      </c>
      <c r="O70" s="9">
        <v>9</v>
      </c>
      <c r="P70" s="9">
        <v>205.370271249994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9">
        <v>205.36039699999699</v>
      </c>
      <c r="AC70" s="9">
        <v>205.370271249994</v>
      </c>
      <c r="AD70" s="9">
        <v>205.853858624992</v>
      </c>
      <c r="AE70" s="9">
        <v>205.853858624992</v>
      </c>
      <c r="AF70" s="9">
        <v>205.853858624992</v>
      </c>
      <c r="AG70" s="9">
        <v>206.272327208993</v>
      </c>
      <c r="AH70" s="10" t="s">
        <v>63</v>
      </c>
      <c r="AI70" s="9">
        <v>1</v>
      </c>
      <c r="AJ70" s="9">
        <v>0.41220491600688502</v>
      </c>
      <c r="AK70" s="10" t="s">
        <v>51</v>
      </c>
      <c r="AL70" s="8"/>
      <c r="AM70" s="8"/>
      <c r="AN70" s="8"/>
      <c r="AO70" s="9">
        <v>5</v>
      </c>
      <c r="AP70" s="9">
        <v>1</v>
      </c>
      <c r="AQ70" s="10" t="s">
        <v>110</v>
      </c>
      <c r="AR70" s="10" t="s">
        <v>53</v>
      </c>
      <c r="AS70" s="8"/>
      <c r="AT70" s="10" t="s">
        <v>54</v>
      </c>
      <c r="AU70" s="9">
        <v>121.002689767825</v>
      </c>
      <c r="AV70" s="10" t="s">
        <v>111</v>
      </c>
      <c r="AW70" s="8"/>
    </row>
    <row r="71" spans="1:49" x14ac:dyDescent="0.15">
      <c r="A71" s="11" t="s">
        <v>70</v>
      </c>
      <c r="B71" s="12" t="s">
        <v>61</v>
      </c>
      <c r="C71" s="10" t="s">
        <v>58</v>
      </c>
      <c r="D71" s="10" t="s">
        <v>59</v>
      </c>
      <c r="E71" s="9">
        <v>195</v>
      </c>
      <c r="F71" s="9">
        <v>195</v>
      </c>
      <c r="G71" s="9">
        <v>4</v>
      </c>
      <c r="H71" s="10" t="s">
        <v>59</v>
      </c>
      <c r="I71" s="9">
        <v>1</v>
      </c>
      <c r="J71" s="9">
        <v>0.37967341599869497</v>
      </c>
      <c r="K71" s="10" t="s">
        <v>51</v>
      </c>
      <c r="L71" s="9">
        <v>4</v>
      </c>
      <c r="M71" s="9">
        <v>195</v>
      </c>
      <c r="N71" s="9">
        <v>195</v>
      </c>
      <c r="O71" s="9">
        <v>12</v>
      </c>
      <c r="P71" s="9">
        <v>206.285526708991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9">
        <v>206.27613874999199</v>
      </c>
      <c r="AC71" s="9">
        <v>206.285526708991</v>
      </c>
      <c r="AD71" s="9">
        <v>206.770318875002</v>
      </c>
      <c r="AE71" s="9">
        <v>206.770318875002</v>
      </c>
      <c r="AF71" s="9">
        <v>206.770318875002</v>
      </c>
      <c r="AG71" s="9">
        <v>207.15550854199699</v>
      </c>
      <c r="AH71" s="10" t="s">
        <v>59</v>
      </c>
      <c r="AI71" s="9">
        <v>1</v>
      </c>
      <c r="AJ71" s="9">
        <v>0.37967341599869497</v>
      </c>
      <c r="AK71" s="10" t="s">
        <v>51</v>
      </c>
      <c r="AL71" s="8"/>
      <c r="AM71" s="8"/>
      <c r="AN71" s="8"/>
      <c r="AO71" s="9">
        <v>5</v>
      </c>
      <c r="AP71" s="9">
        <v>1</v>
      </c>
      <c r="AQ71" s="10" t="s">
        <v>110</v>
      </c>
      <c r="AR71" s="10" t="s">
        <v>53</v>
      </c>
      <c r="AS71" s="8"/>
      <c r="AT71" s="10" t="s">
        <v>54</v>
      </c>
      <c r="AU71" s="9">
        <v>121.002689767825</v>
      </c>
      <c r="AV71" s="10" t="s">
        <v>111</v>
      </c>
      <c r="AW71" s="8"/>
    </row>
    <row r="72" spans="1:49" x14ac:dyDescent="0.15">
      <c r="A72" s="11" t="s">
        <v>83</v>
      </c>
      <c r="B72" s="12" t="s">
        <v>61</v>
      </c>
      <c r="C72" s="10" t="s">
        <v>62</v>
      </c>
      <c r="D72" s="10" t="s">
        <v>63</v>
      </c>
      <c r="E72" s="9">
        <v>197</v>
      </c>
      <c r="F72" s="9">
        <v>197</v>
      </c>
      <c r="G72" s="9">
        <v>3</v>
      </c>
      <c r="H72" s="10" t="s">
        <v>63</v>
      </c>
      <c r="I72" s="9">
        <v>1</v>
      </c>
      <c r="J72" s="9">
        <v>0.43244808299641602</v>
      </c>
      <c r="K72" s="10" t="s">
        <v>51</v>
      </c>
      <c r="L72" s="9">
        <v>3</v>
      </c>
      <c r="M72" s="9">
        <v>197</v>
      </c>
      <c r="N72" s="9">
        <v>197</v>
      </c>
      <c r="O72" s="9">
        <v>3</v>
      </c>
      <c r="P72" s="9">
        <v>208.13639108400099</v>
      </c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9">
        <v>208.126865208993</v>
      </c>
      <c r="AC72" s="9">
        <v>208.13639108400099</v>
      </c>
      <c r="AD72" s="9">
        <v>208.620682499997</v>
      </c>
      <c r="AE72" s="9">
        <v>208.620682499997</v>
      </c>
      <c r="AF72" s="9">
        <v>208.620682499997</v>
      </c>
      <c r="AG72" s="9">
        <v>209.05602516699599</v>
      </c>
      <c r="AH72" s="10" t="s">
        <v>63</v>
      </c>
      <c r="AI72" s="9">
        <v>1</v>
      </c>
      <c r="AJ72" s="9">
        <v>0.43244808299641602</v>
      </c>
      <c r="AK72" s="10" t="s">
        <v>51</v>
      </c>
      <c r="AL72" s="8"/>
      <c r="AM72" s="8"/>
      <c r="AN72" s="8"/>
      <c r="AO72" s="9">
        <v>5</v>
      </c>
      <c r="AP72" s="9">
        <v>1</v>
      </c>
      <c r="AQ72" s="10" t="s">
        <v>110</v>
      </c>
      <c r="AR72" s="10" t="s">
        <v>53</v>
      </c>
      <c r="AS72" s="8"/>
      <c r="AT72" s="10" t="s">
        <v>54</v>
      </c>
      <c r="AU72" s="9">
        <v>121.002689767825</v>
      </c>
      <c r="AV72" s="10" t="s">
        <v>111</v>
      </c>
      <c r="AW72" s="8"/>
    </row>
    <row r="73" spans="1:49" x14ac:dyDescent="0.15">
      <c r="A73" s="11" t="s">
        <v>64</v>
      </c>
      <c r="B73" s="12" t="s">
        <v>61</v>
      </c>
      <c r="C73" s="10" t="s">
        <v>62</v>
      </c>
      <c r="D73" s="10" t="s">
        <v>63</v>
      </c>
      <c r="E73" s="9">
        <v>198</v>
      </c>
      <c r="F73" s="9">
        <v>198</v>
      </c>
      <c r="G73" s="9">
        <v>4</v>
      </c>
      <c r="H73" s="10" t="s">
        <v>63</v>
      </c>
      <c r="I73" s="9">
        <v>1</v>
      </c>
      <c r="J73" s="9">
        <v>0.35203945699322498</v>
      </c>
      <c r="K73" s="10" t="s">
        <v>51</v>
      </c>
      <c r="L73" s="9">
        <v>4</v>
      </c>
      <c r="M73" s="9">
        <v>198</v>
      </c>
      <c r="N73" s="9">
        <v>198</v>
      </c>
      <c r="O73" s="9">
        <v>5</v>
      </c>
      <c r="P73" s="9">
        <v>209.07024104199101</v>
      </c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9">
        <v>209.06108649999101</v>
      </c>
      <c r="AC73" s="9">
        <v>209.07024104199101</v>
      </c>
      <c r="AD73" s="9">
        <v>209.553959083991</v>
      </c>
      <c r="AE73" s="9">
        <v>209.553959083991</v>
      </c>
      <c r="AF73" s="9">
        <v>209.553959083991</v>
      </c>
      <c r="AG73" s="9">
        <v>209.911816374995</v>
      </c>
      <c r="AH73" s="10" t="s">
        <v>63</v>
      </c>
      <c r="AI73" s="9">
        <v>1</v>
      </c>
      <c r="AJ73" s="9">
        <v>0.35203945699322498</v>
      </c>
      <c r="AK73" s="10" t="s">
        <v>51</v>
      </c>
      <c r="AL73" s="8"/>
      <c r="AM73" s="8"/>
      <c r="AN73" s="8"/>
      <c r="AO73" s="9">
        <v>5</v>
      </c>
      <c r="AP73" s="9">
        <v>1</v>
      </c>
      <c r="AQ73" s="10" t="s">
        <v>110</v>
      </c>
      <c r="AR73" s="10" t="s">
        <v>53</v>
      </c>
      <c r="AS73" s="8"/>
      <c r="AT73" s="10" t="s">
        <v>54</v>
      </c>
      <c r="AU73" s="9">
        <v>121.002689767825</v>
      </c>
      <c r="AV73" s="10" t="s">
        <v>111</v>
      </c>
      <c r="AW73" s="8"/>
    </row>
    <row r="74" spans="1:49" x14ac:dyDescent="0.15">
      <c r="A74" s="11" t="s">
        <v>73</v>
      </c>
      <c r="B74" s="12" t="s">
        <v>61</v>
      </c>
      <c r="C74" s="10" t="s">
        <v>62</v>
      </c>
      <c r="D74" s="10" t="s">
        <v>63</v>
      </c>
      <c r="E74" s="9">
        <v>201</v>
      </c>
      <c r="F74" s="9">
        <v>201</v>
      </c>
      <c r="G74" s="9">
        <v>4</v>
      </c>
      <c r="H74" s="10" t="s">
        <v>63</v>
      </c>
      <c r="I74" s="9">
        <v>1</v>
      </c>
      <c r="J74" s="9">
        <v>0.41295745800016498</v>
      </c>
      <c r="K74" s="10" t="s">
        <v>51</v>
      </c>
      <c r="L74" s="9">
        <v>4</v>
      </c>
      <c r="M74" s="9">
        <v>201</v>
      </c>
      <c r="N74" s="9">
        <v>201</v>
      </c>
      <c r="O74" s="9">
        <v>15</v>
      </c>
      <c r="P74" s="9">
        <v>211.60271633400399</v>
      </c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9">
        <v>211.59357933400301</v>
      </c>
      <c r="AC74" s="9">
        <v>211.60271633400399</v>
      </c>
      <c r="AD74" s="9">
        <v>212.087168458995</v>
      </c>
      <c r="AE74" s="9">
        <v>212.087168458995</v>
      </c>
      <c r="AF74" s="9">
        <v>212.087168458995</v>
      </c>
      <c r="AG74" s="9">
        <v>212.50575979199499</v>
      </c>
      <c r="AH74" s="10" t="s">
        <v>63</v>
      </c>
      <c r="AI74" s="9">
        <v>1</v>
      </c>
      <c r="AJ74" s="9">
        <v>0.41295745800016498</v>
      </c>
      <c r="AK74" s="10" t="s">
        <v>51</v>
      </c>
      <c r="AL74" s="8"/>
      <c r="AM74" s="8"/>
      <c r="AN74" s="8"/>
      <c r="AO74" s="9">
        <v>5</v>
      </c>
      <c r="AP74" s="9">
        <v>1</v>
      </c>
      <c r="AQ74" s="10" t="s">
        <v>110</v>
      </c>
      <c r="AR74" s="10" t="s">
        <v>53</v>
      </c>
      <c r="AS74" s="8"/>
      <c r="AT74" s="10" t="s">
        <v>54</v>
      </c>
      <c r="AU74" s="9">
        <v>121.002689767825</v>
      </c>
      <c r="AV74" s="10" t="s">
        <v>111</v>
      </c>
      <c r="AW74" s="8"/>
    </row>
    <row r="75" spans="1:49" x14ac:dyDescent="0.15">
      <c r="A75" s="11" t="s">
        <v>70</v>
      </c>
      <c r="B75" s="12" t="s">
        <v>61</v>
      </c>
      <c r="C75" s="10" t="s">
        <v>62</v>
      </c>
      <c r="D75" s="10" t="s">
        <v>63</v>
      </c>
      <c r="E75" s="9">
        <v>212</v>
      </c>
      <c r="F75" s="9">
        <v>212</v>
      </c>
      <c r="G75" s="9">
        <v>4</v>
      </c>
      <c r="H75" s="10" t="s">
        <v>63</v>
      </c>
      <c r="I75" s="9">
        <v>1</v>
      </c>
      <c r="J75" s="9">
        <v>0.41139275000023201</v>
      </c>
      <c r="K75" s="10" t="s">
        <v>51</v>
      </c>
      <c r="L75" s="9">
        <v>4</v>
      </c>
      <c r="M75" s="9">
        <v>212</v>
      </c>
      <c r="N75" s="9">
        <v>212</v>
      </c>
      <c r="O75" s="9">
        <v>13</v>
      </c>
      <c r="P75" s="9">
        <v>221.80479062499899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9">
        <v>221.79548645899899</v>
      </c>
      <c r="AC75" s="9">
        <v>221.80479062499899</v>
      </c>
      <c r="AD75" s="9">
        <v>222.287934708991</v>
      </c>
      <c r="AE75" s="9">
        <v>222.287934708991</v>
      </c>
      <c r="AF75" s="9">
        <v>222.287934708991</v>
      </c>
      <c r="AG75" s="9">
        <v>222.705766708998</v>
      </c>
      <c r="AH75" s="10" t="s">
        <v>63</v>
      </c>
      <c r="AI75" s="9">
        <v>1</v>
      </c>
      <c r="AJ75" s="9">
        <v>0.41139275000023201</v>
      </c>
      <c r="AK75" s="10" t="s">
        <v>51</v>
      </c>
      <c r="AL75" s="8"/>
      <c r="AM75" s="8"/>
      <c r="AN75" s="8"/>
      <c r="AO75" s="9">
        <v>5</v>
      </c>
      <c r="AP75" s="9">
        <v>1</v>
      </c>
      <c r="AQ75" s="10" t="s">
        <v>110</v>
      </c>
      <c r="AR75" s="10" t="s">
        <v>53</v>
      </c>
      <c r="AS75" s="8"/>
      <c r="AT75" s="10" t="s">
        <v>54</v>
      </c>
      <c r="AU75" s="9">
        <v>121.002689767825</v>
      </c>
      <c r="AV75" s="10" t="s">
        <v>111</v>
      </c>
      <c r="AW75" s="8"/>
    </row>
    <row r="76" spans="1:49" x14ac:dyDescent="0.15">
      <c r="A76" s="11" t="s">
        <v>60</v>
      </c>
      <c r="B76" s="12" t="s">
        <v>61</v>
      </c>
      <c r="C76" s="10" t="s">
        <v>58</v>
      </c>
      <c r="D76" s="10" t="s">
        <v>59</v>
      </c>
      <c r="E76" s="9">
        <v>213</v>
      </c>
      <c r="F76" s="9">
        <v>213</v>
      </c>
      <c r="G76" s="9">
        <v>3</v>
      </c>
      <c r="H76" s="10" t="s">
        <v>59</v>
      </c>
      <c r="I76" s="9">
        <v>1</v>
      </c>
      <c r="J76" s="9">
        <v>0.484169832008774</v>
      </c>
      <c r="K76" s="10" t="s">
        <v>51</v>
      </c>
      <c r="L76" s="9">
        <v>3</v>
      </c>
      <c r="M76" s="9">
        <v>213</v>
      </c>
      <c r="N76" s="9">
        <v>213</v>
      </c>
      <c r="O76" s="9">
        <v>8</v>
      </c>
      <c r="P76" s="9">
        <v>222.71840870899899</v>
      </c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9">
        <v>222.70944487499901</v>
      </c>
      <c r="AC76" s="9">
        <v>222.71840870899899</v>
      </c>
      <c r="AD76" s="9">
        <v>223.204090291998</v>
      </c>
      <c r="AE76" s="9">
        <v>223.204090291998</v>
      </c>
      <c r="AF76" s="9">
        <v>223.204090291998</v>
      </c>
      <c r="AG76" s="9">
        <v>223.69588112499301</v>
      </c>
      <c r="AH76" s="10" t="s">
        <v>59</v>
      </c>
      <c r="AI76" s="9">
        <v>1</v>
      </c>
      <c r="AJ76" s="9">
        <v>0.484169832008774</v>
      </c>
      <c r="AK76" s="10" t="s">
        <v>51</v>
      </c>
      <c r="AL76" s="8"/>
      <c r="AM76" s="8"/>
      <c r="AN76" s="8"/>
      <c r="AO76" s="9">
        <v>5</v>
      </c>
      <c r="AP76" s="9">
        <v>1</v>
      </c>
      <c r="AQ76" s="10" t="s">
        <v>110</v>
      </c>
      <c r="AR76" s="10" t="s">
        <v>53</v>
      </c>
      <c r="AS76" s="8"/>
      <c r="AT76" s="10" t="s">
        <v>54</v>
      </c>
      <c r="AU76" s="9">
        <v>121.002689767825</v>
      </c>
      <c r="AV76" s="10" t="s">
        <v>111</v>
      </c>
      <c r="AW76" s="8"/>
    </row>
    <row r="77" spans="1:49" x14ac:dyDescent="0.15">
      <c r="A77" s="11" t="s">
        <v>60</v>
      </c>
      <c r="B77" s="12" t="s">
        <v>61</v>
      </c>
      <c r="C77" s="10" t="s">
        <v>62</v>
      </c>
      <c r="D77" s="10" t="s">
        <v>63</v>
      </c>
      <c r="E77" s="9">
        <v>215</v>
      </c>
      <c r="F77" s="9">
        <v>215</v>
      </c>
      <c r="G77" s="9">
        <v>4</v>
      </c>
      <c r="H77" s="10" t="s">
        <v>63</v>
      </c>
      <c r="I77" s="9">
        <v>1</v>
      </c>
      <c r="J77" s="9">
        <v>0.411691957997391</v>
      </c>
      <c r="K77" s="10" t="s">
        <v>51</v>
      </c>
      <c r="L77" s="9">
        <v>4</v>
      </c>
      <c r="M77" s="9">
        <v>215</v>
      </c>
      <c r="N77" s="9">
        <v>215</v>
      </c>
      <c r="O77" s="9">
        <v>9</v>
      </c>
      <c r="P77" s="9">
        <v>224.693160374998</v>
      </c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9">
        <v>224.68330833400299</v>
      </c>
      <c r="AC77" s="9">
        <v>224.693160374998</v>
      </c>
      <c r="AD77" s="9">
        <v>225.18053225</v>
      </c>
      <c r="AE77" s="9">
        <v>225.18053225</v>
      </c>
      <c r="AF77" s="9">
        <v>225.18053225</v>
      </c>
      <c r="AG77" s="9">
        <v>225.59540237499499</v>
      </c>
      <c r="AH77" s="10" t="s">
        <v>63</v>
      </c>
      <c r="AI77" s="9">
        <v>1</v>
      </c>
      <c r="AJ77" s="9">
        <v>0.411691957997391</v>
      </c>
      <c r="AK77" s="10" t="s">
        <v>51</v>
      </c>
      <c r="AL77" s="8"/>
      <c r="AM77" s="8"/>
      <c r="AN77" s="8"/>
      <c r="AO77" s="9">
        <v>5</v>
      </c>
      <c r="AP77" s="9">
        <v>1</v>
      </c>
      <c r="AQ77" s="10" t="s">
        <v>110</v>
      </c>
      <c r="AR77" s="10" t="s">
        <v>53</v>
      </c>
      <c r="AS77" s="8"/>
      <c r="AT77" s="10" t="s">
        <v>54</v>
      </c>
      <c r="AU77" s="9">
        <v>121.002689767825</v>
      </c>
      <c r="AV77" s="10" t="s">
        <v>111</v>
      </c>
      <c r="AW77" s="8"/>
    </row>
    <row r="78" spans="1:49" x14ac:dyDescent="0.15">
      <c r="A78" s="11" t="s">
        <v>79</v>
      </c>
      <c r="B78" s="12" t="s">
        <v>61</v>
      </c>
      <c r="C78" s="10" t="s">
        <v>58</v>
      </c>
      <c r="D78" s="10" t="s">
        <v>59</v>
      </c>
      <c r="E78" s="9">
        <v>217</v>
      </c>
      <c r="F78" s="9">
        <v>217</v>
      </c>
      <c r="G78" s="9">
        <v>4</v>
      </c>
      <c r="H78" s="10" t="s">
        <v>59</v>
      </c>
      <c r="I78" s="9">
        <v>1</v>
      </c>
      <c r="J78" s="9">
        <v>0.712177458000951</v>
      </c>
      <c r="K78" s="10" t="s">
        <v>51</v>
      </c>
      <c r="L78" s="9">
        <v>4</v>
      </c>
      <c r="M78" s="9">
        <v>217</v>
      </c>
      <c r="N78" s="9">
        <v>217</v>
      </c>
      <c r="O78" s="9">
        <v>6</v>
      </c>
      <c r="P78" s="9">
        <v>226.53625154199801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9">
        <v>226.527221166994</v>
      </c>
      <c r="AC78" s="9">
        <v>226.53625154199801</v>
      </c>
      <c r="AD78" s="9">
        <v>227.021134333991</v>
      </c>
      <c r="AE78" s="9">
        <v>227.021134333991</v>
      </c>
      <c r="AF78" s="9">
        <v>227.021134333991</v>
      </c>
      <c r="AG78" s="9">
        <v>227.73946625000099</v>
      </c>
      <c r="AH78" s="10" t="s">
        <v>59</v>
      </c>
      <c r="AI78" s="9">
        <v>1</v>
      </c>
      <c r="AJ78" s="9">
        <v>0.712177458000951</v>
      </c>
      <c r="AK78" s="10" t="s">
        <v>51</v>
      </c>
      <c r="AL78" s="8"/>
      <c r="AM78" s="8"/>
      <c r="AN78" s="8"/>
      <c r="AO78" s="9">
        <v>5</v>
      </c>
      <c r="AP78" s="9">
        <v>1</v>
      </c>
      <c r="AQ78" s="10" t="s">
        <v>110</v>
      </c>
      <c r="AR78" s="10" t="s">
        <v>53</v>
      </c>
      <c r="AS78" s="8"/>
      <c r="AT78" s="10" t="s">
        <v>54</v>
      </c>
      <c r="AU78" s="9">
        <v>121.002689767825</v>
      </c>
      <c r="AV78" s="10" t="s">
        <v>111</v>
      </c>
      <c r="AW78" s="8"/>
    </row>
    <row r="79" spans="1:49" x14ac:dyDescent="0.15">
      <c r="A79" s="11" t="s">
        <v>60</v>
      </c>
      <c r="B79" s="12" t="s">
        <v>61</v>
      </c>
      <c r="C79" s="10" t="s">
        <v>58</v>
      </c>
      <c r="D79" s="10" t="s">
        <v>59</v>
      </c>
      <c r="E79" s="9">
        <v>224</v>
      </c>
      <c r="F79" s="9">
        <v>224</v>
      </c>
      <c r="G79" s="9">
        <v>4</v>
      </c>
      <c r="H79" s="10" t="s">
        <v>59</v>
      </c>
      <c r="I79" s="9">
        <v>1</v>
      </c>
      <c r="J79" s="9">
        <v>0.35370787499414302</v>
      </c>
      <c r="K79" s="10" t="s">
        <v>51</v>
      </c>
      <c r="L79" s="9">
        <v>4</v>
      </c>
      <c r="M79" s="9">
        <v>224</v>
      </c>
      <c r="N79" s="9">
        <v>224</v>
      </c>
      <c r="O79" s="9">
        <v>8</v>
      </c>
      <c r="P79" s="9">
        <v>233.369765541996</v>
      </c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9">
        <v>233.360503834003</v>
      </c>
      <c r="AC79" s="9">
        <v>233.369765541996</v>
      </c>
      <c r="AD79" s="9">
        <v>233.854636834003</v>
      </c>
      <c r="AE79" s="9">
        <v>233.854636834003</v>
      </c>
      <c r="AF79" s="9">
        <v>233.854636834003</v>
      </c>
      <c r="AG79" s="9">
        <v>234.21238295899801</v>
      </c>
      <c r="AH79" s="10" t="s">
        <v>59</v>
      </c>
      <c r="AI79" s="9">
        <v>1</v>
      </c>
      <c r="AJ79" s="9">
        <v>0.35370787499414302</v>
      </c>
      <c r="AK79" s="10" t="s">
        <v>51</v>
      </c>
      <c r="AL79" s="8"/>
      <c r="AM79" s="8"/>
      <c r="AN79" s="8"/>
      <c r="AO79" s="9">
        <v>5</v>
      </c>
      <c r="AP79" s="9">
        <v>1</v>
      </c>
      <c r="AQ79" s="10" t="s">
        <v>110</v>
      </c>
      <c r="AR79" s="10" t="s">
        <v>53</v>
      </c>
      <c r="AS79" s="8"/>
      <c r="AT79" s="10" t="s">
        <v>54</v>
      </c>
      <c r="AU79" s="9">
        <v>121.002689767825</v>
      </c>
      <c r="AV79" s="10" t="s">
        <v>111</v>
      </c>
      <c r="AW79" s="8"/>
    </row>
    <row r="80" spans="1:49" x14ac:dyDescent="0.15">
      <c r="A80" s="11" t="s">
        <v>79</v>
      </c>
      <c r="B80" s="12" t="s">
        <v>61</v>
      </c>
      <c r="C80" s="10" t="s">
        <v>62</v>
      </c>
      <c r="D80" s="10" t="s">
        <v>63</v>
      </c>
      <c r="E80" s="9">
        <v>230</v>
      </c>
      <c r="F80" s="9">
        <v>230</v>
      </c>
      <c r="G80" s="9">
        <v>4</v>
      </c>
      <c r="H80" s="10" t="s">
        <v>63</v>
      </c>
      <c r="I80" s="9">
        <v>1</v>
      </c>
      <c r="J80" s="9">
        <v>0.39987845699943098</v>
      </c>
      <c r="K80" s="10" t="s">
        <v>51</v>
      </c>
      <c r="L80" s="9">
        <v>4</v>
      </c>
      <c r="M80" s="9">
        <v>230</v>
      </c>
      <c r="N80" s="9">
        <v>230</v>
      </c>
      <c r="O80" s="9">
        <v>7</v>
      </c>
      <c r="P80" s="9">
        <v>238.62075025000399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9">
        <v>238.61165804199101</v>
      </c>
      <c r="AC80" s="9">
        <v>238.62075025000399</v>
      </c>
      <c r="AD80" s="9">
        <v>239.104691417</v>
      </c>
      <c r="AE80" s="9">
        <v>239.104691417</v>
      </c>
      <c r="AF80" s="9">
        <v>239.104691417</v>
      </c>
      <c r="AG80" s="9">
        <v>239.506807208993</v>
      </c>
      <c r="AH80" s="10" t="s">
        <v>63</v>
      </c>
      <c r="AI80" s="9">
        <v>1</v>
      </c>
      <c r="AJ80" s="9">
        <v>0.39987845699943098</v>
      </c>
      <c r="AK80" s="10" t="s">
        <v>51</v>
      </c>
      <c r="AL80" s="8"/>
      <c r="AM80" s="8"/>
      <c r="AN80" s="8"/>
      <c r="AO80" s="9">
        <v>5</v>
      </c>
      <c r="AP80" s="9">
        <v>1</v>
      </c>
      <c r="AQ80" s="10" t="s">
        <v>110</v>
      </c>
      <c r="AR80" s="10" t="s">
        <v>53</v>
      </c>
      <c r="AS80" s="8"/>
      <c r="AT80" s="10" t="s">
        <v>54</v>
      </c>
      <c r="AU80" s="9">
        <v>121.002689767825</v>
      </c>
      <c r="AV80" s="10" t="s">
        <v>111</v>
      </c>
      <c r="AW80" s="8"/>
    </row>
    <row r="81" spans="1:49" x14ac:dyDescent="0.15">
      <c r="A81" s="11" t="s">
        <v>83</v>
      </c>
      <c r="B81" s="12" t="s">
        <v>61</v>
      </c>
      <c r="C81" s="10" t="s">
        <v>62</v>
      </c>
      <c r="D81" s="10" t="s">
        <v>63</v>
      </c>
      <c r="E81" s="9">
        <v>237</v>
      </c>
      <c r="F81" s="9">
        <v>237</v>
      </c>
      <c r="G81" s="9">
        <v>4</v>
      </c>
      <c r="H81" s="10" t="s">
        <v>63</v>
      </c>
      <c r="I81" s="9">
        <v>1</v>
      </c>
      <c r="J81" s="9">
        <v>0.37900366600661101</v>
      </c>
      <c r="K81" s="10" t="s">
        <v>51</v>
      </c>
      <c r="L81" s="9">
        <v>4</v>
      </c>
      <c r="M81" s="9">
        <v>237</v>
      </c>
      <c r="N81" s="9">
        <v>237</v>
      </c>
      <c r="O81" s="9">
        <v>3</v>
      </c>
      <c r="P81" s="9">
        <v>244.710784291994</v>
      </c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9">
        <v>244.69921616699099</v>
      </c>
      <c r="AC81" s="9">
        <v>244.710784291994</v>
      </c>
      <c r="AD81" s="9">
        <v>245.197624958993</v>
      </c>
      <c r="AE81" s="9">
        <v>245.197624958993</v>
      </c>
      <c r="AF81" s="9">
        <v>245.197624958993</v>
      </c>
      <c r="AG81" s="9">
        <v>245.579606333995</v>
      </c>
      <c r="AH81" s="10" t="s">
        <v>63</v>
      </c>
      <c r="AI81" s="9">
        <v>1</v>
      </c>
      <c r="AJ81" s="9">
        <v>0.37900366600661101</v>
      </c>
      <c r="AK81" s="10" t="s">
        <v>51</v>
      </c>
      <c r="AL81" s="8"/>
      <c r="AM81" s="8"/>
      <c r="AN81" s="8"/>
      <c r="AO81" s="9">
        <v>5</v>
      </c>
      <c r="AP81" s="9">
        <v>1</v>
      </c>
      <c r="AQ81" s="10" t="s">
        <v>110</v>
      </c>
      <c r="AR81" s="10" t="s">
        <v>53</v>
      </c>
      <c r="AS81" s="8"/>
      <c r="AT81" s="10" t="s">
        <v>54</v>
      </c>
      <c r="AU81" s="9">
        <v>121.002689767825</v>
      </c>
      <c r="AV81" s="10" t="s">
        <v>111</v>
      </c>
      <c r="AW81" s="8"/>
    </row>
    <row r="82" spans="1:49" x14ac:dyDescent="0.15">
      <c r="A82" s="11" t="s">
        <v>65</v>
      </c>
      <c r="B82" s="12" t="s">
        <v>57</v>
      </c>
      <c r="C82" s="10" t="s">
        <v>58</v>
      </c>
      <c r="D82" s="10" t="s">
        <v>59</v>
      </c>
      <c r="E82" s="9">
        <v>0</v>
      </c>
      <c r="F82" s="9">
        <v>0</v>
      </c>
      <c r="G82" s="9">
        <v>0</v>
      </c>
      <c r="H82" s="10" t="s">
        <v>59</v>
      </c>
      <c r="I82" s="9">
        <v>1</v>
      </c>
      <c r="J82" s="9">
        <v>0.40324574899568699</v>
      </c>
      <c r="K82" s="10" t="s">
        <v>51</v>
      </c>
      <c r="L82" s="9">
        <v>0</v>
      </c>
      <c r="M82" s="9">
        <v>0</v>
      </c>
      <c r="N82" s="9">
        <v>0</v>
      </c>
      <c r="O82" s="9">
        <v>30</v>
      </c>
      <c r="P82" s="9">
        <v>21.702060958996299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9">
        <v>21.672740084002701</v>
      </c>
      <c r="AC82" s="9">
        <v>21.702060958996299</v>
      </c>
      <c r="AD82" s="9">
        <v>22.132215292003799</v>
      </c>
      <c r="AE82" s="9">
        <v>22.132215292003799</v>
      </c>
      <c r="AF82" s="9">
        <v>22.132215292003799</v>
      </c>
      <c r="AG82" s="9">
        <v>22.538557666994201</v>
      </c>
      <c r="AH82" s="10" t="s">
        <v>59</v>
      </c>
      <c r="AI82" s="9">
        <v>1</v>
      </c>
      <c r="AJ82" s="9">
        <v>0.40324574899568699</v>
      </c>
      <c r="AK82" s="10" t="s">
        <v>51</v>
      </c>
      <c r="AL82" s="8"/>
      <c r="AM82" s="8"/>
      <c r="AN82" s="8"/>
      <c r="AO82" s="9">
        <v>5</v>
      </c>
      <c r="AP82" s="9">
        <v>1</v>
      </c>
      <c r="AQ82" s="10" t="s">
        <v>110</v>
      </c>
      <c r="AR82" s="10" t="s">
        <v>53</v>
      </c>
      <c r="AS82" s="8"/>
      <c r="AT82" s="10" t="s">
        <v>54</v>
      </c>
      <c r="AU82" s="9">
        <v>121.002689767825</v>
      </c>
      <c r="AV82" s="10" t="s">
        <v>111</v>
      </c>
      <c r="AW82" s="8"/>
    </row>
    <row r="83" spans="1:49" x14ac:dyDescent="0.15">
      <c r="A83" s="11" t="s">
        <v>78</v>
      </c>
      <c r="B83" s="12" t="s">
        <v>57</v>
      </c>
      <c r="C83" s="10" t="s">
        <v>58</v>
      </c>
      <c r="D83" s="10" t="s">
        <v>59</v>
      </c>
      <c r="E83" s="9">
        <v>2</v>
      </c>
      <c r="F83" s="9">
        <v>2</v>
      </c>
      <c r="G83" s="9">
        <v>0</v>
      </c>
      <c r="H83" s="10" t="s">
        <v>59</v>
      </c>
      <c r="I83" s="9">
        <v>1</v>
      </c>
      <c r="J83" s="9">
        <v>0.48380341600568499</v>
      </c>
      <c r="K83" s="10" t="s">
        <v>51</v>
      </c>
      <c r="L83" s="9">
        <v>0</v>
      </c>
      <c r="M83" s="9">
        <v>2</v>
      </c>
      <c r="N83" s="9">
        <v>2</v>
      </c>
      <c r="O83" s="9">
        <v>26</v>
      </c>
      <c r="P83" s="9">
        <v>23.629242166993201</v>
      </c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9">
        <v>23.620077041996399</v>
      </c>
      <c r="AC83" s="9">
        <v>23.629242166993201</v>
      </c>
      <c r="AD83" s="9">
        <v>24.1137984169909</v>
      </c>
      <c r="AE83" s="9">
        <v>24.1137984169909</v>
      </c>
      <c r="AF83" s="9">
        <v>24.1137984169909</v>
      </c>
      <c r="AG83" s="9">
        <v>24.605142041997201</v>
      </c>
      <c r="AH83" s="10" t="s">
        <v>59</v>
      </c>
      <c r="AI83" s="9">
        <v>1</v>
      </c>
      <c r="AJ83" s="9">
        <v>0.48380341600568499</v>
      </c>
      <c r="AK83" s="10" t="s">
        <v>51</v>
      </c>
      <c r="AL83" s="8"/>
      <c r="AM83" s="8"/>
      <c r="AN83" s="8"/>
      <c r="AO83" s="9">
        <v>5</v>
      </c>
      <c r="AP83" s="9">
        <v>1</v>
      </c>
      <c r="AQ83" s="10" t="s">
        <v>110</v>
      </c>
      <c r="AR83" s="10" t="s">
        <v>53</v>
      </c>
      <c r="AS83" s="8"/>
      <c r="AT83" s="10" t="s">
        <v>54</v>
      </c>
      <c r="AU83" s="9">
        <v>121.002689767825</v>
      </c>
      <c r="AV83" s="10" t="s">
        <v>111</v>
      </c>
      <c r="AW83" s="8"/>
    </row>
    <row r="84" spans="1:49" x14ac:dyDescent="0.15">
      <c r="A84" s="11" t="s">
        <v>65</v>
      </c>
      <c r="B84" s="12" t="s">
        <v>57</v>
      </c>
      <c r="C84" s="10" t="s">
        <v>58</v>
      </c>
      <c r="D84" s="10" t="s">
        <v>59</v>
      </c>
      <c r="E84" s="9">
        <v>3</v>
      </c>
      <c r="F84" s="9">
        <v>3</v>
      </c>
      <c r="G84" s="9">
        <v>1</v>
      </c>
      <c r="H84" s="10" t="s">
        <v>59</v>
      </c>
      <c r="I84" s="9">
        <v>1</v>
      </c>
      <c r="J84" s="9">
        <v>0.35300574899883902</v>
      </c>
      <c r="K84" s="10" t="s">
        <v>51</v>
      </c>
      <c r="L84" s="9">
        <v>1</v>
      </c>
      <c r="M84" s="9">
        <v>3</v>
      </c>
      <c r="N84" s="9">
        <v>3</v>
      </c>
      <c r="O84" s="9">
        <v>30</v>
      </c>
      <c r="P84" s="9">
        <v>24.619425833996502</v>
      </c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9">
        <v>24.6086053750041</v>
      </c>
      <c r="AC84" s="9">
        <v>24.619425833996502</v>
      </c>
      <c r="AD84" s="9">
        <v>25.106591666990401</v>
      </c>
      <c r="AE84" s="9">
        <v>25.106591666990401</v>
      </c>
      <c r="AF84" s="9">
        <v>25.106591666990401</v>
      </c>
      <c r="AG84" s="9">
        <v>25.465909167003701</v>
      </c>
      <c r="AH84" s="10" t="s">
        <v>59</v>
      </c>
      <c r="AI84" s="9">
        <v>1</v>
      </c>
      <c r="AJ84" s="9">
        <v>0.35300574899883902</v>
      </c>
      <c r="AK84" s="10" t="s">
        <v>51</v>
      </c>
      <c r="AL84" s="8"/>
      <c r="AM84" s="8"/>
      <c r="AN84" s="8"/>
      <c r="AO84" s="9">
        <v>5</v>
      </c>
      <c r="AP84" s="9">
        <v>1</v>
      </c>
      <c r="AQ84" s="10" t="s">
        <v>110</v>
      </c>
      <c r="AR84" s="10" t="s">
        <v>53</v>
      </c>
      <c r="AS84" s="8"/>
      <c r="AT84" s="10" t="s">
        <v>54</v>
      </c>
      <c r="AU84" s="9">
        <v>121.002689767825</v>
      </c>
      <c r="AV84" s="10" t="s">
        <v>111</v>
      </c>
      <c r="AW84" s="8"/>
    </row>
    <row r="85" spans="1:49" x14ac:dyDescent="0.15">
      <c r="A85" s="11" t="s">
        <v>71</v>
      </c>
      <c r="B85" s="12" t="s">
        <v>57</v>
      </c>
      <c r="C85" s="10" t="s">
        <v>62</v>
      </c>
      <c r="D85" s="10" t="s">
        <v>63</v>
      </c>
      <c r="E85" s="9">
        <v>4</v>
      </c>
      <c r="F85" s="9">
        <v>4</v>
      </c>
      <c r="G85" s="9">
        <v>0</v>
      </c>
      <c r="H85" s="10" t="s">
        <v>63</v>
      </c>
      <c r="I85" s="9">
        <v>1</v>
      </c>
      <c r="J85" s="9">
        <v>0.34802158299135</v>
      </c>
      <c r="K85" s="10" t="s">
        <v>51</v>
      </c>
      <c r="L85" s="9">
        <v>0</v>
      </c>
      <c r="M85" s="9">
        <v>4</v>
      </c>
      <c r="N85" s="9">
        <v>4</v>
      </c>
      <c r="O85" s="9">
        <v>29</v>
      </c>
      <c r="P85" s="9">
        <v>25.481264292000599</v>
      </c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9">
        <v>25.472250291990399</v>
      </c>
      <c r="AC85" s="9">
        <v>25.481264292000599</v>
      </c>
      <c r="AD85" s="9">
        <v>25.9638080419973</v>
      </c>
      <c r="AE85" s="9">
        <v>25.9638080419973</v>
      </c>
      <c r="AF85" s="9">
        <v>25.9638080419973</v>
      </c>
      <c r="AG85" s="9">
        <v>26.315728083995101</v>
      </c>
      <c r="AH85" s="10" t="s">
        <v>63</v>
      </c>
      <c r="AI85" s="9">
        <v>1</v>
      </c>
      <c r="AJ85" s="9">
        <v>0.34802158299135</v>
      </c>
      <c r="AK85" s="10" t="s">
        <v>51</v>
      </c>
      <c r="AL85" s="8"/>
      <c r="AM85" s="8"/>
      <c r="AN85" s="8"/>
      <c r="AO85" s="9">
        <v>5</v>
      </c>
      <c r="AP85" s="9">
        <v>1</v>
      </c>
      <c r="AQ85" s="10" t="s">
        <v>110</v>
      </c>
      <c r="AR85" s="10" t="s">
        <v>53</v>
      </c>
      <c r="AS85" s="8"/>
      <c r="AT85" s="10" t="s">
        <v>54</v>
      </c>
      <c r="AU85" s="9">
        <v>121.002689767825</v>
      </c>
      <c r="AV85" s="10" t="s">
        <v>111</v>
      </c>
      <c r="AW85" s="8"/>
    </row>
    <row r="86" spans="1:49" x14ac:dyDescent="0.15">
      <c r="A86" s="11" t="s">
        <v>65</v>
      </c>
      <c r="B86" s="12" t="s">
        <v>57</v>
      </c>
      <c r="C86" s="10" t="s">
        <v>62</v>
      </c>
      <c r="D86" s="10" t="s">
        <v>63</v>
      </c>
      <c r="E86" s="9">
        <v>6</v>
      </c>
      <c r="F86" s="9">
        <v>6</v>
      </c>
      <c r="G86" s="9">
        <v>0</v>
      </c>
      <c r="H86" s="10" t="s">
        <v>59</v>
      </c>
      <c r="I86" s="9">
        <v>0</v>
      </c>
      <c r="J86" s="9">
        <v>0.34175666600640398</v>
      </c>
      <c r="K86" s="10" t="s">
        <v>51</v>
      </c>
      <c r="L86" s="9">
        <v>0</v>
      </c>
      <c r="M86" s="9">
        <v>6</v>
      </c>
      <c r="N86" s="9">
        <v>6</v>
      </c>
      <c r="O86" s="9">
        <v>31</v>
      </c>
      <c r="P86" s="9">
        <v>27.1355724589957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9">
        <v>27.125951333990098</v>
      </c>
      <c r="AC86" s="9">
        <v>27.1355724589957</v>
      </c>
      <c r="AD86" s="9">
        <v>27.622857166992599</v>
      </c>
      <c r="AE86" s="9">
        <v>27.622857166992599</v>
      </c>
      <c r="AF86" s="9">
        <v>27.622857166992599</v>
      </c>
      <c r="AG86" s="9">
        <v>27.971924291996402</v>
      </c>
      <c r="AH86" s="10" t="s">
        <v>59</v>
      </c>
      <c r="AI86" s="9">
        <v>0</v>
      </c>
      <c r="AJ86" s="9">
        <v>0.34175666600640398</v>
      </c>
      <c r="AK86" s="10" t="s">
        <v>51</v>
      </c>
      <c r="AL86" s="8"/>
      <c r="AM86" s="8"/>
      <c r="AN86" s="8"/>
      <c r="AO86" s="9">
        <v>5</v>
      </c>
      <c r="AP86" s="9">
        <v>1</v>
      </c>
      <c r="AQ86" s="10" t="s">
        <v>110</v>
      </c>
      <c r="AR86" s="10" t="s">
        <v>53</v>
      </c>
      <c r="AS86" s="8"/>
      <c r="AT86" s="10" t="s">
        <v>54</v>
      </c>
      <c r="AU86" s="9">
        <v>121.002689767825</v>
      </c>
      <c r="AV86" s="10" t="s">
        <v>111</v>
      </c>
      <c r="AW86" s="8"/>
    </row>
    <row r="87" spans="1:49" x14ac:dyDescent="0.15">
      <c r="A87" s="11" t="s">
        <v>75</v>
      </c>
      <c r="B87" s="12" t="s">
        <v>57</v>
      </c>
      <c r="C87" s="10" t="s">
        <v>58</v>
      </c>
      <c r="D87" s="10" t="s">
        <v>59</v>
      </c>
      <c r="E87" s="9">
        <v>8</v>
      </c>
      <c r="F87" s="9">
        <v>8</v>
      </c>
      <c r="G87" s="9">
        <v>0</v>
      </c>
      <c r="H87" s="10" t="s">
        <v>59</v>
      </c>
      <c r="I87" s="9">
        <v>1</v>
      </c>
      <c r="J87" s="9">
        <v>0.424183790993993</v>
      </c>
      <c r="K87" s="10" t="s">
        <v>51</v>
      </c>
      <c r="L87" s="9">
        <v>0</v>
      </c>
      <c r="M87" s="9">
        <v>8</v>
      </c>
      <c r="N87" s="9">
        <v>8</v>
      </c>
      <c r="O87" s="9">
        <v>18</v>
      </c>
      <c r="P87" s="9">
        <v>29.245928333999501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9">
        <v>29.236712416997801</v>
      </c>
      <c r="AC87" s="9">
        <v>29.245928333999501</v>
      </c>
      <c r="AD87" s="9">
        <v>29.730526749990499</v>
      </c>
      <c r="AE87" s="9">
        <v>29.730526749990499</v>
      </c>
      <c r="AF87" s="9">
        <v>29.730526749990499</v>
      </c>
      <c r="AG87" s="9">
        <v>30.1659522919945</v>
      </c>
      <c r="AH87" s="10" t="s">
        <v>59</v>
      </c>
      <c r="AI87" s="9">
        <v>1</v>
      </c>
      <c r="AJ87" s="9">
        <v>0.424183790993993</v>
      </c>
      <c r="AK87" s="10" t="s">
        <v>51</v>
      </c>
      <c r="AL87" s="8"/>
      <c r="AM87" s="8"/>
      <c r="AN87" s="8"/>
      <c r="AO87" s="9">
        <v>5</v>
      </c>
      <c r="AP87" s="9">
        <v>1</v>
      </c>
      <c r="AQ87" s="10" t="s">
        <v>110</v>
      </c>
      <c r="AR87" s="10" t="s">
        <v>53</v>
      </c>
      <c r="AS87" s="8"/>
      <c r="AT87" s="10" t="s">
        <v>54</v>
      </c>
      <c r="AU87" s="9">
        <v>121.002689767825</v>
      </c>
      <c r="AV87" s="10" t="s">
        <v>111</v>
      </c>
      <c r="AW87" s="8"/>
    </row>
    <row r="88" spans="1:49" x14ac:dyDescent="0.15">
      <c r="A88" s="11" t="s">
        <v>84</v>
      </c>
      <c r="B88" s="12" t="s">
        <v>57</v>
      </c>
      <c r="C88" s="10" t="s">
        <v>58</v>
      </c>
      <c r="D88" s="10" t="s">
        <v>59</v>
      </c>
      <c r="E88" s="9">
        <v>12</v>
      </c>
      <c r="F88" s="9">
        <v>12</v>
      </c>
      <c r="G88" s="9">
        <v>0</v>
      </c>
      <c r="H88" s="10" t="s">
        <v>59</v>
      </c>
      <c r="I88" s="9">
        <v>1</v>
      </c>
      <c r="J88" s="9">
        <v>0.41154074900259702</v>
      </c>
      <c r="K88" s="10" t="s">
        <v>51</v>
      </c>
      <c r="L88" s="9">
        <v>0</v>
      </c>
      <c r="M88" s="9">
        <v>12</v>
      </c>
      <c r="N88" s="9">
        <v>12</v>
      </c>
      <c r="O88" s="9">
        <v>20</v>
      </c>
      <c r="P88" s="9">
        <v>32.819460208993398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9">
        <v>32.808718667001799</v>
      </c>
      <c r="AC88" s="9">
        <v>32.819460208993398</v>
      </c>
      <c r="AD88" s="9">
        <v>33.297255917001202</v>
      </c>
      <c r="AE88" s="9">
        <v>33.297255917001202</v>
      </c>
      <c r="AF88" s="9">
        <v>33.297255917001202</v>
      </c>
      <c r="AG88" s="9">
        <v>33.715976291990998</v>
      </c>
      <c r="AH88" s="10" t="s">
        <v>59</v>
      </c>
      <c r="AI88" s="9">
        <v>1</v>
      </c>
      <c r="AJ88" s="9">
        <v>0.41154074900259702</v>
      </c>
      <c r="AK88" s="10" t="s">
        <v>51</v>
      </c>
      <c r="AL88" s="8"/>
      <c r="AM88" s="8"/>
      <c r="AN88" s="8"/>
      <c r="AO88" s="9">
        <v>5</v>
      </c>
      <c r="AP88" s="9">
        <v>1</v>
      </c>
      <c r="AQ88" s="10" t="s">
        <v>110</v>
      </c>
      <c r="AR88" s="10" t="s">
        <v>53</v>
      </c>
      <c r="AS88" s="8"/>
      <c r="AT88" s="10" t="s">
        <v>54</v>
      </c>
      <c r="AU88" s="9">
        <v>121.002689767825</v>
      </c>
      <c r="AV88" s="10" t="s">
        <v>111</v>
      </c>
      <c r="AW88" s="8"/>
    </row>
    <row r="89" spans="1:49" x14ac:dyDescent="0.15">
      <c r="A89" s="11" t="s">
        <v>68</v>
      </c>
      <c r="B89" s="12" t="s">
        <v>57</v>
      </c>
      <c r="C89" s="10" t="s">
        <v>58</v>
      </c>
      <c r="D89" s="10" t="s">
        <v>59</v>
      </c>
      <c r="E89" s="9">
        <v>14</v>
      </c>
      <c r="F89" s="9">
        <v>14</v>
      </c>
      <c r="G89" s="9">
        <v>0</v>
      </c>
      <c r="H89" s="10" t="s">
        <v>59</v>
      </c>
      <c r="I89" s="9">
        <v>1</v>
      </c>
      <c r="J89" s="9">
        <v>0.30365262400300702</v>
      </c>
      <c r="K89" s="10" t="s">
        <v>51</v>
      </c>
      <c r="L89" s="9">
        <v>0</v>
      </c>
      <c r="M89" s="9">
        <v>14</v>
      </c>
      <c r="N89" s="9">
        <v>14</v>
      </c>
      <c r="O89" s="9">
        <v>22</v>
      </c>
      <c r="P89" s="9">
        <v>34.552806166990202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9">
        <v>34.542772542001302</v>
      </c>
      <c r="AC89" s="9">
        <v>34.552806166990202</v>
      </c>
      <c r="AD89" s="9">
        <v>35.040152166999199</v>
      </c>
      <c r="AE89" s="9">
        <v>35.040152166999199</v>
      </c>
      <c r="AF89" s="9">
        <v>35.040152166999199</v>
      </c>
      <c r="AG89" s="9">
        <v>35.349563249997999</v>
      </c>
      <c r="AH89" s="10" t="s">
        <v>59</v>
      </c>
      <c r="AI89" s="9">
        <v>1</v>
      </c>
      <c r="AJ89" s="9">
        <v>0.30365262400300702</v>
      </c>
      <c r="AK89" s="10" t="s">
        <v>51</v>
      </c>
      <c r="AL89" s="8"/>
      <c r="AM89" s="8"/>
      <c r="AN89" s="8"/>
      <c r="AO89" s="9">
        <v>5</v>
      </c>
      <c r="AP89" s="9">
        <v>1</v>
      </c>
      <c r="AQ89" s="10" t="s">
        <v>110</v>
      </c>
      <c r="AR89" s="10" t="s">
        <v>53</v>
      </c>
      <c r="AS89" s="8"/>
      <c r="AT89" s="10" t="s">
        <v>54</v>
      </c>
      <c r="AU89" s="9">
        <v>121.002689767825</v>
      </c>
      <c r="AV89" s="10" t="s">
        <v>111</v>
      </c>
      <c r="AW89" s="8"/>
    </row>
    <row r="90" spans="1:49" x14ac:dyDescent="0.15">
      <c r="A90" s="11" t="s">
        <v>72</v>
      </c>
      <c r="B90" s="12" t="s">
        <v>57</v>
      </c>
      <c r="C90" s="10" t="s">
        <v>62</v>
      </c>
      <c r="D90" s="10" t="s">
        <v>63</v>
      </c>
      <c r="E90" s="9">
        <v>18</v>
      </c>
      <c r="F90" s="9">
        <v>18</v>
      </c>
      <c r="G90" s="9">
        <v>0</v>
      </c>
      <c r="H90" s="10" t="s">
        <v>63</v>
      </c>
      <c r="I90" s="9">
        <v>1</v>
      </c>
      <c r="J90" s="9">
        <v>0.46068974900117599</v>
      </c>
      <c r="K90" s="10" t="s">
        <v>51</v>
      </c>
      <c r="L90" s="9">
        <v>0</v>
      </c>
      <c r="M90" s="9">
        <v>18</v>
      </c>
      <c r="N90" s="9">
        <v>18</v>
      </c>
      <c r="O90" s="9">
        <v>25</v>
      </c>
      <c r="P90" s="9">
        <v>37.736978208995403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9">
        <v>37.7256340839958</v>
      </c>
      <c r="AC90" s="9">
        <v>37.736978208995403</v>
      </c>
      <c r="AD90" s="9">
        <v>38.2141339590016</v>
      </c>
      <c r="AE90" s="9">
        <v>38.2141339590016</v>
      </c>
      <c r="AF90" s="9">
        <v>38.2141339590016</v>
      </c>
      <c r="AG90" s="9">
        <v>38.682820916990799</v>
      </c>
      <c r="AH90" s="10" t="s">
        <v>63</v>
      </c>
      <c r="AI90" s="9">
        <v>1</v>
      </c>
      <c r="AJ90" s="9">
        <v>0.46068974900117599</v>
      </c>
      <c r="AK90" s="10" t="s">
        <v>51</v>
      </c>
      <c r="AL90" s="8"/>
      <c r="AM90" s="8"/>
      <c r="AN90" s="8"/>
      <c r="AO90" s="9">
        <v>5</v>
      </c>
      <c r="AP90" s="9">
        <v>1</v>
      </c>
      <c r="AQ90" s="10" t="s">
        <v>110</v>
      </c>
      <c r="AR90" s="10" t="s">
        <v>53</v>
      </c>
      <c r="AS90" s="8"/>
      <c r="AT90" s="10" t="s">
        <v>54</v>
      </c>
      <c r="AU90" s="9">
        <v>121.002689767825</v>
      </c>
      <c r="AV90" s="10" t="s">
        <v>111</v>
      </c>
      <c r="AW90" s="8"/>
    </row>
    <row r="91" spans="1:49" x14ac:dyDescent="0.15">
      <c r="A91" s="11" t="s">
        <v>72</v>
      </c>
      <c r="B91" s="12" t="s">
        <v>57</v>
      </c>
      <c r="C91" s="10" t="s">
        <v>58</v>
      </c>
      <c r="D91" s="10" t="s">
        <v>59</v>
      </c>
      <c r="E91" s="9">
        <v>24</v>
      </c>
      <c r="F91" s="9">
        <v>24</v>
      </c>
      <c r="G91" s="9">
        <v>0</v>
      </c>
      <c r="H91" s="10" t="s">
        <v>59</v>
      </c>
      <c r="I91" s="9">
        <v>1</v>
      </c>
      <c r="J91" s="9">
        <v>0.33487241598777501</v>
      </c>
      <c r="K91" s="10" t="s">
        <v>51</v>
      </c>
      <c r="L91" s="9">
        <v>0</v>
      </c>
      <c r="M91" s="9">
        <v>24</v>
      </c>
      <c r="N91" s="9">
        <v>24</v>
      </c>
      <c r="O91" s="9">
        <v>24</v>
      </c>
      <c r="P91" s="9">
        <v>44.063046333991203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9">
        <v>44.053675167000598</v>
      </c>
      <c r="AC91" s="9">
        <v>44.063046333991203</v>
      </c>
      <c r="AD91" s="9">
        <v>44.5481278340012</v>
      </c>
      <c r="AE91" s="9">
        <v>44.5481278340012</v>
      </c>
      <c r="AF91" s="9">
        <v>44.5481278340012</v>
      </c>
      <c r="AG91" s="9">
        <v>44.889008500002099</v>
      </c>
      <c r="AH91" s="10" t="s">
        <v>59</v>
      </c>
      <c r="AI91" s="9">
        <v>1</v>
      </c>
      <c r="AJ91" s="9">
        <v>0.33487241598777501</v>
      </c>
      <c r="AK91" s="10" t="s">
        <v>51</v>
      </c>
      <c r="AL91" s="8"/>
      <c r="AM91" s="8"/>
      <c r="AN91" s="8"/>
      <c r="AO91" s="9">
        <v>5</v>
      </c>
      <c r="AP91" s="9">
        <v>1</v>
      </c>
      <c r="AQ91" s="10" t="s">
        <v>110</v>
      </c>
      <c r="AR91" s="10" t="s">
        <v>53</v>
      </c>
      <c r="AS91" s="8"/>
      <c r="AT91" s="10" t="s">
        <v>54</v>
      </c>
      <c r="AU91" s="9">
        <v>121.002689767825</v>
      </c>
      <c r="AV91" s="10" t="s">
        <v>111</v>
      </c>
      <c r="AW91" s="8"/>
    </row>
    <row r="92" spans="1:49" x14ac:dyDescent="0.15">
      <c r="A92" s="11" t="s">
        <v>84</v>
      </c>
      <c r="B92" s="12" t="s">
        <v>57</v>
      </c>
      <c r="C92" s="10" t="s">
        <v>62</v>
      </c>
      <c r="D92" s="10" t="s">
        <v>63</v>
      </c>
      <c r="E92" s="9">
        <v>30</v>
      </c>
      <c r="F92" s="9">
        <v>30</v>
      </c>
      <c r="G92" s="9">
        <v>0</v>
      </c>
      <c r="H92" s="10" t="s">
        <v>63</v>
      </c>
      <c r="I92" s="9">
        <v>1</v>
      </c>
      <c r="J92" s="9">
        <v>0.41129962400009401</v>
      </c>
      <c r="K92" s="10" t="s">
        <v>51</v>
      </c>
      <c r="L92" s="9">
        <v>0</v>
      </c>
      <c r="M92" s="9">
        <v>30</v>
      </c>
      <c r="N92" s="9">
        <v>30</v>
      </c>
      <c r="O92" s="9">
        <v>21</v>
      </c>
      <c r="P92" s="9">
        <v>49.786772084000397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9">
        <v>49.776617458992398</v>
      </c>
      <c r="AC92" s="9">
        <v>49.786772084000397</v>
      </c>
      <c r="AD92" s="9">
        <v>50.273703833998297</v>
      </c>
      <c r="AE92" s="9">
        <v>50.273703833998297</v>
      </c>
      <c r="AF92" s="9">
        <v>50.273703833998297</v>
      </c>
      <c r="AG92" s="9">
        <v>50.689182250003803</v>
      </c>
      <c r="AH92" s="10" t="s">
        <v>63</v>
      </c>
      <c r="AI92" s="9">
        <v>1</v>
      </c>
      <c r="AJ92" s="9">
        <v>0.41129962400009401</v>
      </c>
      <c r="AK92" s="10" t="s">
        <v>51</v>
      </c>
      <c r="AL92" s="8"/>
      <c r="AM92" s="8"/>
      <c r="AN92" s="8"/>
      <c r="AO92" s="9">
        <v>5</v>
      </c>
      <c r="AP92" s="9">
        <v>1</v>
      </c>
      <c r="AQ92" s="10" t="s">
        <v>110</v>
      </c>
      <c r="AR92" s="10" t="s">
        <v>53</v>
      </c>
      <c r="AS92" s="8"/>
      <c r="AT92" s="10" t="s">
        <v>54</v>
      </c>
      <c r="AU92" s="9">
        <v>121.002689767825</v>
      </c>
      <c r="AV92" s="10" t="s">
        <v>111</v>
      </c>
      <c r="AW92" s="8"/>
    </row>
    <row r="93" spans="1:49" x14ac:dyDescent="0.15">
      <c r="A93" s="11" t="s">
        <v>75</v>
      </c>
      <c r="B93" s="12" t="s">
        <v>57</v>
      </c>
      <c r="C93" s="10" t="s">
        <v>62</v>
      </c>
      <c r="D93" s="10" t="s">
        <v>63</v>
      </c>
      <c r="E93" s="9">
        <v>33</v>
      </c>
      <c r="F93" s="9">
        <v>33</v>
      </c>
      <c r="G93" s="9">
        <v>0</v>
      </c>
      <c r="H93" s="10" t="s">
        <v>63</v>
      </c>
      <c r="I93" s="9">
        <v>1</v>
      </c>
      <c r="J93" s="9">
        <v>0.337066582986154</v>
      </c>
      <c r="K93" s="10" t="s">
        <v>51</v>
      </c>
      <c r="L93" s="9">
        <v>0</v>
      </c>
      <c r="M93" s="9">
        <v>33</v>
      </c>
      <c r="N93" s="9">
        <v>33</v>
      </c>
      <c r="O93" s="9">
        <v>19</v>
      </c>
      <c r="P93" s="9">
        <v>52.4867962919961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9">
        <v>52.477227041992599</v>
      </c>
      <c r="AC93" s="9">
        <v>52.4867962919961</v>
      </c>
      <c r="AD93" s="9">
        <v>52.973111458995803</v>
      </c>
      <c r="AE93" s="9">
        <v>52.973111458995803</v>
      </c>
      <c r="AF93" s="9">
        <v>52.973111458995803</v>
      </c>
      <c r="AG93" s="9">
        <v>53.316641291996397</v>
      </c>
      <c r="AH93" s="10" t="s">
        <v>63</v>
      </c>
      <c r="AI93" s="9">
        <v>1</v>
      </c>
      <c r="AJ93" s="9">
        <v>0.337066582986154</v>
      </c>
      <c r="AK93" s="10" t="s">
        <v>51</v>
      </c>
      <c r="AL93" s="8"/>
      <c r="AM93" s="8"/>
      <c r="AN93" s="8"/>
      <c r="AO93" s="9">
        <v>5</v>
      </c>
      <c r="AP93" s="9">
        <v>1</v>
      </c>
      <c r="AQ93" s="10" t="s">
        <v>110</v>
      </c>
      <c r="AR93" s="10" t="s">
        <v>53</v>
      </c>
      <c r="AS93" s="8"/>
      <c r="AT93" s="10" t="s">
        <v>54</v>
      </c>
      <c r="AU93" s="9">
        <v>121.002689767825</v>
      </c>
      <c r="AV93" s="10" t="s">
        <v>111</v>
      </c>
      <c r="AW93" s="8"/>
    </row>
    <row r="94" spans="1:49" x14ac:dyDescent="0.15">
      <c r="A94" s="11" t="s">
        <v>65</v>
      </c>
      <c r="B94" s="12" t="s">
        <v>57</v>
      </c>
      <c r="C94" s="10" t="s">
        <v>58</v>
      </c>
      <c r="D94" s="10" t="s">
        <v>59</v>
      </c>
      <c r="E94" s="9">
        <v>35</v>
      </c>
      <c r="F94" s="9">
        <v>35</v>
      </c>
      <c r="G94" s="9">
        <v>2</v>
      </c>
      <c r="H94" s="10" t="s">
        <v>59</v>
      </c>
      <c r="I94" s="9">
        <v>1</v>
      </c>
      <c r="J94" s="9">
        <v>0.37903812399599701</v>
      </c>
      <c r="K94" s="10" t="s">
        <v>51</v>
      </c>
      <c r="L94" s="9">
        <v>2</v>
      </c>
      <c r="M94" s="9">
        <v>35</v>
      </c>
      <c r="N94" s="9">
        <v>35</v>
      </c>
      <c r="O94" s="9">
        <v>30</v>
      </c>
      <c r="P94" s="9">
        <v>54.214115499998996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9">
        <v>54.204918624993297</v>
      </c>
      <c r="AC94" s="9">
        <v>54.214115499998996</v>
      </c>
      <c r="AD94" s="9">
        <v>54.698100708992598</v>
      </c>
      <c r="AE94" s="9">
        <v>54.698100708992598</v>
      </c>
      <c r="AF94" s="9">
        <v>54.698100708992598</v>
      </c>
      <c r="AG94" s="9">
        <v>55.083570292001198</v>
      </c>
      <c r="AH94" s="10" t="s">
        <v>59</v>
      </c>
      <c r="AI94" s="9">
        <v>1</v>
      </c>
      <c r="AJ94" s="9">
        <v>0.37903812399599701</v>
      </c>
      <c r="AK94" s="10" t="s">
        <v>51</v>
      </c>
      <c r="AL94" s="8"/>
      <c r="AM94" s="8"/>
      <c r="AN94" s="8"/>
      <c r="AO94" s="9">
        <v>5</v>
      </c>
      <c r="AP94" s="9">
        <v>1</v>
      </c>
      <c r="AQ94" s="10" t="s">
        <v>110</v>
      </c>
      <c r="AR94" s="10" t="s">
        <v>53</v>
      </c>
      <c r="AS94" s="8"/>
      <c r="AT94" s="10" t="s">
        <v>54</v>
      </c>
      <c r="AU94" s="9">
        <v>121.002689767825</v>
      </c>
      <c r="AV94" s="10" t="s">
        <v>111</v>
      </c>
      <c r="AW94" s="8"/>
    </row>
    <row r="95" spans="1:49" x14ac:dyDescent="0.15">
      <c r="A95" s="11" t="s">
        <v>75</v>
      </c>
      <c r="B95" s="12" t="s">
        <v>57</v>
      </c>
      <c r="C95" s="10" t="s">
        <v>58</v>
      </c>
      <c r="D95" s="10" t="s">
        <v>59</v>
      </c>
      <c r="E95" s="9">
        <v>36</v>
      </c>
      <c r="F95" s="9">
        <v>36</v>
      </c>
      <c r="G95" s="9">
        <v>1</v>
      </c>
      <c r="H95" s="10" t="s">
        <v>59</v>
      </c>
      <c r="I95" s="9">
        <v>1</v>
      </c>
      <c r="J95" s="9">
        <v>0.33469241599959798</v>
      </c>
      <c r="K95" s="10" t="s">
        <v>51</v>
      </c>
      <c r="L95" s="9">
        <v>1</v>
      </c>
      <c r="M95" s="9">
        <v>36</v>
      </c>
      <c r="N95" s="9">
        <v>36</v>
      </c>
      <c r="O95" s="9">
        <v>18</v>
      </c>
      <c r="P95" s="9">
        <v>55.0966402920021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9">
        <v>55.087863084001597</v>
      </c>
      <c r="AC95" s="9">
        <v>55.0966402920021</v>
      </c>
      <c r="AD95" s="9">
        <v>55.581432167004102</v>
      </c>
      <c r="AE95" s="9">
        <v>55.581432167004102</v>
      </c>
      <c r="AF95" s="9">
        <v>55.581432167004102</v>
      </c>
      <c r="AG95" s="9">
        <v>55.923245041995003</v>
      </c>
      <c r="AH95" s="10" t="s">
        <v>59</v>
      </c>
      <c r="AI95" s="9">
        <v>1</v>
      </c>
      <c r="AJ95" s="9">
        <v>0.33469241599959798</v>
      </c>
      <c r="AK95" s="10" t="s">
        <v>51</v>
      </c>
      <c r="AL95" s="8"/>
      <c r="AM95" s="8"/>
      <c r="AN95" s="8"/>
      <c r="AO95" s="9">
        <v>5</v>
      </c>
      <c r="AP95" s="9">
        <v>1</v>
      </c>
      <c r="AQ95" s="10" t="s">
        <v>110</v>
      </c>
      <c r="AR95" s="10" t="s">
        <v>53</v>
      </c>
      <c r="AS95" s="8"/>
      <c r="AT95" s="10" t="s">
        <v>54</v>
      </c>
      <c r="AU95" s="9">
        <v>121.002689767825</v>
      </c>
      <c r="AV95" s="10" t="s">
        <v>111</v>
      </c>
      <c r="AW95" s="8"/>
    </row>
    <row r="96" spans="1:49" x14ac:dyDescent="0.15">
      <c r="A96" s="11" t="s">
        <v>56</v>
      </c>
      <c r="B96" s="12" t="s">
        <v>57</v>
      </c>
      <c r="C96" s="10" t="s">
        <v>62</v>
      </c>
      <c r="D96" s="10" t="s">
        <v>63</v>
      </c>
      <c r="E96" s="9">
        <v>42</v>
      </c>
      <c r="F96" s="9">
        <v>42</v>
      </c>
      <c r="G96" s="9">
        <v>0</v>
      </c>
      <c r="H96" s="10" t="s">
        <v>63</v>
      </c>
      <c r="I96" s="9">
        <v>1</v>
      </c>
      <c r="J96" s="9">
        <v>0.88701899899751901</v>
      </c>
      <c r="K96" s="10" t="s">
        <v>51</v>
      </c>
      <c r="L96" s="9">
        <v>0</v>
      </c>
      <c r="M96" s="9">
        <v>42</v>
      </c>
      <c r="N96" s="9">
        <v>42</v>
      </c>
      <c r="O96" s="9">
        <v>17</v>
      </c>
      <c r="P96" s="9">
        <v>60.431561834004199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9">
        <v>60.422355834001799</v>
      </c>
      <c r="AC96" s="9">
        <v>60.431561834004199</v>
      </c>
      <c r="AD96" s="9">
        <v>60.915210334001998</v>
      </c>
      <c r="AE96" s="9">
        <v>60.915210334001998</v>
      </c>
      <c r="AF96" s="9">
        <v>60.915210334001998</v>
      </c>
      <c r="AG96" s="9">
        <v>61.806406916992302</v>
      </c>
      <c r="AH96" s="10" t="s">
        <v>63</v>
      </c>
      <c r="AI96" s="9">
        <v>1</v>
      </c>
      <c r="AJ96" s="9">
        <v>0.88701899899751901</v>
      </c>
      <c r="AK96" s="10" t="s">
        <v>51</v>
      </c>
      <c r="AL96" s="8"/>
      <c r="AM96" s="8"/>
      <c r="AN96" s="8"/>
      <c r="AO96" s="9">
        <v>5</v>
      </c>
      <c r="AP96" s="9">
        <v>1</v>
      </c>
      <c r="AQ96" s="10" t="s">
        <v>110</v>
      </c>
      <c r="AR96" s="10" t="s">
        <v>53</v>
      </c>
      <c r="AS96" s="8"/>
      <c r="AT96" s="10" t="s">
        <v>54</v>
      </c>
      <c r="AU96" s="9">
        <v>121.002689767825</v>
      </c>
      <c r="AV96" s="10" t="s">
        <v>111</v>
      </c>
      <c r="AW96" s="8"/>
    </row>
    <row r="97" spans="1:49" x14ac:dyDescent="0.15">
      <c r="A97" s="11" t="s">
        <v>84</v>
      </c>
      <c r="B97" s="12" t="s">
        <v>57</v>
      </c>
      <c r="C97" s="10" t="s">
        <v>62</v>
      </c>
      <c r="D97" s="10" t="s">
        <v>63</v>
      </c>
      <c r="E97" s="9">
        <v>45</v>
      </c>
      <c r="F97" s="9">
        <v>45</v>
      </c>
      <c r="G97" s="9">
        <v>1</v>
      </c>
      <c r="H97" s="10" t="s">
        <v>63</v>
      </c>
      <c r="I97" s="9">
        <v>1</v>
      </c>
      <c r="J97" s="9">
        <v>0.58178624900756404</v>
      </c>
      <c r="K97" s="10" t="s">
        <v>51</v>
      </c>
      <c r="L97" s="9">
        <v>1</v>
      </c>
      <c r="M97" s="9">
        <v>45</v>
      </c>
      <c r="N97" s="9">
        <v>45</v>
      </c>
      <c r="O97" s="9">
        <v>21</v>
      </c>
      <c r="P97" s="9">
        <v>63.563503249999499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9">
        <v>63.5544520419935</v>
      </c>
      <c r="AC97" s="9">
        <v>63.563503249999499</v>
      </c>
      <c r="AD97" s="9">
        <v>64.048779124990702</v>
      </c>
      <c r="AE97" s="9">
        <v>64.048779124990702</v>
      </c>
      <c r="AF97" s="9">
        <v>64.048779124990702</v>
      </c>
      <c r="AG97" s="9">
        <v>64.634065749996793</v>
      </c>
      <c r="AH97" s="10" t="s">
        <v>63</v>
      </c>
      <c r="AI97" s="9">
        <v>1</v>
      </c>
      <c r="AJ97" s="9">
        <v>0.58178624900756404</v>
      </c>
      <c r="AK97" s="10" t="s">
        <v>51</v>
      </c>
      <c r="AL97" s="8"/>
      <c r="AM97" s="8"/>
      <c r="AN97" s="8"/>
      <c r="AO97" s="9">
        <v>5</v>
      </c>
      <c r="AP97" s="9">
        <v>1</v>
      </c>
      <c r="AQ97" s="10" t="s">
        <v>110</v>
      </c>
      <c r="AR97" s="10" t="s">
        <v>53</v>
      </c>
      <c r="AS97" s="8"/>
      <c r="AT97" s="10" t="s">
        <v>54</v>
      </c>
      <c r="AU97" s="9">
        <v>121.002689767825</v>
      </c>
      <c r="AV97" s="10" t="s">
        <v>111</v>
      </c>
      <c r="AW97" s="8"/>
    </row>
    <row r="98" spans="1:49" x14ac:dyDescent="0.15">
      <c r="A98" s="11" t="s">
        <v>68</v>
      </c>
      <c r="B98" s="12" t="s">
        <v>57</v>
      </c>
      <c r="C98" s="10" t="s">
        <v>62</v>
      </c>
      <c r="D98" s="10" t="s">
        <v>63</v>
      </c>
      <c r="E98" s="9">
        <v>50</v>
      </c>
      <c r="F98" s="9">
        <v>50</v>
      </c>
      <c r="G98" s="9">
        <v>0</v>
      </c>
      <c r="H98" s="10" t="s">
        <v>63</v>
      </c>
      <c r="I98" s="9">
        <v>1</v>
      </c>
      <c r="J98" s="9">
        <v>0.38748520800436398</v>
      </c>
      <c r="K98" s="10" t="s">
        <v>51</v>
      </c>
      <c r="L98" s="9">
        <v>0</v>
      </c>
      <c r="M98" s="9">
        <v>50</v>
      </c>
      <c r="N98" s="9">
        <v>50</v>
      </c>
      <c r="O98" s="9">
        <v>23</v>
      </c>
      <c r="P98" s="9">
        <v>68.299187041993704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9">
        <v>68.2898169999971</v>
      </c>
      <c r="AC98" s="9">
        <v>68.299187041993704</v>
      </c>
      <c r="AD98" s="9">
        <v>68.781874958993299</v>
      </c>
      <c r="AE98" s="9">
        <v>68.781874958993299</v>
      </c>
      <c r="AF98" s="9">
        <v>68.781874958993299</v>
      </c>
      <c r="AG98" s="9">
        <v>69.173256583992</v>
      </c>
      <c r="AH98" s="10" t="s">
        <v>63</v>
      </c>
      <c r="AI98" s="9">
        <v>1</v>
      </c>
      <c r="AJ98" s="9">
        <v>0.38748520800436398</v>
      </c>
      <c r="AK98" s="10" t="s">
        <v>51</v>
      </c>
      <c r="AL98" s="8"/>
      <c r="AM98" s="8"/>
      <c r="AN98" s="8"/>
      <c r="AO98" s="9">
        <v>5</v>
      </c>
      <c r="AP98" s="9">
        <v>1</v>
      </c>
      <c r="AQ98" s="10" t="s">
        <v>110</v>
      </c>
      <c r="AR98" s="10" t="s">
        <v>53</v>
      </c>
      <c r="AS98" s="8"/>
      <c r="AT98" s="10" t="s">
        <v>54</v>
      </c>
      <c r="AU98" s="9">
        <v>121.002689767825</v>
      </c>
      <c r="AV98" s="10" t="s">
        <v>111</v>
      </c>
      <c r="AW98" s="8"/>
    </row>
    <row r="99" spans="1:49" x14ac:dyDescent="0.15">
      <c r="A99" s="11" t="s">
        <v>56</v>
      </c>
      <c r="B99" s="12" t="s">
        <v>57</v>
      </c>
      <c r="C99" s="10" t="s">
        <v>62</v>
      </c>
      <c r="D99" s="10" t="s">
        <v>63</v>
      </c>
      <c r="E99" s="9">
        <v>52</v>
      </c>
      <c r="F99" s="9">
        <v>52</v>
      </c>
      <c r="G99" s="9">
        <v>1</v>
      </c>
      <c r="H99" s="10" t="s">
        <v>63</v>
      </c>
      <c r="I99" s="9">
        <v>1</v>
      </c>
      <c r="J99" s="9">
        <v>0.33126399999309802</v>
      </c>
      <c r="K99" s="10" t="s">
        <v>51</v>
      </c>
      <c r="L99" s="9">
        <v>1</v>
      </c>
      <c r="M99" s="9">
        <v>52</v>
      </c>
      <c r="N99" s="9">
        <v>52</v>
      </c>
      <c r="O99" s="9">
        <v>17</v>
      </c>
      <c r="P99" s="9">
        <v>70.072239083994702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9">
        <v>70.062206667003906</v>
      </c>
      <c r="AC99" s="9">
        <v>70.072239083994702</v>
      </c>
      <c r="AD99" s="9">
        <v>70.558175958998604</v>
      </c>
      <c r="AE99" s="9">
        <v>70.558175958998604</v>
      </c>
      <c r="AF99" s="9">
        <v>70.558175958998604</v>
      </c>
      <c r="AG99" s="9">
        <v>70.9007342499972</v>
      </c>
      <c r="AH99" s="10" t="s">
        <v>63</v>
      </c>
      <c r="AI99" s="9">
        <v>1</v>
      </c>
      <c r="AJ99" s="9">
        <v>0.33126399999309802</v>
      </c>
      <c r="AK99" s="10" t="s">
        <v>51</v>
      </c>
      <c r="AL99" s="8"/>
      <c r="AM99" s="8"/>
      <c r="AN99" s="8"/>
      <c r="AO99" s="9">
        <v>5</v>
      </c>
      <c r="AP99" s="9">
        <v>1</v>
      </c>
      <c r="AQ99" s="10" t="s">
        <v>110</v>
      </c>
      <c r="AR99" s="10" t="s">
        <v>53</v>
      </c>
      <c r="AS99" s="8"/>
      <c r="AT99" s="10" t="s">
        <v>54</v>
      </c>
      <c r="AU99" s="9">
        <v>121.002689767825</v>
      </c>
      <c r="AV99" s="10" t="s">
        <v>111</v>
      </c>
      <c r="AW99" s="8"/>
    </row>
    <row r="100" spans="1:49" x14ac:dyDescent="0.15">
      <c r="A100" s="11" t="s">
        <v>65</v>
      </c>
      <c r="B100" s="12" t="s">
        <v>57</v>
      </c>
      <c r="C100" s="10" t="s">
        <v>62</v>
      </c>
      <c r="D100" s="10" t="s">
        <v>63</v>
      </c>
      <c r="E100" s="9">
        <v>54</v>
      </c>
      <c r="F100" s="9">
        <v>54</v>
      </c>
      <c r="G100" s="9">
        <v>1</v>
      </c>
      <c r="H100" s="10" t="s">
        <v>63</v>
      </c>
      <c r="I100" s="9">
        <v>1</v>
      </c>
      <c r="J100" s="9">
        <v>0.54569837500457696</v>
      </c>
      <c r="K100" s="10" t="s">
        <v>51</v>
      </c>
      <c r="L100" s="9">
        <v>1</v>
      </c>
      <c r="M100" s="9">
        <v>54</v>
      </c>
      <c r="N100" s="9">
        <v>54</v>
      </c>
      <c r="O100" s="9">
        <v>31</v>
      </c>
      <c r="P100" s="9">
        <v>72.004792416992103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9">
        <v>71.994788500000098</v>
      </c>
      <c r="AC100" s="9">
        <v>72.004792416992103</v>
      </c>
      <c r="AD100" s="9">
        <v>72.491811999992905</v>
      </c>
      <c r="AE100" s="9">
        <v>72.491811999992905</v>
      </c>
      <c r="AF100" s="9">
        <v>72.491811999992905</v>
      </c>
      <c r="AG100" s="9">
        <v>73.040099584002803</v>
      </c>
      <c r="AH100" s="10" t="s">
        <v>63</v>
      </c>
      <c r="AI100" s="9">
        <v>1</v>
      </c>
      <c r="AJ100" s="9">
        <v>0.54569837500457696</v>
      </c>
      <c r="AK100" s="10" t="s">
        <v>51</v>
      </c>
      <c r="AL100" s="8"/>
      <c r="AM100" s="8"/>
      <c r="AN100" s="8"/>
      <c r="AO100" s="9">
        <v>5</v>
      </c>
      <c r="AP100" s="9">
        <v>1</v>
      </c>
      <c r="AQ100" s="10" t="s">
        <v>110</v>
      </c>
      <c r="AR100" s="10" t="s">
        <v>53</v>
      </c>
      <c r="AS100" s="8"/>
      <c r="AT100" s="10" t="s">
        <v>54</v>
      </c>
      <c r="AU100" s="9">
        <v>121.002689767825</v>
      </c>
      <c r="AV100" s="10" t="s">
        <v>111</v>
      </c>
      <c r="AW100" s="8"/>
    </row>
    <row r="101" spans="1:49" x14ac:dyDescent="0.15">
      <c r="A101" s="11" t="s">
        <v>71</v>
      </c>
      <c r="B101" s="12" t="s">
        <v>57</v>
      </c>
      <c r="C101" s="10" t="s">
        <v>58</v>
      </c>
      <c r="D101" s="10" t="s">
        <v>59</v>
      </c>
      <c r="E101" s="9">
        <v>55</v>
      </c>
      <c r="F101" s="9">
        <v>55</v>
      </c>
      <c r="G101" s="9">
        <v>0</v>
      </c>
      <c r="H101" s="10" t="s">
        <v>59</v>
      </c>
      <c r="I101" s="9">
        <v>1</v>
      </c>
      <c r="J101" s="9">
        <v>0.46845358300197398</v>
      </c>
      <c r="K101" s="10" t="s">
        <v>51</v>
      </c>
      <c r="L101" s="9">
        <v>0</v>
      </c>
      <c r="M101" s="9">
        <v>55</v>
      </c>
      <c r="N101" s="9">
        <v>55</v>
      </c>
      <c r="O101" s="9">
        <v>28</v>
      </c>
      <c r="P101" s="9">
        <v>73.053906499990305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9">
        <v>73.044214374996997</v>
      </c>
      <c r="AC101" s="9">
        <v>73.053906499990305</v>
      </c>
      <c r="AD101" s="9">
        <v>73.540171166998306</v>
      </c>
      <c r="AE101" s="9">
        <v>73.540171166998306</v>
      </c>
      <c r="AF101" s="9">
        <v>73.540171166998306</v>
      </c>
      <c r="AG101" s="9">
        <v>74.017571042000796</v>
      </c>
      <c r="AH101" s="10" t="s">
        <v>59</v>
      </c>
      <c r="AI101" s="9">
        <v>1</v>
      </c>
      <c r="AJ101" s="9">
        <v>0.46845358300197398</v>
      </c>
      <c r="AK101" s="10" t="s">
        <v>51</v>
      </c>
      <c r="AL101" s="8"/>
      <c r="AM101" s="8"/>
      <c r="AN101" s="8"/>
      <c r="AO101" s="9">
        <v>5</v>
      </c>
      <c r="AP101" s="9">
        <v>1</v>
      </c>
      <c r="AQ101" s="10" t="s">
        <v>110</v>
      </c>
      <c r="AR101" s="10" t="s">
        <v>53</v>
      </c>
      <c r="AS101" s="8"/>
      <c r="AT101" s="10" t="s">
        <v>54</v>
      </c>
      <c r="AU101" s="9">
        <v>121.002689767825</v>
      </c>
      <c r="AV101" s="10" t="s">
        <v>111</v>
      </c>
      <c r="AW101" s="8"/>
    </row>
    <row r="102" spans="1:49" x14ac:dyDescent="0.15">
      <c r="A102" s="11" t="s">
        <v>56</v>
      </c>
      <c r="B102" s="12" t="s">
        <v>57</v>
      </c>
      <c r="C102" s="10" t="s">
        <v>62</v>
      </c>
      <c r="D102" s="10" t="s">
        <v>63</v>
      </c>
      <c r="E102" s="9">
        <v>58</v>
      </c>
      <c r="F102" s="9">
        <v>58</v>
      </c>
      <c r="G102" s="9">
        <v>2</v>
      </c>
      <c r="H102" s="10" t="s">
        <v>63</v>
      </c>
      <c r="I102" s="9">
        <v>1</v>
      </c>
      <c r="J102" s="9">
        <v>0.389676165999845</v>
      </c>
      <c r="K102" s="10" t="s">
        <v>51</v>
      </c>
      <c r="L102" s="9">
        <v>2</v>
      </c>
      <c r="M102" s="9">
        <v>58</v>
      </c>
      <c r="N102" s="9">
        <v>58</v>
      </c>
      <c r="O102" s="9">
        <v>17</v>
      </c>
      <c r="P102" s="9">
        <v>75.814718749999898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9">
        <v>75.805688583990602</v>
      </c>
      <c r="AC102" s="9">
        <v>75.814718749999898</v>
      </c>
      <c r="AD102" s="9">
        <v>76.298873499996304</v>
      </c>
      <c r="AE102" s="9">
        <v>76.298873499996304</v>
      </c>
      <c r="AF102" s="9">
        <v>76.298873499996304</v>
      </c>
      <c r="AG102" s="9">
        <v>76.690028458993794</v>
      </c>
      <c r="AH102" s="10" t="s">
        <v>63</v>
      </c>
      <c r="AI102" s="9">
        <v>1</v>
      </c>
      <c r="AJ102" s="9">
        <v>0.389676165999845</v>
      </c>
      <c r="AK102" s="10" t="s">
        <v>51</v>
      </c>
      <c r="AL102" s="8"/>
      <c r="AM102" s="8"/>
      <c r="AN102" s="8"/>
      <c r="AO102" s="9">
        <v>5</v>
      </c>
      <c r="AP102" s="9">
        <v>1</v>
      </c>
      <c r="AQ102" s="10" t="s">
        <v>110</v>
      </c>
      <c r="AR102" s="10" t="s">
        <v>53</v>
      </c>
      <c r="AS102" s="8"/>
      <c r="AT102" s="10" t="s">
        <v>54</v>
      </c>
      <c r="AU102" s="9">
        <v>121.002689767825</v>
      </c>
      <c r="AV102" s="10" t="s">
        <v>111</v>
      </c>
      <c r="AW102" s="8"/>
    </row>
    <row r="103" spans="1:49" x14ac:dyDescent="0.15">
      <c r="A103" s="11" t="s">
        <v>71</v>
      </c>
      <c r="B103" s="12" t="s">
        <v>57</v>
      </c>
      <c r="C103" s="10" t="s">
        <v>62</v>
      </c>
      <c r="D103" s="10" t="s">
        <v>63</v>
      </c>
      <c r="E103" s="9">
        <v>59</v>
      </c>
      <c r="F103" s="9">
        <v>59</v>
      </c>
      <c r="G103" s="9">
        <v>1</v>
      </c>
      <c r="H103" s="10" t="s">
        <v>63</v>
      </c>
      <c r="I103" s="9">
        <v>1</v>
      </c>
      <c r="J103" s="9">
        <v>0.33073216601042099</v>
      </c>
      <c r="K103" s="10" t="s">
        <v>51</v>
      </c>
      <c r="L103" s="9">
        <v>1</v>
      </c>
      <c r="M103" s="9">
        <v>59</v>
      </c>
      <c r="N103" s="9">
        <v>59</v>
      </c>
      <c r="O103" s="9">
        <v>29</v>
      </c>
      <c r="P103" s="9">
        <v>76.704563459003097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9">
        <v>76.693754124993603</v>
      </c>
      <c r="AC103" s="9">
        <v>76.704563459003097</v>
      </c>
      <c r="AD103" s="9">
        <v>77.190888249999304</v>
      </c>
      <c r="AE103" s="9">
        <v>77.190888249999304</v>
      </c>
      <c r="AF103" s="9">
        <v>77.190888249999304</v>
      </c>
      <c r="AG103" s="9">
        <v>77.524087208992597</v>
      </c>
      <c r="AH103" s="10" t="s">
        <v>63</v>
      </c>
      <c r="AI103" s="9">
        <v>1</v>
      </c>
      <c r="AJ103" s="9">
        <v>0.33073216601042099</v>
      </c>
      <c r="AK103" s="10" t="s">
        <v>51</v>
      </c>
      <c r="AL103" s="8"/>
      <c r="AM103" s="8"/>
      <c r="AN103" s="8"/>
      <c r="AO103" s="9">
        <v>5</v>
      </c>
      <c r="AP103" s="9">
        <v>1</v>
      </c>
      <c r="AQ103" s="10" t="s">
        <v>110</v>
      </c>
      <c r="AR103" s="10" t="s">
        <v>53</v>
      </c>
      <c r="AS103" s="8"/>
      <c r="AT103" s="10" t="s">
        <v>54</v>
      </c>
      <c r="AU103" s="9">
        <v>121.002689767825</v>
      </c>
      <c r="AV103" s="10" t="s">
        <v>111</v>
      </c>
      <c r="AW103" s="8"/>
    </row>
    <row r="104" spans="1:49" x14ac:dyDescent="0.15">
      <c r="A104" s="11" t="s">
        <v>56</v>
      </c>
      <c r="B104" s="12" t="s">
        <v>57</v>
      </c>
      <c r="C104" s="10" t="s">
        <v>58</v>
      </c>
      <c r="D104" s="10" t="s">
        <v>59</v>
      </c>
      <c r="E104" s="9">
        <v>62</v>
      </c>
      <c r="F104" s="9">
        <v>62</v>
      </c>
      <c r="G104" s="9">
        <v>0</v>
      </c>
      <c r="H104" s="10" t="s">
        <v>59</v>
      </c>
      <c r="I104" s="9">
        <v>1</v>
      </c>
      <c r="J104" s="9">
        <v>0.32022533299459599</v>
      </c>
      <c r="K104" s="10" t="s">
        <v>51</v>
      </c>
      <c r="L104" s="9">
        <v>0</v>
      </c>
      <c r="M104" s="9">
        <v>62</v>
      </c>
      <c r="N104" s="9">
        <v>62</v>
      </c>
      <c r="O104" s="9">
        <v>16</v>
      </c>
      <c r="P104" s="9">
        <v>79.515982291995897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9">
        <v>79.506632292002905</v>
      </c>
      <c r="AC104" s="9">
        <v>79.515982291995897</v>
      </c>
      <c r="AD104" s="9">
        <v>79.999293250002694</v>
      </c>
      <c r="AE104" s="9">
        <v>79.999293250002694</v>
      </c>
      <c r="AF104" s="9">
        <v>79.999293250002694</v>
      </c>
      <c r="AG104" s="9">
        <v>80.3238304589904</v>
      </c>
      <c r="AH104" s="10" t="s">
        <v>59</v>
      </c>
      <c r="AI104" s="9">
        <v>1</v>
      </c>
      <c r="AJ104" s="9">
        <v>0.32022533299459599</v>
      </c>
      <c r="AK104" s="10" t="s">
        <v>51</v>
      </c>
      <c r="AL104" s="8"/>
      <c r="AM104" s="8"/>
      <c r="AN104" s="8"/>
      <c r="AO104" s="9">
        <v>5</v>
      </c>
      <c r="AP104" s="9">
        <v>1</v>
      </c>
      <c r="AQ104" s="10" t="s">
        <v>110</v>
      </c>
      <c r="AR104" s="10" t="s">
        <v>53</v>
      </c>
      <c r="AS104" s="8"/>
      <c r="AT104" s="10" t="s">
        <v>54</v>
      </c>
      <c r="AU104" s="9">
        <v>121.002689767825</v>
      </c>
      <c r="AV104" s="10" t="s">
        <v>111</v>
      </c>
      <c r="AW104" s="8"/>
    </row>
    <row r="105" spans="1:49" x14ac:dyDescent="0.15">
      <c r="A105" s="11" t="s">
        <v>68</v>
      </c>
      <c r="B105" s="12" t="s">
        <v>57</v>
      </c>
      <c r="C105" s="10" t="s">
        <v>62</v>
      </c>
      <c r="D105" s="10" t="s">
        <v>63</v>
      </c>
      <c r="E105" s="9">
        <v>63</v>
      </c>
      <c r="F105" s="9">
        <v>63</v>
      </c>
      <c r="G105" s="9">
        <v>1</v>
      </c>
      <c r="H105" s="10" t="s">
        <v>63</v>
      </c>
      <c r="I105" s="9">
        <v>1</v>
      </c>
      <c r="J105" s="9">
        <v>0.42934954099473499</v>
      </c>
      <c r="K105" s="10" t="s">
        <v>51</v>
      </c>
      <c r="L105" s="9">
        <v>1</v>
      </c>
      <c r="M105" s="9">
        <v>63</v>
      </c>
      <c r="N105" s="9">
        <v>63</v>
      </c>
      <c r="O105" s="9">
        <v>23</v>
      </c>
      <c r="P105" s="9">
        <v>80.3388247090043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9">
        <v>80.329106584002204</v>
      </c>
      <c r="AC105" s="9">
        <v>80.3388247090043</v>
      </c>
      <c r="AD105" s="9">
        <v>80.825249624991599</v>
      </c>
      <c r="AE105" s="9">
        <v>80.825249624991599</v>
      </c>
      <c r="AF105" s="9">
        <v>80.825249624991599</v>
      </c>
      <c r="AG105" s="9">
        <v>81.257297249991097</v>
      </c>
      <c r="AH105" s="10" t="s">
        <v>63</v>
      </c>
      <c r="AI105" s="9">
        <v>1</v>
      </c>
      <c r="AJ105" s="9">
        <v>0.42934954099473499</v>
      </c>
      <c r="AK105" s="10" t="s">
        <v>51</v>
      </c>
      <c r="AL105" s="8"/>
      <c r="AM105" s="8"/>
      <c r="AN105" s="8"/>
      <c r="AO105" s="9">
        <v>5</v>
      </c>
      <c r="AP105" s="9">
        <v>1</v>
      </c>
      <c r="AQ105" s="10" t="s">
        <v>110</v>
      </c>
      <c r="AR105" s="10" t="s">
        <v>53</v>
      </c>
      <c r="AS105" s="8"/>
      <c r="AT105" s="10" t="s">
        <v>54</v>
      </c>
      <c r="AU105" s="9">
        <v>121.002689767825</v>
      </c>
      <c r="AV105" s="10" t="s">
        <v>111</v>
      </c>
      <c r="AW105" s="8"/>
    </row>
    <row r="106" spans="1:49" x14ac:dyDescent="0.15">
      <c r="A106" s="11" t="s">
        <v>71</v>
      </c>
      <c r="B106" s="12" t="s">
        <v>57</v>
      </c>
      <c r="C106" s="10" t="s">
        <v>58</v>
      </c>
      <c r="D106" s="10" t="s">
        <v>59</v>
      </c>
      <c r="E106" s="9">
        <v>64</v>
      </c>
      <c r="F106" s="9">
        <v>64</v>
      </c>
      <c r="G106" s="9">
        <v>1</v>
      </c>
      <c r="H106" s="10" t="s">
        <v>63</v>
      </c>
      <c r="I106" s="9">
        <v>0</v>
      </c>
      <c r="J106" s="9">
        <v>0.40154824900673702</v>
      </c>
      <c r="K106" s="10" t="s">
        <v>51</v>
      </c>
      <c r="L106" s="9">
        <v>1</v>
      </c>
      <c r="M106" s="9">
        <v>64</v>
      </c>
      <c r="N106" s="9">
        <v>64</v>
      </c>
      <c r="O106" s="9">
        <v>28</v>
      </c>
      <c r="P106" s="9">
        <v>81.271061874998907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9">
        <v>81.262021000002306</v>
      </c>
      <c r="AC106" s="9">
        <v>81.271061874998907</v>
      </c>
      <c r="AD106" s="9">
        <v>81.758221124997405</v>
      </c>
      <c r="AE106" s="9">
        <v>81.758221124997405</v>
      </c>
      <c r="AF106" s="9">
        <v>81.758221124997405</v>
      </c>
      <c r="AG106" s="9">
        <v>82.167848124998301</v>
      </c>
      <c r="AH106" s="10" t="s">
        <v>63</v>
      </c>
      <c r="AI106" s="9">
        <v>0</v>
      </c>
      <c r="AJ106" s="9">
        <v>0.40154824900673702</v>
      </c>
      <c r="AK106" s="10" t="s">
        <v>51</v>
      </c>
      <c r="AL106" s="8"/>
      <c r="AM106" s="8"/>
      <c r="AN106" s="8"/>
      <c r="AO106" s="9">
        <v>5</v>
      </c>
      <c r="AP106" s="9">
        <v>1</v>
      </c>
      <c r="AQ106" s="10" t="s">
        <v>110</v>
      </c>
      <c r="AR106" s="10" t="s">
        <v>53</v>
      </c>
      <c r="AS106" s="8"/>
      <c r="AT106" s="10" t="s">
        <v>54</v>
      </c>
      <c r="AU106" s="9">
        <v>121.002689767825</v>
      </c>
      <c r="AV106" s="10" t="s">
        <v>111</v>
      </c>
      <c r="AW106" s="8"/>
    </row>
    <row r="107" spans="1:49" x14ac:dyDescent="0.15">
      <c r="A107" s="11" t="s">
        <v>75</v>
      </c>
      <c r="B107" s="12" t="s">
        <v>57</v>
      </c>
      <c r="C107" s="10" t="s">
        <v>58</v>
      </c>
      <c r="D107" s="10" t="s">
        <v>59</v>
      </c>
      <c r="E107" s="9">
        <v>65</v>
      </c>
      <c r="F107" s="9">
        <v>65</v>
      </c>
      <c r="G107" s="9">
        <v>2</v>
      </c>
      <c r="H107" s="10" t="s">
        <v>59</v>
      </c>
      <c r="I107" s="9">
        <v>1</v>
      </c>
      <c r="J107" s="9">
        <v>0.62193674899754103</v>
      </c>
      <c r="K107" s="10" t="s">
        <v>51</v>
      </c>
      <c r="L107" s="9">
        <v>2</v>
      </c>
      <c r="M107" s="9">
        <v>65</v>
      </c>
      <c r="N107" s="9">
        <v>65</v>
      </c>
      <c r="O107" s="9">
        <v>18</v>
      </c>
      <c r="P107" s="9">
        <v>82.181892041990096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9">
        <v>82.172623666992905</v>
      </c>
      <c r="AC107" s="9">
        <v>82.181892041990096</v>
      </c>
      <c r="AD107" s="9">
        <v>82.6657057089906</v>
      </c>
      <c r="AE107" s="9">
        <v>82.6657057089906</v>
      </c>
      <c r="AF107" s="9">
        <v>82.6657057089906</v>
      </c>
      <c r="AG107" s="9">
        <v>83.290340374995097</v>
      </c>
      <c r="AH107" s="10" t="s">
        <v>59</v>
      </c>
      <c r="AI107" s="9">
        <v>1</v>
      </c>
      <c r="AJ107" s="9">
        <v>0.62193674899754103</v>
      </c>
      <c r="AK107" s="10" t="s">
        <v>51</v>
      </c>
      <c r="AL107" s="8"/>
      <c r="AM107" s="8"/>
      <c r="AN107" s="8"/>
      <c r="AO107" s="9">
        <v>5</v>
      </c>
      <c r="AP107" s="9">
        <v>1</v>
      </c>
      <c r="AQ107" s="10" t="s">
        <v>110</v>
      </c>
      <c r="AR107" s="10" t="s">
        <v>53</v>
      </c>
      <c r="AS107" s="8"/>
      <c r="AT107" s="10" t="s">
        <v>54</v>
      </c>
      <c r="AU107" s="9">
        <v>121.002689767825</v>
      </c>
      <c r="AV107" s="10" t="s">
        <v>111</v>
      </c>
      <c r="AW107" s="8"/>
    </row>
    <row r="108" spans="1:49" x14ac:dyDescent="0.15">
      <c r="A108" s="11" t="s">
        <v>78</v>
      </c>
      <c r="B108" s="12" t="s">
        <v>57</v>
      </c>
      <c r="C108" s="10" t="s">
        <v>58</v>
      </c>
      <c r="D108" s="10" t="s">
        <v>59</v>
      </c>
      <c r="E108" s="9">
        <v>67</v>
      </c>
      <c r="F108" s="9">
        <v>67</v>
      </c>
      <c r="G108" s="9">
        <v>1</v>
      </c>
      <c r="H108" s="10" t="s">
        <v>59</v>
      </c>
      <c r="I108" s="9">
        <v>1</v>
      </c>
      <c r="J108" s="9">
        <v>0.34103658299136402</v>
      </c>
      <c r="K108" s="10" t="s">
        <v>51</v>
      </c>
      <c r="L108" s="9">
        <v>1</v>
      </c>
      <c r="M108" s="9">
        <v>67</v>
      </c>
      <c r="N108" s="9">
        <v>67</v>
      </c>
      <c r="O108" s="9">
        <v>26</v>
      </c>
      <c r="P108" s="9">
        <v>84.147228624991797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9">
        <v>84.138303291998497</v>
      </c>
      <c r="AC108" s="9">
        <v>84.147228624991797</v>
      </c>
      <c r="AD108" s="9">
        <v>84.632587500003893</v>
      </c>
      <c r="AE108" s="9">
        <v>84.632587500003893</v>
      </c>
      <c r="AF108" s="9">
        <v>84.632587500003893</v>
      </c>
      <c r="AG108" s="9">
        <v>84.984677833999697</v>
      </c>
      <c r="AH108" s="10" t="s">
        <v>59</v>
      </c>
      <c r="AI108" s="9">
        <v>1</v>
      </c>
      <c r="AJ108" s="9">
        <v>0.34103658299136402</v>
      </c>
      <c r="AK108" s="10" t="s">
        <v>51</v>
      </c>
      <c r="AL108" s="8"/>
      <c r="AM108" s="8"/>
      <c r="AN108" s="8"/>
      <c r="AO108" s="9">
        <v>5</v>
      </c>
      <c r="AP108" s="9">
        <v>1</v>
      </c>
      <c r="AQ108" s="10" t="s">
        <v>110</v>
      </c>
      <c r="AR108" s="10" t="s">
        <v>53</v>
      </c>
      <c r="AS108" s="8"/>
      <c r="AT108" s="10" t="s">
        <v>54</v>
      </c>
      <c r="AU108" s="9">
        <v>121.002689767825</v>
      </c>
      <c r="AV108" s="10" t="s">
        <v>111</v>
      </c>
      <c r="AW108" s="8"/>
    </row>
    <row r="109" spans="1:49" x14ac:dyDescent="0.15">
      <c r="A109" s="11" t="s">
        <v>71</v>
      </c>
      <c r="B109" s="12" t="s">
        <v>57</v>
      </c>
      <c r="C109" s="10" t="s">
        <v>62</v>
      </c>
      <c r="D109" s="10" t="s">
        <v>63</v>
      </c>
      <c r="E109" s="9">
        <v>68</v>
      </c>
      <c r="F109" s="9">
        <v>68</v>
      </c>
      <c r="G109" s="9">
        <v>2</v>
      </c>
      <c r="H109" s="10" t="s">
        <v>63</v>
      </c>
      <c r="I109" s="9">
        <v>1</v>
      </c>
      <c r="J109" s="9">
        <v>0.366878791013733</v>
      </c>
      <c r="K109" s="10" t="s">
        <v>51</v>
      </c>
      <c r="L109" s="9">
        <v>2</v>
      </c>
      <c r="M109" s="9">
        <v>68</v>
      </c>
      <c r="N109" s="9">
        <v>68</v>
      </c>
      <c r="O109" s="9">
        <v>29</v>
      </c>
      <c r="P109" s="9">
        <v>85.000126625003801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9">
        <v>84.990710625003004</v>
      </c>
      <c r="AC109" s="9">
        <v>85.000126625003801</v>
      </c>
      <c r="AD109" s="9">
        <v>85.482892917003497</v>
      </c>
      <c r="AE109" s="9">
        <v>85.482892917003497</v>
      </c>
      <c r="AF109" s="9">
        <v>85.482892917003497</v>
      </c>
      <c r="AG109" s="9">
        <v>85.851200249992004</v>
      </c>
      <c r="AH109" s="10" t="s">
        <v>63</v>
      </c>
      <c r="AI109" s="9">
        <v>1</v>
      </c>
      <c r="AJ109" s="9">
        <v>0.366878791013733</v>
      </c>
      <c r="AK109" s="10" t="s">
        <v>51</v>
      </c>
      <c r="AL109" s="8"/>
      <c r="AM109" s="8"/>
      <c r="AN109" s="8"/>
      <c r="AO109" s="9">
        <v>5</v>
      </c>
      <c r="AP109" s="9">
        <v>1</v>
      </c>
      <c r="AQ109" s="10" t="s">
        <v>110</v>
      </c>
      <c r="AR109" s="10" t="s">
        <v>53</v>
      </c>
      <c r="AS109" s="8"/>
      <c r="AT109" s="10" t="s">
        <v>54</v>
      </c>
      <c r="AU109" s="9">
        <v>121.002689767825</v>
      </c>
      <c r="AV109" s="10" t="s">
        <v>111</v>
      </c>
      <c r="AW109" s="8"/>
    </row>
    <row r="110" spans="1:49" x14ac:dyDescent="0.15">
      <c r="A110" s="11" t="s">
        <v>78</v>
      </c>
      <c r="B110" s="12" t="s">
        <v>57</v>
      </c>
      <c r="C110" s="10" t="s">
        <v>62</v>
      </c>
      <c r="D110" s="10" t="s">
        <v>63</v>
      </c>
      <c r="E110" s="9">
        <v>70</v>
      </c>
      <c r="F110" s="9">
        <v>70</v>
      </c>
      <c r="G110" s="9">
        <v>0</v>
      </c>
      <c r="H110" s="10" t="s">
        <v>63</v>
      </c>
      <c r="I110" s="9">
        <v>1</v>
      </c>
      <c r="J110" s="9">
        <v>0.31835524900816398</v>
      </c>
      <c r="K110" s="10" t="s">
        <v>51</v>
      </c>
      <c r="L110" s="9">
        <v>0</v>
      </c>
      <c r="M110" s="9">
        <v>70</v>
      </c>
      <c r="N110" s="9">
        <v>70</v>
      </c>
      <c r="O110" s="9">
        <v>27</v>
      </c>
      <c r="P110" s="9">
        <v>86.672143999996507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9">
        <v>86.662013041990605</v>
      </c>
      <c r="AC110" s="9">
        <v>86.672143999996507</v>
      </c>
      <c r="AD110" s="9">
        <v>87.158535249996902</v>
      </c>
      <c r="AE110" s="9">
        <v>87.158535249996902</v>
      </c>
      <c r="AF110" s="9">
        <v>87.158535249996902</v>
      </c>
      <c r="AG110" s="9">
        <v>87.4847307500022</v>
      </c>
      <c r="AH110" s="10" t="s">
        <v>63</v>
      </c>
      <c r="AI110" s="9">
        <v>1</v>
      </c>
      <c r="AJ110" s="9">
        <v>0.31835524900816398</v>
      </c>
      <c r="AK110" s="10" t="s">
        <v>51</v>
      </c>
      <c r="AL110" s="8"/>
      <c r="AM110" s="8"/>
      <c r="AN110" s="8"/>
      <c r="AO110" s="9">
        <v>5</v>
      </c>
      <c r="AP110" s="9">
        <v>1</v>
      </c>
      <c r="AQ110" s="10" t="s">
        <v>110</v>
      </c>
      <c r="AR110" s="10" t="s">
        <v>53</v>
      </c>
      <c r="AS110" s="8"/>
      <c r="AT110" s="10" t="s">
        <v>54</v>
      </c>
      <c r="AU110" s="9">
        <v>121.002689767825</v>
      </c>
      <c r="AV110" s="10" t="s">
        <v>111</v>
      </c>
      <c r="AW110" s="8"/>
    </row>
    <row r="111" spans="1:49" x14ac:dyDescent="0.15">
      <c r="A111" s="11" t="s">
        <v>78</v>
      </c>
      <c r="B111" s="12" t="s">
        <v>57</v>
      </c>
      <c r="C111" s="10" t="s">
        <v>62</v>
      </c>
      <c r="D111" s="10" t="s">
        <v>63</v>
      </c>
      <c r="E111" s="9">
        <v>76</v>
      </c>
      <c r="F111" s="9">
        <v>76</v>
      </c>
      <c r="G111" s="9">
        <v>1</v>
      </c>
      <c r="H111" s="10" t="s">
        <v>63</v>
      </c>
      <c r="I111" s="9">
        <v>1</v>
      </c>
      <c r="J111" s="9">
        <v>0.63734216599550597</v>
      </c>
      <c r="K111" s="10" t="s">
        <v>51</v>
      </c>
      <c r="L111" s="9">
        <v>1</v>
      </c>
      <c r="M111" s="9">
        <v>76</v>
      </c>
      <c r="N111" s="9">
        <v>76</v>
      </c>
      <c r="O111" s="9">
        <v>27</v>
      </c>
      <c r="P111" s="9">
        <v>92.622463916995898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9">
        <v>92.613154666993097</v>
      </c>
      <c r="AC111" s="9">
        <v>92.622463916995898</v>
      </c>
      <c r="AD111" s="9">
        <v>93.099491542001502</v>
      </c>
      <c r="AE111" s="9">
        <v>93.099491542001502</v>
      </c>
      <c r="AF111" s="9">
        <v>93.099491542001502</v>
      </c>
      <c r="AG111" s="9">
        <v>93.740628375002402</v>
      </c>
      <c r="AH111" s="10" t="s">
        <v>63</v>
      </c>
      <c r="AI111" s="9">
        <v>1</v>
      </c>
      <c r="AJ111" s="9">
        <v>0.63734216599550597</v>
      </c>
      <c r="AK111" s="10" t="s">
        <v>51</v>
      </c>
      <c r="AL111" s="8"/>
      <c r="AM111" s="8"/>
      <c r="AN111" s="8"/>
      <c r="AO111" s="9">
        <v>5</v>
      </c>
      <c r="AP111" s="9">
        <v>1</v>
      </c>
      <c r="AQ111" s="10" t="s">
        <v>110</v>
      </c>
      <c r="AR111" s="10" t="s">
        <v>53</v>
      </c>
      <c r="AS111" s="8"/>
      <c r="AT111" s="10" t="s">
        <v>54</v>
      </c>
      <c r="AU111" s="9">
        <v>121.002689767825</v>
      </c>
      <c r="AV111" s="10" t="s">
        <v>111</v>
      </c>
      <c r="AW111" s="8"/>
    </row>
    <row r="112" spans="1:49" x14ac:dyDescent="0.15">
      <c r="A112" s="11" t="s">
        <v>84</v>
      </c>
      <c r="B112" s="12" t="s">
        <v>57</v>
      </c>
      <c r="C112" s="10" t="s">
        <v>58</v>
      </c>
      <c r="D112" s="10" t="s">
        <v>59</v>
      </c>
      <c r="E112" s="9">
        <v>87</v>
      </c>
      <c r="F112" s="9">
        <v>87</v>
      </c>
      <c r="G112" s="9">
        <v>1</v>
      </c>
      <c r="H112" s="10" t="s">
        <v>59</v>
      </c>
      <c r="I112" s="9">
        <v>1</v>
      </c>
      <c r="J112" s="9">
        <v>0.39818916600779602</v>
      </c>
      <c r="K112" s="10" t="s">
        <v>51</v>
      </c>
      <c r="L112" s="9">
        <v>1</v>
      </c>
      <c r="M112" s="9">
        <v>87</v>
      </c>
      <c r="N112" s="9">
        <v>87</v>
      </c>
      <c r="O112" s="9">
        <v>20</v>
      </c>
      <c r="P112" s="9">
        <v>103.389198584002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9">
        <v>103.37890637500099</v>
      </c>
      <c r="AC112" s="9">
        <v>103.389198584002</v>
      </c>
      <c r="AD112" s="9">
        <v>103.875899416991</v>
      </c>
      <c r="AE112" s="9">
        <v>103.875899416991</v>
      </c>
      <c r="AF112" s="9">
        <v>103.875899416991</v>
      </c>
      <c r="AG112" s="9">
        <v>104.285642125004</v>
      </c>
      <c r="AH112" s="10" t="s">
        <v>59</v>
      </c>
      <c r="AI112" s="9">
        <v>1</v>
      </c>
      <c r="AJ112" s="9">
        <v>0.39818916600779602</v>
      </c>
      <c r="AK112" s="10" t="s">
        <v>51</v>
      </c>
      <c r="AL112" s="8"/>
      <c r="AM112" s="8"/>
      <c r="AN112" s="8"/>
      <c r="AO112" s="9">
        <v>5</v>
      </c>
      <c r="AP112" s="9">
        <v>1</v>
      </c>
      <c r="AQ112" s="10" t="s">
        <v>110</v>
      </c>
      <c r="AR112" s="10" t="s">
        <v>53</v>
      </c>
      <c r="AS112" s="8"/>
      <c r="AT112" s="10" t="s">
        <v>54</v>
      </c>
      <c r="AU112" s="9">
        <v>121.002689767825</v>
      </c>
      <c r="AV112" s="10" t="s">
        <v>111</v>
      </c>
      <c r="AW112" s="8"/>
    </row>
    <row r="113" spans="1:49" x14ac:dyDescent="0.15">
      <c r="A113" s="11" t="s">
        <v>75</v>
      </c>
      <c r="B113" s="12" t="s">
        <v>57</v>
      </c>
      <c r="C113" s="10" t="s">
        <v>62</v>
      </c>
      <c r="D113" s="10" t="s">
        <v>63</v>
      </c>
      <c r="E113" s="9">
        <v>90</v>
      </c>
      <c r="F113" s="9">
        <v>90</v>
      </c>
      <c r="G113" s="9">
        <v>1</v>
      </c>
      <c r="H113" s="10" t="s">
        <v>63</v>
      </c>
      <c r="I113" s="9">
        <v>1</v>
      </c>
      <c r="J113" s="9">
        <v>1.17854820699722</v>
      </c>
      <c r="K113" s="10" t="s">
        <v>51</v>
      </c>
      <c r="L113" s="9">
        <v>1</v>
      </c>
      <c r="M113" s="9">
        <v>90</v>
      </c>
      <c r="N113" s="9">
        <v>90</v>
      </c>
      <c r="O113" s="9">
        <v>19</v>
      </c>
      <c r="P113" s="9">
        <v>106.382799958999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9">
        <v>106.37324245899801</v>
      </c>
      <c r="AC113" s="9">
        <v>106.382799958999</v>
      </c>
      <c r="AD113" s="9">
        <v>106.866668624993</v>
      </c>
      <c r="AE113" s="9">
        <v>106.866668624993</v>
      </c>
      <c r="AF113" s="9">
        <v>106.866668624993</v>
      </c>
      <c r="AG113" s="9">
        <v>108.051459583992</v>
      </c>
      <c r="AH113" s="10" t="s">
        <v>63</v>
      </c>
      <c r="AI113" s="9">
        <v>1</v>
      </c>
      <c r="AJ113" s="9">
        <v>1.17854820699722</v>
      </c>
      <c r="AK113" s="10" t="s">
        <v>51</v>
      </c>
      <c r="AL113" s="8"/>
      <c r="AM113" s="8"/>
      <c r="AN113" s="8"/>
      <c r="AO113" s="9">
        <v>5</v>
      </c>
      <c r="AP113" s="9">
        <v>1</v>
      </c>
      <c r="AQ113" s="10" t="s">
        <v>110</v>
      </c>
      <c r="AR113" s="10" t="s">
        <v>53</v>
      </c>
      <c r="AS113" s="8"/>
      <c r="AT113" s="10" t="s">
        <v>54</v>
      </c>
      <c r="AU113" s="9">
        <v>121.002689767825</v>
      </c>
      <c r="AV113" s="10" t="s">
        <v>111</v>
      </c>
      <c r="AW113" s="8"/>
    </row>
    <row r="114" spans="1:49" x14ac:dyDescent="0.15">
      <c r="A114" s="11" t="s">
        <v>65</v>
      </c>
      <c r="B114" s="12" t="s">
        <v>57</v>
      </c>
      <c r="C114" s="10" t="s">
        <v>58</v>
      </c>
      <c r="D114" s="10" t="s">
        <v>59</v>
      </c>
      <c r="E114" s="9">
        <v>94</v>
      </c>
      <c r="F114" s="9">
        <v>94</v>
      </c>
      <c r="G114" s="9">
        <v>3</v>
      </c>
      <c r="H114" s="10" t="s">
        <v>59</v>
      </c>
      <c r="I114" s="9">
        <v>1</v>
      </c>
      <c r="J114" s="9">
        <v>0.54172229100367997</v>
      </c>
      <c r="K114" s="10" t="s">
        <v>51</v>
      </c>
      <c r="L114" s="9">
        <v>3</v>
      </c>
      <c r="M114" s="9">
        <v>94</v>
      </c>
      <c r="N114" s="9">
        <v>94</v>
      </c>
      <c r="O114" s="9">
        <v>30</v>
      </c>
      <c r="P114" s="9">
        <v>110.822436208997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9">
        <v>110.811958916995</v>
      </c>
      <c r="AC114" s="9">
        <v>110.822436208997</v>
      </c>
      <c r="AD114" s="9">
        <v>111.309518541995</v>
      </c>
      <c r="AE114" s="9">
        <v>111.309518541995</v>
      </c>
      <c r="AF114" s="9">
        <v>111.309518541995</v>
      </c>
      <c r="AG114" s="9">
        <v>111.858134499998</v>
      </c>
      <c r="AH114" s="10" t="s">
        <v>59</v>
      </c>
      <c r="AI114" s="9">
        <v>1</v>
      </c>
      <c r="AJ114" s="9">
        <v>0.54172229100367997</v>
      </c>
      <c r="AK114" s="10" t="s">
        <v>51</v>
      </c>
      <c r="AL114" s="8"/>
      <c r="AM114" s="8"/>
      <c r="AN114" s="8"/>
      <c r="AO114" s="9">
        <v>5</v>
      </c>
      <c r="AP114" s="9">
        <v>1</v>
      </c>
      <c r="AQ114" s="10" t="s">
        <v>110</v>
      </c>
      <c r="AR114" s="10" t="s">
        <v>53</v>
      </c>
      <c r="AS114" s="8"/>
      <c r="AT114" s="10" t="s">
        <v>54</v>
      </c>
      <c r="AU114" s="9">
        <v>121.002689767825</v>
      </c>
      <c r="AV114" s="10" t="s">
        <v>111</v>
      </c>
      <c r="AW114" s="8"/>
    </row>
    <row r="115" spans="1:49" x14ac:dyDescent="0.15">
      <c r="A115" s="11" t="s">
        <v>72</v>
      </c>
      <c r="B115" s="12" t="s">
        <v>57</v>
      </c>
      <c r="C115" s="10" t="s">
        <v>58</v>
      </c>
      <c r="D115" s="10" t="s">
        <v>59</v>
      </c>
      <c r="E115" s="9">
        <v>96</v>
      </c>
      <c r="F115" s="9">
        <v>96</v>
      </c>
      <c r="G115" s="9">
        <v>1</v>
      </c>
      <c r="H115" s="10" t="s">
        <v>59</v>
      </c>
      <c r="I115" s="9">
        <v>1</v>
      </c>
      <c r="J115" s="9">
        <v>0.43977749899204399</v>
      </c>
      <c r="K115" s="10" t="s">
        <v>51</v>
      </c>
      <c r="L115" s="9">
        <v>1</v>
      </c>
      <c r="M115" s="9">
        <v>96</v>
      </c>
      <c r="N115" s="9">
        <v>96</v>
      </c>
      <c r="O115" s="9">
        <v>24</v>
      </c>
      <c r="P115" s="9">
        <v>112.73872670899399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9">
        <v>112.72849149999099</v>
      </c>
      <c r="AC115" s="9">
        <v>112.73872670899399</v>
      </c>
      <c r="AD115" s="9">
        <v>113.225681041993</v>
      </c>
      <c r="AE115" s="9">
        <v>113.225681041993</v>
      </c>
      <c r="AF115" s="9">
        <v>113.225681041993</v>
      </c>
      <c r="AG115" s="9">
        <v>113.668757958993</v>
      </c>
      <c r="AH115" s="10" t="s">
        <v>59</v>
      </c>
      <c r="AI115" s="9">
        <v>1</v>
      </c>
      <c r="AJ115" s="9">
        <v>0.43977749899204399</v>
      </c>
      <c r="AK115" s="10" t="s">
        <v>51</v>
      </c>
      <c r="AL115" s="8"/>
      <c r="AM115" s="8"/>
      <c r="AN115" s="8"/>
      <c r="AO115" s="9">
        <v>5</v>
      </c>
      <c r="AP115" s="9">
        <v>1</v>
      </c>
      <c r="AQ115" s="10" t="s">
        <v>110</v>
      </c>
      <c r="AR115" s="10" t="s">
        <v>53</v>
      </c>
      <c r="AS115" s="8"/>
      <c r="AT115" s="10" t="s">
        <v>54</v>
      </c>
      <c r="AU115" s="9">
        <v>121.002689767825</v>
      </c>
      <c r="AV115" s="10" t="s">
        <v>111</v>
      </c>
      <c r="AW115" s="8"/>
    </row>
    <row r="116" spans="1:49" x14ac:dyDescent="0.15">
      <c r="A116" s="11" t="s">
        <v>68</v>
      </c>
      <c r="B116" s="12" t="s">
        <v>57</v>
      </c>
      <c r="C116" s="10" t="s">
        <v>58</v>
      </c>
      <c r="D116" s="10" t="s">
        <v>59</v>
      </c>
      <c r="E116" s="9">
        <v>97</v>
      </c>
      <c r="F116" s="9">
        <v>97</v>
      </c>
      <c r="G116" s="9">
        <v>1</v>
      </c>
      <c r="H116" s="10" t="s">
        <v>59</v>
      </c>
      <c r="I116" s="9">
        <v>1</v>
      </c>
      <c r="J116" s="9">
        <v>0.34649754100246399</v>
      </c>
      <c r="K116" s="10" t="s">
        <v>51</v>
      </c>
      <c r="L116" s="9">
        <v>1</v>
      </c>
      <c r="M116" s="9">
        <v>97</v>
      </c>
      <c r="N116" s="9">
        <v>97</v>
      </c>
      <c r="O116" s="9">
        <v>22</v>
      </c>
      <c r="P116" s="9">
        <v>113.683961749994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9">
        <v>113.67494541699099</v>
      </c>
      <c r="AC116" s="9">
        <v>113.683961749994</v>
      </c>
      <c r="AD116" s="9">
        <v>114.166888459004</v>
      </c>
      <c r="AE116" s="9">
        <v>114.166888459004</v>
      </c>
      <c r="AF116" s="9">
        <v>114.166888459004</v>
      </c>
      <c r="AG116" s="9">
        <v>114.519087249995</v>
      </c>
      <c r="AH116" s="10" t="s">
        <v>59</v>
      </c>
      <c r="AI116" s="9">
        <v>1</v>
      </c>
      <c r="AJ116" s="9">
        <v>0.34649754100246399</v>
      </c>
      <c r="AK116" s="10" t="s">
        <v>51</v>
      </c>
      <c r="AL116" s="8"/>
      <c r="AM116" s="8"/>
      <c r="AN116" s="8"/>
      <c r="AO116" s="9">
        <v>5</v>
      </c>
      <c r="AP116" s="9">
        <v>1</v>
      </c>
      <c r="AQ116" s="10" t="s">
        <v>110</v>
      </c>
      <c r="AR116" s="10" t="s">
        <v>53</v>
      </c>
      <c r="AS116" s="8"/>
      <c r="AT116" s="10" t="s">
        <v>54</v>
      </c>
      <c r="AU116" s="9">
        <v>121.002689767825</v>
      </c>
      <c r="AV116" s="10" t="s">
        <v>111</v>
      </c>
      <c r="AW116" s="8"/>
    </row>
    <row r="117" spans="1:49" x14ac:dyDescent="0.15">
      <c r="A117" s="11" t="s">
        <v>56</v>
      </c>
      <c r="B117" s="12" t="s">
        <v>57</v>
      </c>
      <c r="C117" s="10" t="s">
        <v>58</v>
      </c>
      <c r="D117" s="10" t="s">
        <v>59</v>
      </c>
      <c r="E117" s="9">
        <v>99</v>
      </c>
      <c r="F117" s="9">
        <v>99</v>
      </c>
      <c r="G117" s="9">
        <v>1</v>
      </c>
      <c r="H117" s="10" t="s">
        <v>59</v>
      </c>
      <c r="I117" s="9">
        <v>1</v>
      </c>
      <c r="J117" s="9">
        <v>0.36076608300209001</v>
      </c>
      <c r="K117" s="10" t="s">
        <v>51</v>
      </c>
      <c r="L117" s="9">
        <v>1</v>
      </c>
      <c r="M117" s="9">
        <v>99</v>
      </c>
      <c r="N117" s="9">
        <v>99</v>
      </c>
      <c r="O117" s="9">
        <v>16</v>
      </c>
      <c r="P117" s="9">
        <v>115.417158583994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9">
        <v>115.40775020899299</v>
      </c>
      <c r="AC117" s="9">
        <v>115.417158583994</v>
      </c>
      <c r="AD117" s="9">
        <v>115.90060191699</v>
      </c>
      <c r="AE117" s="9">
        <v>115.90060191699</v>
      </c>
      <c r="AF117" s="9">
        <v>115.90060191699</v>
      </c>
      <c r="AG117" s="9">
        <v>116.268400749992</v>
      </c>
      <c r="AH117" s="10" t="s">
        <v>59</v>
      </c>
      <c r="AI117" s="9">
        <v>1</v>
      </c>
      <c r="AJ117" s="9">
        <v>0.36076608300209001</v>
      </c>
      <c r="AK117" s="10" t="s">
        <v>51</v>
      </c>
      <c r="AL117" s="8"/>
      <c r="AM117" s="8"/>
      <c r="AN117" s="8"/>
      <c r="AO117" s="9">
        <v>5</v>
      </c>
      <c r="AP117" s="9">
        <v>1</v>
      </c>
      <c r="AQ117" s="10" t="s">
        <v>110</v>
      </c>
      <c r="AR117" s="10" t="s">
        <v>53</v>
      </c>
      <c r="AS117" s="8"/>
      <c r="AT117" s="10" t="s">
        <v>54</v>
      </c>
      <c r="AU117" s="9">
        <v>121.002689767825</v>
      </c>
      <c r="AV117" s="10" t="s">
        <v>111</v>
      </c>
      <c r="AW117" s="8"/>
    </row>
    <row r="118" spans="1:49" x14ac:dyDescent="0.15">
      <c r="A118" s="11" t="s">
        <v>78</v>
      </c>
      <c r="B118" s="12" t="s">
        <v>57</v>
      </c>
      <c r="C118" s="10" t="s">
        <v>62</v>
      </c>
      <c r="D118" s="10" t="s">
        <v>63</v>
      </c>
      <c r="E118" s="9">
        <v>101</v>
      </c>
      <c r="F118" s="9">
        <v>101</v>
      </c>
      <c r="G118" s="9">
        <v>2</v>
      </c>
      <c r="H118" s="10" t="s">
        <v>59</v>
      </c>
      <c r="I118" s="9">
        <v>0</v>
      </c>
      <c r="J118" s="9">
        <v>0.256711416004691</v>
      </c>
      <c r="K118" s="10" t="s">
        <v>51</v>
      </c>
      <c r="L118" s="9">
        <v>2</v>
      </c>
      <c r="M118" s="9">
        <v>101</v>
      </c>
      <c r="N118" s="9">
        <v>101</v>
      </c>
      <c r="O118" s="9">
        <v>27</v>
      </c>
      <c r="P118" s="9">
        <v>117.05059595899399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9">
        <v>117.04098429199099</v>
      </c>
      <c r="AC118" s="9">
        <v>117.05059595899399</v>
      </c>
      <c r="AD118" s="9">
        <v>117.533657666994</v>
      </c>
      <c r="AE118" s="9">
        <v>117.533657666994</v>
      </c>
      <c r="AF118" s="9">
        <v>117.533657666994</v>
      </c>
      <c r="AG118" s="9">
        <v>117.802492374991</v>
      </c>
      <c r="AH118" s="10" t="s">
        <v>59</v>
      </c>
      <c r="AI118" s="9">
        <v>0</v>
      </c>
      <c r="AJ118" s="9">
        <v>0.256711416004691</v>
      </c>
      <c r="AK118" s="10" t="s">
        <v>51</v>
      </c>
      <c r="AL118" s="8"/>
      <c r="AM118" s="8"/>
      <c r="AN118" s="8"/>
      <c r="AO118" s="9">
        <v>5</v>
      </c>
      <c r="AP118" s="9">
        <v>1</v>
      </c>
      <c r="AQ118" s="10" t="s">
        <v>110</v>
      </c>
      <c r="AR118" s="10" t="s">
        <v>53</v>
      </c>
      <c r="AS118" s="8"/>
      <c r="AT118" s="10" t="s">
        <v>54</v>
      </c>
      <c r="AU118" s="9">
        <v>121.002689767825</v>
      </c>
      <c r="AV118" s="10" t="s">
        <v>111</v>
      </c>
      <c r="AW118" s="8"/>
    </row>
    <row r="119" spans="1:49" x14ac:dyDescent="0.15">
      <c r="A119" s="11" t="s">
        <v>78</v>
      </c>
      <c r="B119" s="12" t="s">
        <v>57</v>
      </c>
      <c r="C119" s="10" t="s">
        <v>58</v>
      </c>
      <c r="D119" s="10" t="s">
        <v>59</v>
      </c>
      <c r="E119" s="9">
        <v>102</v>
      </c>
      <c r="F119" s="9">
        <v>102</v>
      </c>
      <c r="G119" s="9">
        <v>2</v>
      </c>
      <c r="H119" s="10" t="s">
        <v>63</v>
      </c>
      <c r="I119" s="9">
        <v>0</v>
      </c>
      <c r="J119" s="9">
        <v>0.48964124999474701</v>
      </c>
      <c r="K119" s="10" t="s">
        <v>51</v>
      </c>
      <c r="L119" s="9">
        <v>2</v>
      </c>
      <c r="M119" s="9">
        <v>102</v>
      </c>
      <c r="N119" s="9">
        <v>102</v>
      </c>
      <c r="O119" s="9">
        <v>26</v>
      </c>
      <c r="P119" s="9">
        <v>117.809389792004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9">
        <v>117.803434499991</v>
      </c>
      <c r="AC119" s="9">
        <v>117.809389792004</v>
      </c>
      <c r="AD119" s="9">
        <v>118.30076029199699</v>
      </c>
      <c r="AE119" s="9">
        <v>118.30076029199699</v>
      </c>
      <c r="AF119" s="9">
        <v>118.30076029199699</v>
      </c>
      <c r="AG119" s="9">
        <v>118.80250933399699</v>
      </c>
      <c r="AH119" s="10" t="s">
        <v>63</v>
      </c>
      <c r="AI119" s="9">
        <v>0</v>
      </c>
      <c r="AJ119" s="9">
        <v>0.48964124999474701</v>
      </c>
      <c r="AK119" s="10" t="s">
        <v>51</v>
      </c>
      <c r="AL119" s="8"/>
      <c r="AM119" s="8"/>
      <c r="AN119" s="8"/>
      <c r="AO119" s="9">
        <v>5</v>
      </c>
      <c r="AP119" s="9">
        <v>1</v>
      </c>
      <c r="AQ119" s="10" t="s">
        <v>110</v>
      </c>
      <c r="AR119" s="10" t="s">
        <v>53</v>
      </c>
      <c r="AS119" s="8"/>
      <c r="AT119" s="10" t="s">
        <v>54</v>
      </c>
      <c r="AU119" s="9">
        <v>121.002689767825</v>
      </c>
      <c r="AV119" s="10" t="s">
        <v>111</v>
      </c>
      <c r="AW119" s="8"/>
    </row>
    <row r="120" spans="1:49" x14ac:dyDescent="0.15">
      <c r="A120" s="11" t="s">
        <v>65</v>
      </c>
      <c r="B120" s="12" t="s">
        <v>57</v>
      </c>
      <c r="C120" s="10" t="s">
        <v>62</v>
      </c>
      <c r="D120" s="10" t="s">
        <v>63</v>
      </c>
      <c r="E120" s="9">
        <v>110</v>
      </c>
      <c r="F120" s="9">
        <v>110</v>
      </c>
      <c r="G120" s="9">
        <v>2</v>
      </c>
      <c r="H120" s="10" t="s">
        <v>63</v>
      </c>
      <c r="I120" s="9">
        <v>1</v>
      </c>
      <c r="J120" s="9">
        <v>0.412422957000672</v>
      </c>
      <c r="K120" s="10" t="s">
        <v>51</v>
      </c>
      <c r="L120" s="9">
        <v>2</v>
      </c>
      <c r="M120" s="9">
        <v>110</v>
      </c>
      <c r="N120" s="9">
        <v>110</v>
      </c>
      <c r="O120" s="9">
        <v>31</v>
      </c>
      <c r="P120" s="9">
        <v>126.349908959004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9">
        <v>126.34062554199799</v>
      </c>
      <c r="AC120" s="9">
        <v>126.349908959004</v>
      </c>
      <c r="AD120" s="9">
        <v>126.834129750001</v>
      </c>
      <c r="AE120" s="9">
        <v>126.834129750001</v>
      </c>
      <c r="AF120" s="9">
        <v>126.834129750001</v>
      </c>
      <c r="AG120" s="9">
        <v>127.252936042001</v>
      </c>
      <c r="AH120" s="10" t="s">
        <v>63</v>
      </c>
      <c r="AI120" s="9">
        <v>1</v>
      </c>
      <c r="AJ120" s="9">
        <v>0.412422957000672</v>
      </c>
      <c r="AK120" s="10" t="s">
        <v>51</v>
      </c>
      <c r="AL120" s="8"/>
      <c r="AM120" s="8"/>
      <c r="AN120" s="8"/>
      <c r="AO120" s="9">
        <v>5</v>
      </c>
      <c r="AP120" s="9">
        <v>1</v>
      </c>
      <c r="AQ120" s="10" t="s">
        <v>110</v>
      </c>
      <c r="AR120" s="10" t="s">
        <v>53</v>
      </c>
      <c r="AS120" s="8"/>
      <c r="AT120" s="10" t="s">
        <v>54</v>
      </c>
      <c r="AU120" s="9">
        <v>121.002689767825</v>
      </c>
      <c r="AV120" s="10" t="s">
        <v>111</v>
      </c>
      <c r="AW120" s="8"/>
    </row>
    <row r="121" spans="1:49" x14ac:dyDescent="0.15">
      <c r="A121" s="11" t="s">
        <v>71</v>
      </c>
      <c r="B121" s="12" t="s">
        <v>57</v>
      </c>
      <c r="C121" s="10" t="s">
        <v>62</v>
      </c>
      <c r="D121" s="10" t="s">
        <v>63</v>
      </c>
      <c r="E121" s="9">
        <v>114</v>
      </c>
      <c r="F121" s="9">
        <v>114</v>
      </c>
      <c r="G121" s="9">
        <v>3</v>
      </c>
      <c r="H121" s="10" t="s">
        <v>63</v>
      </c>
      <c r="I121" s="9">
        <v>1</v>
      </c>
      <c r="J121" s="9">
        <v>0.44495725000160702</v>
      </c>
      <c r="K121" s="10" t="s">
        <v>51</v>
      </c>
      <c r="L121" s="9">
        <v>3</v>
      </c>
      <c r="M121" s="9">
        <v>114</v>
      </c>
      <c r="N121" s="9">
        <v>114</v>
      </c>
      <c r="O121" s="9">
        <v>29</v>
      </c>
      <c r="P121" s="9">
        <v>130.24118241699799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9">
        <v>130.23151791699601</v>
      </c>
      <c r="AC121" s="9">
        <v>130.24118241699799</v>
      </c>
      <c r="AD121" s="9">
        <v>130.72657416699801</v>
      </c>
      <c r="AE121" s="9">
        <v>130.72657416699801</v>
      </c>
      <c r="AF121" s="9">
        <v>130.72657416699801</v>
      </c>
      <c r="AG121" s="9">
        <v>131.17546762499799</v>
      </c>
      <c r="AH121" s="10" t="s">
        <v>63</v>
      </c>
      <c r="AI121" s="9">
        <v>1</v>
      </c>
      <c r="AJ121" s="9">
        <v>0.44495725000160702</v>
      </c>
      <c r="AK121" s="10" t="s">
        <v>51</v>
      </c>
      <c r="AL121" s="8"/>
      <c r="AM121" s="8"/>
      <c r="AN121" s="8"/>
      <c r="AO121" s="9">
        <v>5</v>
      </c>
      <c r="AP121" s="9">
        <v>1</v>
      </c>
      <c r="AQ121" s="10" t="s">
        <v>110</v>
      </c>
      <c r="AR121" s="10" t="s">
        <v>53</v>
      </c>
      <c r="AS121" s="8"/>
      <c r="AT121" s="10" t="s">
        <v>54</v>
      </c>
      <c r="AU121" s="9">
        <v>121.002689767825</v>
      </c>
      <c r="AV121" s="10" t="s">
        <v>111</v>
      </c>
      <c r="AW121" s="8"/>
    </row>
    <row r="122" spans="1:49" x14ac:dyDescent="0.15">
      <c r="A122" s="11" t="s">
        <v>72</v>
      </c>
      <c r="B122" s="12" t="s">
        <v>57</v>
      </c>
      <c r="C122" s="10" t="s">
        <v>62</v>
      </c>
      <c r="D122" s="10" t="s">
        <v>63</v>
      </c>
      <c r="E122" s="9">
        <v>119</v>
      </c>
      <c r="F122" s="9">
        <v>119</v>
      </c>
      <c r="G122" s="9">
        <v>1</v>
      </c>
      <c r="H122" s="10" t="s">
        <v>63</v>
      </c>
      <c r="I122" s="9">
        <v>1</v>
      </c>
      <c r="J122" s="9">
        <v>0.46093991599627798</v>
      </c>
      <c r="K122" s="10" t="s">
        <v>51</v>
      </c>
      <c r="L122" s="9">
        <v>1</v>
      </c>
      <c r="M122" s="9">
        <v>119</v>
      </c>
      <c r="N122" s="9">
        <v>119</v>
      </c>
      <c r="O122" s="9">
        <v>25</v>
      </c>
      <c r="P122" s="9">
        <v>134.53988158400199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9">
        <v>134.52958424999099</v>
      </c>
      <c r="AC122" s="9">
        <v>134.53988158400199</v>
      </c>
      <c r="AD122" s="9">
        <v>135.02773408399699</v>
      </c>
      <c r="AE122" s="9">
        <v>135.02773408399699</v>
      </c>
      <c r="AF122" s="9">
        <v>135.02773408399699</v>
      </c>
      <c r="AG122" s="9">
        <v>135.492215292004</v>
      </c>
      <c r="AH122" s="10" t="s">
        <v>63</v>
      </c>
      <c r="AI122" s="9">
        <v>1</v>
      </c>
      <c r="AJ122" s="9">
        <v>0.46093991599627798</v>
      </c>
      <c r="AK122" s="10" t="s">
        <v>51</v>
      </c>
      <c r="AL122" s="8"/>
      <c r="AM122" s="8"/>
      <c r="AN122" s="8"/>
      <c r="AO122" s="9">
        <v>5</v>
      </c>
      <c r="AP122" s="9">
        <v>1</v>
      </c>
      <c r="AQ122" s="10" t="s">
        <v>110</v>
      </c>
      <c r="AR122" s="10" t="s">
        <v>53</v>
      </c>
      <c r="AS122" s="8"/>
      <c r="AT122" s="10" t="s">
        <v>54</v>
      </c>
      <c r="AU122" s="9">
        <v>121.002689767825</v>
      </c>
      <c r="AV122" s="10" t="s">
        <v>111</v>
      </c>
      <c r="AW122" s="8"/>
    </row>
    <row r="123" spans="1:49" x14ac:dyDescent="0.15">
      <c r="A123" s="11" t="s">
        <v>68</v>
      </c>
      <c r="B123" s="12" t="s">
        <v>57</v>
      </c>
      <c r="C123" s="10" t="s">
        <v>62</v>
      </c>
      <c r="D123" s="10" t="s">
        <v>63</v>
      </c>
      <c r="E123" s="9">
        <v>120</v>
      </c>
      <c r="F123" s="9">
        <v>120</v>
      </c>
      <c r="G123" s="9">
        <v>2</v>
      </c>
      <c r="H123" s="10" t="s">
        <v>63</v>
      </c>
      <c r="I123" s="9">
        <v>1</v>
      </c>
      <c r="J123" s="9">
        <v>0.30328958299651299</v>
      </c>
      <c r="K123" s="10" t="s">
        <v>51</v>
      </c>
      <c r="L123" s="9">
        <v>2</v>
      </c>
      <c r="M123" s="9">
        <v>120</v>
      </c>
      <c r="N123" s="9">
        <v>120</v>
      </c>
      <c r="O123" s="9">
        <v>23</v>
      </c>
      <c r="P123" s="9">
        <v>135.50551583399599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9">
        <v>135.49702716700301</v>
      </c>
      <c r="AC123" s="9">
        <v>135.50551583399599</v>
      </c>
      <c r="AD123" s="9">
        <v>135.99344966700301</v>
      </c>
      <c r="AE123" s="9">
        <v>135.99344966700301</v>
      </c>
      <c r="AF123" s="9">
        <v>135.99344966700301</v>
      </c>
      <c r="AG123" s="9">
        <v>136.30286454199799</v>
      </c>
      <c r="AH123" s="10" t="s">
        <v>63</v>
      </c>
      <c r="AI123" s="9">
        <v>1</v>
      </c>
      <c r="AJ123" s="9">
        <v>0.30328958299651299</v>
      </c>
      <c r="AK123" s="10" t="s">
        <v>51</v>
      </c>
      <c r="AL123" s="8"/>
      <c r="AM123" s="8"/>
      <c r="AN123" s="8"/>
      <c r="AO123" s="9">
        <v>5</v>
      </c>
      <c r="AP123" s="9">
        <v>1</v>
      </c>
      <c r="AQ123" s="10" t="s">
        <v>110</v>
      </c>
      <c r="AR123" s="10" t="s">
        <v>53</v>
      </c>
      <c r="AS123" s="8"/>
      <c r="AT123" s="10" t="s">
        <v>54</v>
      </c>
      <c r="AU123" s="9">
        <v>121.002689767825</v>
      </c>
      <c r="AV123" s="10" t="s">
        <v>111</v>
      </c>
      <c r="AW123" s="8"/>
    </row>
    <row r="124" spans="1:49" x14ac:dyDescent="0.15">
      <c r="A124" s="11" t="s">
        <v>65</v>
      </c>
      <c r="B124" s="12" t="s">
        <v>57</v>
      </c>
      <c r="C124" s="10" t="s">
        <v>62</v>
      </c>
      <c r="D124" s="10" t="s">
        <v>63</v>
      </c>
      <c r="E124" s="9">
        <v>128</v>
      </c>
      <c r="F124" s="9">
        <v>128</v>
      </c>
      <c r="G124" s="9">
        <v>3</v>
      </c>
      <c r="H124" s="10" t="s">
        <v>63</v>
      </c>
      <c r="I124" s="9">
        <v>1</v>
      </c>
      <c r="J124" s="9">
        <v>0.32206937400042102</v>
      </c>
      <c r="K124" s="10" t="s">
        <v>51</v>
      </c>
      <c r="L124" s="9">
        <v>3</v>
      </c>
      <c r="M124" s="9">
        <v>128</v>
      </c>
      <c r="N124" s="9">
        <v>128</v>
      </c>
      <c r="O124" s="9">
        <v>31</v>
      </c>
      <c r="P124" s="9">
        <v>143.96789483400099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9">
        <v>143.95860149999501</v>
      </c>
      <c r="AC124" s="9">
        <v>143.96789483400099</v>
      </c>
      <c r="AD124" s="9">
        <v>144.45181841700099</v>
      </c>
      <c r="AE124" s="9">
        <v>144.45181841700099</v>
      </c>
      <c r="AF124" s="9">
        <v>144.45181841700099</v>
      </c>
      <c r="AG124" s="9">
        <v>144.775932249991</v>
      </c>
      <c r="AH124" s="10" t="s">
        <v>63</v>
      </c>
      <c r="AI124" s="9">
        <v>1</v>
      </c>
      <c r="AJ124" s="9">
        <v>0.32206937400042102</v>
      </c>
      <c r="AK124" s="10" t="s">
        <v>51</v>
      </c>
      <c r="AL124" s="8"/>
      <c r="AM124" s="8"/>
      <c r="AN124" s="8"/>
      <c r="AO124" s="9">
        <v>5</v>
      </c>
      <c r="AP124" s="9">
        <v>1</v>
      </c>
      <c r="AQ124" s="10" t="s">
        <v>110</v>
      </c>
      <c r="AR124" s="10" t="s">
        <v>53</v>
      </c>
      <c r="AS124" s="8"/>
      <c r="AT124" s="10" t="s">
        <v>54</v>
      </c>
      <c r="AU124" s="9">
        <v>121.002689767825</v>
      </c>
      <c r="AV124" s="10" t="s">
        <v>111</v>
      </c>
      <c r="AW124" s="8"/>
    </row>
    <row r="125" spans="1:49" x14ac:dyDescent="0.15">
      <c r="A125" s="11" t="s">
        <v>84</v>
      </c>
      <c r="B125" s="12" t="s">
        <v>57</v>
      </c>
      <c r="C125" s="10" t="s">
        <v>62</v>
      </c>
      <c r="D125" s="10" t="s">
        <v>63</v>
      </c>
      <c r="E125" s="9">
        <v>129</v>
      </c>
      <c r="F125" s="9">
        <v>129</v>
      </c>
      <c r="G125" s="9">
        <v>2</v>
      </c>
      <c r="H125" s="10" t="s">
        <v>63</v>
      </c>
      <c r="I125" s="9">
        <v>1</v>
      </c>
      <c r="J125" s="9">
        <v>0.37364124899613699</v>
      </c>
      <c r="K125" s="10" t="s">
        <v>51</v>
      </c>
      <c r="L125" s="9">
        <v>2</v>
      </c>
      <c r="M125" s="9">
        <v>129</v>
      </c>
      <c r="N125" s="9">
        <v>129</v>
      </c>
      <c r="O125" s="9">
        <v>21</v>
      </c>
      <c r="P125" s="9">
        <v>144.78508812499101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9">
        <v>144.77832499999201</v>
      </c>
      <c r="AC125" s="9">
        <v>144.78508812499101</v>
      </c>
      <c r="AD125" s="9">
        <v>145.27734179199601</v>
      </c>
      <c r="AE125" s="9">
        <v>145.27734179199601</v>
      </c>
      <c r="AF125" s="9">
        <v>145.27734179199601</v>
      </c>
      <c r="AG125" s="9">
        <v>145.653680624993</v>
      </c>
      <c r="AH125" s="10" t="s">
        <v>63</v>
      </c>
      <c r="AI125" s="9">
        <v>1</v>
      </c>
      <c r="AJ125" s="9">
        <v>0.37364124899613699</v>
      </c>
      <c r="AK125" s="10" t="s">
        <v>51</v>
      </c>
      <c r="AL125" s="8"/>
      <c r="AM125" s="8"/>
      <c r="AN125" s="8"/>
      <c r="AO125" s="9">
        <v>5</v>
      </c>
      <c r="AP125" s="9">
        <v>1</v>
      </c>
      <c r="AQ125" s="10" t="s">
        <v>110</v>
      </c>
      <c r="AR125" s="10" t="s">
        <v>53</v>
      </c>
      <c r="AS125" s="8"/>
      <c r="AT125" s="10" t="s">
        <v>54</v>
      </c>
      <c r="AU125" s="9">
        <v>121.002689767825</v>
      </c>
      <c r="AV125" s="10" t="s">
        <v>111</v>
      </c>
      <c r="AW125" s="8"/>
    </row>
    <row r="126" spans="1:49" x14ac:dyDescent="0.15">
      <c r="A126" s="11" t="s">
        <v>72</v>
      </c>
      <c r="B126" s="12" t="s">
        <v>57</v>
      </c>
      <c r="C126" s="10" t="s">
        <v>58</v>
      </c>
      <c r="D126" s="10" t="s">
        <v>59</v>
      </c>
      <c r="E126" s="9">
        <v>131</v>
      </c>
      <c r="F126" s="9">
        <v>131</v>
      </c>
      <c r="G126" s="9">
        <v>2</v>
      </c>
      <c r="H126" s="10" t="s">
        <v>59</v>
      </c>
      <c r="I126" s="9">
        <v>1</v>
      </c>
      <c r="J126" s="9">
        <v>0.49509012399357699</v>
      </c>
      <c r="K126" s="10" t="s">
        <v>51</v>
      </c>
      <c r="L126" s="9">
        <v>2</v>
      </c>
      <c r="M126" s="9">
        <v>131</v>
      </c>
      <c r="N126" s="9">
        <v>131</v>
      </c>
      <c r="O126" s="9">
        <v>24</v>
      </c>
      <c r="P126" s="9">
        <v>146.90110499999699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9">
        <v>146.891966916999</v>
      </c>
      <c r="AC126" s="9">
        <v>146.90110499999699</v>
      </c>
      <c r="AD126" s="9">
        <v>147.38478049999699</v>
      </c>
      <c r="AE126" s="9">
        <v>147.38478049999699</v>
      </c>
      <c r="AF126" s="9">
        <v>147.38478049999699</v>
      </c>
      <c r="AG126" s="9">
        <v>147.88670912499899</v>
      </c>
      <c r="AH126" s="10" t="s">
        <v>59</v>
      </c>
      <c r="AI126" s="9">
        <v>1</v>
      </c>
      <c r="AJ126" s="9">
        <v>0.49509012399357699</v>
      </c>
      <c r="AK126" s="10" t="s">
        <v>51</v>
      </c>
      <c r="AL126" s="8"/>
      <c r="AM126" s="8"/>
      <c r="AN126" s="8"/>
      <c r="AO126" s="9">
        <v>5</v>
      </c>
      <c r="AP126" s="9">
        <v>1</v>
      </c>
      <c r="AQ126" s="10" t="s">
        <v>110</v>
      </c>
      <c r="AR126" s="10" t="s">
        <v>53</v>
      </c>
      <c r="AS126" s="8"/>
      <c r="AT126" s="10" t="s">
        <v>54</v>
      </c>
      <c r="AU126" s="9">
        <v>121.002689767825</v>
      </c>
      <c r="AV126" s="10" t="s">
        <v>111</v>
      </c>
      <c r="AW126" s="8"/>
    </row>
    <row r="127" spans="1:49" x14ac:dyDescent="0.15">
      <c r="A127" s="11" t="s">
        <v>78</v>
      </c>
      <c r="B127" s="12" t="s">
        <v>57</v>
      </c>
      <c r="C127" s="10" t="s">
        <v>62</v>
      </c>
      <c r="D127" s="10" t="s">
        <v>63</v>
      </c>
      <c r="E127" s="9">
        <v>134</v>
      </c>
      <c r="F127" s="9">
        <v>134</v>
      </c>
      <c r="G127" s="9">
        <v>3</v>
      </c>
      <c r="H127" s="10" t="s">
        <v>63</v>
      </c>
      <c r="I127" s="9">
        <v>1</v>
      </c>
      <c r="J127" s="9">
        <v>0.46492649900028499</v>
      </c>
      <c r="K127" s="10" t="s">
        <v>51</v>
      </c>
      <c r="L127" s="9">
        <v>3</v>
      </c>
      <c r="M127" s="9">
        <v>134</v>
      </c>
      <c r="N127" s="9">
        <v>134</v>
      </c>
      <c r="O127" s="9">
        <v>27</v>
      </c>
      <c r="P127" s="9">
        <v>149.75244862500401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9">
        <v>149.742738083994</v>
      </c>
      <c r="AC127" s="9">
        <v>149.75244862500401</v>
      </c>
      <c r="AD127" s="9">
        <v>150.23514095899</v>
      </c>
      <c r="AE127" s="9">
        <v>150.23514095899</v>
      </c>
      <c r="AF127" s="9">
        <v>150.23514095899</v>
      </c>
      <c r="AG127" s="9">
        <v>150.70381816699199</v>
      </c>
      <c r="AH127" s="10" t="s">
        <v>63</v>
      </c>
      <c r="AI127" s="9">
        <v>1</v>
      </c>
      <c r="AJ127" s="9">
        <v>0.46492649900028499</v>
      </c>
      <c r="AK127" s="10" t="s">
        <v>51</v>
      </c>
      <c r="AL127" s="8"/>
      <c r="AM127" s="8"/>
      <c r="AN127" s="8"/>
      <c r="AO127" s="9">
        <v>5</v>
      </c>
      <c r="AP127" s="9">
        <v>1</v>
      </c>
      <c r="AQ127" s="10" t="s">
        <v>110</v>
      </c>
      <c r="AR127" s="10" t="s">
        <v>53</v>
      </c>
      <c r="AS127" s="8"/>
      <c r="AT127" s="10" t="s">
        <v>54</v>
      </c>
      <c r="AU127" s="9">
        <v>121.002689767825</v>
      </c>
      <c r="AV127" s="10" t="s">
        <v>111</v>
      </c>
      <c r="AW127" s="8"/>
    </row>
    <row r="128" spans="1:49" x14ac:dyDescent="0.15">
      <c r="A128" s="11" t="s">
        <v>56</v>
      </c>
      <c r="B128" s="12" t="s">
        <v>57</v>
      </c>
      <c r="C128" s="10" t="s">
        <v>62</v>
      </c>
      <c r="D128" s="10" t="s">
        <v>63</v>
      </c>
      <c r="E128" s="9">
        <v>136</v>
      </c>
      <c r="F128" s="9">
        <v>136</v>
      </c>
      <c r="G128" s="9">
        <v>3</v>
      </c>
      <c r="H128" s="10" t="s">
        <v>63</v>
      </c>
      <c r="I128" s="9">
        <v>1</v>
      </c>
      <c r="J128" s="9">
        <v>0.32643141600419801</v>
      </c>
      <c r="K128" s="10" t="s">
        <v>51</v>
      </c>
      <c r="L128" s="9">
        <v>3</v>
      </c>
      <c r="M128" s="9">
        <v>136</v>
      </c>
      <c r="N128" s="9">
        <v>136</v>
      </c>
      <c r="O128" s="9">
        <v>17</v>
      </c>
      <c r="P128" s="9">
        <v>151.540686791996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9">
        <v>151.531093708996</v>
      </c>
      <c r="AC128" s="9">
        <v>151.540686791996</v>
      </c>
      <c r="AD128" s="9">
        <v>152.02753279199499</v>
      </c>
      <c r="AE128" s="9">
        <v>152.02753279199499</v>
      </c>
      <c r="AF128" s="9">
        <v>152.02753279199499</v>
      </c>
      <c r="AG128" s="9">
        <v>152.359773584001</v>
      </c>
      <c r="AH128" s="10" t="s">
        <v>63</v>
      </c>
      <c r="AI128" s="9">
        <v>1</v>
      </c>
      <c r="AJ128" s="9">
        <v>0.32643141600419801</v>
      </c>
      <c r="AK128" s="10" t="s">
        <v>51</v>
      </c>
      <c r="AL128" s="8"/>
      <c r="AM128" s="8"/>
      <c r="AN128" s="8"/>
      <c r="AO128" s="9">
        <v>5</v>
      </c>
      <c r="AP128" s="9">
        <v>1</v>
      </c>
      <c r="AQ128" s="10" t="s">
        <v>110</v>
      </c>
      <c r="AR128" s="10" t="s">
        <v>53</v>
      </c>
      <c r="AS128" s="8"/>
      <c r="AT128" s="10" t="s">
        <v>54</v>
      </c>
      <c r="AU128" s="9">
        <v>121.002689767825</v>
      </c>
      <c r="AV128" s="10" t="s">
        <v>111</v>
      </c>
      <c r="AW128" s="8"/>
    </row>
    <row r="129" spans="1:49" x14ac:dyDescent="0.15">
      <c r="A129" s="11" t="s">
        <v>84</v>
      </c>
      <c r="B129" s="12" t="s">
        <v>57</v>
      </c>
      <c r="C129" s="10" t="s">
        <v>62</v>
      </c>
      <c r="D129" s="10" t="s">
        <v>63</v>
      </c>
      <c r="E129" s="9">
        <v>141</v>
      </c>
      <c r="F129" s="9">
        <v>141</v>
      </c>
      <c r="G129" s="9">
        <v>3</v>
      </c>
      <c r="H129" s="10" t="s">
        <v>63</v>
      </c>
      <c r="I129" s="9">
        <v>1</v>
      </c>
      <c r="J129" s="9">
        <v>0.29330649900657602</v>
      </c>
      <c r="K129" s="10" t="s">
        <v>51</v>
      </c>
      <c r="L129" s="9">
        <v>3</v>
      </c>
      <c r="M129" s="9">
        <v>141</v>
      </c>
      <c r="N129" s="9">
        <v>141</v>
      </c>
      <c r="O129" s="9">
        <v>21</v>
      </c>
      <c r="P129" s="9">
        <v>155.967599541997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9">
        <v>155.95849212499201</v>
      </c>
      <c r="AC129" s="9">
        <v>155.967599541997</v>
      </c>
      <c r="AD129" s="9">
        <v>156.45194479200299</v>
      </c>
      <c r="AE129" s="9">
        <v>156.45194479200299</v>
      </c>
      <c r="AF129" s="9">
        <v>156.45194479200299</v>
      </c>
      <c r="AG129" s="9">
        <v>156.75362679199301</v>
      </c>
      <c r="AH129" s="10" t="s">
        <v>63</v>
      </c>
      <c r="AI129" s="9">
        <v>1</v>
      </c>
      <c r="AJ129" s="9">
        <v>0.29330649900657602</v>
      </c>
      <c r="AK129" s="10" t="s">
        <v>51</v>
      </c>
      <c r="AL129" s="8"/>
      <c r="AM129" s="8"/>
      <c r="AN129" s="8"/>
      <c r="AO129" s="9">
        <v>5</v>
      </c>
      <c r="AP129" s="9">
        <v>1</v>
      </c>
      <c r="AQ129" s="10" t="s">
        <v>110</v>
      </c>
      <c r="AR129" s="10" t="s">
        <v>53</v>
      </c>
      <c r="AS129" s="8"/>
      <c r="AT129" s="10" t="s">
        <v>54</v>
      </c>
      <c r="AU129" s="9">
        <v>121.002689767825</v>
      </c>
      <c r="AV129" s="10" t="s">
        <v>111</v>
      </c>
      <c r="AW129" s="8"/>
    </row>
    <row r="130" spans="1:49" x14ac:dyDescent="0.15">
      <c r="A130" s="11" t="s">
        <v>71</v>
      </c>
      <c r="B130" s="12" t="s">
        <v>57</v>
      </c>
      <c r="C130" s="10" t="s">
        <v>58</v>
      </c>
      <c r="D130" s="10" t="s">
        <v>59</v>
      </c>
      <c r="E130" s="9">
        <v>143</v>
      </c>
      <c r="F130" s="9">
        <v>143</v>
      </c>
      <c r="G130" s="9">
        <v>2</v>
      </c>
      <c r="H130" s="10" t="s">
        <v>59</v>
      </c>
      <c r="I130" s="9">
        <v>1</v>
      </c>
      <c r="J130" s="9">
        <v>0.37634820801031299</v>
      </c>
      <c r="K130" s="10" t="s">
        <v>51</v>
      </c>
      <c r="L130" s="9">
        <v>2</v>
      </c>
      <c r="M130" s="9">
        <v>143</v>
      </c>
      <c r="N130" s="9">
        <v>143</v>
      </c>
      <c r="O130" s="9">
        <v>28</v>
      </c>
      <c r="P130" s="9">
        <v>157.66736912500301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9">
        <v>157.65857916699301</v>
      </c>
      <c r="AC130" s="9">
        <v>157.66736912500301</v>
      </c>
      <c r="AD130" s="9">
        <v>158.151748374992</v>
      </c>
      <c r="AE130" s="9">
        <v>158.151748374992</v>
      </c>
      <c r="AF130" s="9">
        <v>158.151748374992</v>
      </c>
      <c r="AG130" s="9">
        <v>158.53739091700101</v>
      </c>
      <c r="AH130" s="10" t="s">
        <v>59</v>
      </c>
      <c r="AI130" s="9">
        <v>1</v>
      </c>
      <c r="AJ130" s="9">
        <v>0.37634820801031299</v>
      </c>
      <c r="AK130" s="10" t="s">
        <v>51</v>
      </c>
      <c r="AL130" s="8"/>
      <c r="AM130" s="8"/>
      <c r="AN130" s="8"/>
      <c r="AO130" s="9">
        <v>5</v>
      </c>
      <c r="AP130" s="9">
        <v>1</v>
      </c>
      <c r="AQ130" s="10" t="s">
        <v>110</v>
      </c>
      <c r="AR130" s="10" t="s">
        <v>53</v>
      </c>
      <c r="AS130" s="8"/>
      <c r="AT130" s="10" t="s">
        <v>54</v>
      </c>
      <c r="AU130" s="9">
        <v>121.002689767825</v>
      </c>
      <c r="AV130" s="10" t="s">
        <v>111</v>
      </c>
      <c r="AW130" s="8"/>
    </row>
    <row r="131" spans="1:49" x14ac:dyDescent="0.15">
      <c r="A131" s="11" t="s">
        <v>75</v>
      </c>
      <c r="B131" s="12" t="s">
        <v>57</v>
      </c>
      <c r="C131" s="10" t="s">
        <v>62</v>
      </c>
      <c r="D131" s="10" t="s">
        <v>63</v>
      </c>
      <c r="E131" s="9">
        <v>145</v>
      </c>
      <c r="F131" s="9">
        <v>145</v>
      </c>
      <c r="G131" s="9">
        <v>2</v>
      </c>
      <c r="H131" s="10" t="s">
        <v>63</v>
      </c>
      <c r="I131" s="9">
        <v>1</v>
      </c>
      <c r="J131" s="9">
        <v>0.293047248997027</v>
      </c>
      <c r="K131" s="10" t="s">
        <v>51</v>
      </c>
      <c r="L131" s="9">
        <v>2</v>
      </c>
      <c r="M131" s="9">
        <v>145</v>
      </c>
      <c r="N131" s="9">
        <v>145</v>
      </c>
      <c r="O131" s="9">
        <v>19</v>
      </c>
      <c r="P131" s="9">
        <v>159.468533459003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9">
        <v>159.45908366699601</v>
      </c>
      <c r="AC131" s="9">
        <v>159.468533459003</v>
      </c>
      <c r="AD131" s="9">
        <v>159.95202845899601</v>
      </c>
      <c r="AE131" s="9">
        <v>159.95202845899601</v>
      </c>
      <c r="AF131" s="9">
        <v>159.95202845899601</v>
      </c>
      <c r="AG131" s="9">
        <v>160.254073791992</v>
      </c>
      <c r="AH131" s="10" t="s">
        <v>63</v>
      </c>
      <c r="AI131" s="9">
        <v>1</v>
      </c>
      <c r="AJ131" s="9">
        <v>0.293047248997027</v>
      </c>
      <c r="AK131" s="10" t="s">
        <v>51</v>
      </c>
      <c r="AL131" s="8"/>
      <c r="AM131" s="8"/>
      <c r="AN131" s="8"/>
      <c r="AO131" s="9">
        <v>5</v>
      </c>
      <c r="AP131" s="9">
        <v>1</v>
      </c>
      <c r="AQ131" s="10" t="s">
        <v>110</v>
      </c>
      <c r="AR131" s="10" t="s">
        <v>53</v>
      </c>
      <c r="AS131" s="8"/>
      <c r="AT131" s="10" t="s">
        <v>54</v>
      </c>
      <c r="AU131" s="9">
        <v>121.002689767825</v>
      </c>
      <c r="AV131" s="10" t="s">
        <v>111</v>
      </c>
      <c r="AW131" s="8"/>
    </row>
    <row r="132" spans="1:49" x14ac:dyDescent="0.15">
      <c r="A132" s="11" t="s">
        <v>56</v>
      </c>
      <c r="B132" s="12" t="s">
        <v>57</v>
      </c>
      <c r="C132" s="10" t="s">
        <v>58</v>
      </c>
      <c r="D132" s="10" t="s">
        <v>59</v>
      </c>
      <c r="E132" s="9">
        <v>153</v>
      </c>
      <c r="F132" s="9">
        <v>153</v>
      </c>
      <c r="G132" s="9">
        <v>2</v>
      </c>
      <c r="H132" s="10" t="s">
        <v>59</v>
      </c>
      <c r="I132" s="9">
        <v>1</v>
      </c>
      <c r="J132" s="9">
        <v>0.39397429100063203</v>
      </c>
      <c r="K132" s="10" t="s">
        <v>51</v>
      </c>
      <c r="L132" s="9">
        <v>2</v>
      </c>
      <c r="M132" s="9">
        <v>153</v>
      </c>
      <c r="N132" s="9">
        <v>153</v>
      </c>
      <c r="O132" s="9">
        <v>16</v>
      </c>
      <c r="P132" s="9">
        <v>167.01867574999099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9">
        <v>167.009267292</v>
      </c>
      <c r="AC132" s="9">
        <v>167.01867574999099</v>
      </c>
      <c r="AD132" s="9">
        <v>167.502383333995</v>
      </c>
      <c r="AE132" s="9">
        <v>167.502383333995</v>
      </c>
      <c r="AF132" s="9">
        <v>167.502383333995</v>
      </c>
      <c r="AG132" s="9">
        <v>167.90434633399099</v>
      </c>
      <c r="AH132" s="10" t="s">
        <v>59</v>
      </c>
      <c r="AI132" s="9">
        <v>1</v>
      </c>
      <c r="AJ132" s="9">
        <v>0.39397429100063203</v>
      </c>
      <c r="AK132" s="10" t="s">
        <v>51</v>
      </c>
      <c r="AL132" s="8"/>
      <c r="AM132" s="8"/>
      <c r="AN132" s="8"/>
      <c r="AO132" s="9">
        <v>5</v>
      </c>
      <c r="AP132" s="9">
        <v>1</v>
      </c>
      <c r="AQ132" s="10" t="s">
        <v>110</v>
      </c>
      <c r="AR132" s="10" t="s">
        <v>53</v>
      </c>
      <c r="AS132" s="8"/>
      <c r="AT132" s="10" t="s">
        <v>54</v>
      </c>
      <c r="AU132" s="9">
        <v>121.002689767825</v>
      </c>
      <c r="AV132" s="10" t="s">
        <v>111</v>
      </c>
      <c r="AW132" s="8"/>
    </row>
    <row r="133" spans="1:49" x14ac:dyDescent="0.15">
      <c r="A133" s="11" t="s">
        <v>72</v>
      </c>
      <c r="B133" s="12" t="s">
        <v>57</v>
      </c>
      <c r="C133" s="10" t="s">
        <v>62</v>
      </c>
      <c r="D133" s="10" t="s">
        <v>63</v>
      </c>
      <c r="E133" s="9">
        <v>154</v>
      </c>
      <c r="F133" s="9">
        <v>154</v>
      </c>
      <c r="G133" s="9">
        <v>2</v>
      </c>
      <c r="H133" s="10" t="s">
        <v>63</v>
      </c>
      <c r="I133" s="9">
        <v>1</v>
      </c>
      <c r="J133" s="9">
        <v>0.39466199999151302</v>
      </c>
      <c r="K133" s="10" t="s">
        <v>51</v>
      </c>
      <c r="L133" s="9">
        <v>2</v>
      </c>
      <c r="M133" s="9">
        <v>154</v>
      </c>
      <c r="N133" s="9">
        <v>154</v>
      </c>
      <c r="O133" s="9">
        <v>25</v>
      </c>
      <c r="P133" s="9">
        <v>167.91883075000101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9">
        <v>167.909322624997</v>
      </c>
      <c r="AC133" s="9">
        <v>167.91883075000101</v>
      </c>
      <c r="AD133" s="9">
        <v>168.40268962499999</v>
      </c>
      <c r="AE133" s="9">
        <v>168.40268962499999</v>
      </c>
      <c r="AF133" s="9">
        <v>168.40268962499999</v>
      </c>
      <c r="AG133" s="9">
        <v>168.804205374996</v>
      </c>
      <c r="AH133" s="10" t="s">
        <v>63</v>
      </c>
      <c r="AI133" s="9">
        <v>1</v>
      </c>
      <c r="AJ133" s="9">
        <v>0.39466199999151302</v>
      </c>
      <c r="AK133" s="10" t="s">
        <v>51</v>
      </c>
      <c r="AL133" s="8"/>
      <c r="AM133" s="8"/>
      <c r="AN133" s="8"/>
      <c r="AO133" s="9">
        <v>5</v>
      </c>
      <c r="AP133" s="9">
        <v>1</v>
      </c>
      <c r="AQ133" s="10" t="s">
        <v>110</v>
      </c>
      <c r="AR133" s="10" t="s">
        <v>53</v>
      </c>
      <c r="AS133" s="8"/>
      <c r="AT133" s="10" t="s">
        <v>54</v>
      </c>
      <c r="AU133" s="9">
        <v>121.002689767825</v>
      </c>
      <c r="AV133" s="10" t="s">
        <v>111</v>
      </c>
      <c r="AW133" s="8"/>
    </row>
    <row r="134" spans="1:49" x14ac:dyDescent="0.15">
      <c r="A134" s="11" t="s">
        <v>78</v>
      </c>
      <c r="B134" s="12" t="s">
        <v>57</v>
      </c>
      <c r="C134" s="10" t="s">
        <v>58</v>
      </c>
      <c r="D134" s="10" t="s">
        <v>59</v>
      </c>
      <c r="E134" s="9">
        <v>159</v>
      </c>
      <c r="F134" s="9">
        <v>159</v>
      </c>
      <c r="G134" s="9">
        <v>3</v>
      </c>
      <c r="H134" s="10" t="s">
        <v>59</v>
      </c>
      <c r="I134" s="9">
        <v>1</v>
      </c>
      <c r="J134" s="9">
        <v>0.38492133301042503</v>
      </c>
      <c r="K134" s="10" t="s">
        <v>51</v>
      </c>
      <c r="L134" s="9">
        <v>3</v>
      </c>
      <c r="M134" s="9">
        <v>159</v>
      </c>
      <c r="N134" s="9">
        <v>159</v>
      </c>
      <c r="O134" s="9">
        <v>26</v>
      </c>
      <c r="P134" s="9">
        <v>172.38506816700101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9">
        <v>172.375588124996</v>
      </c>
      <c r="AC134" s="9">
        <v>172.38506816700101</v>
      </c>
      <c r="AD134" s="9">
        <v>172.86945124999301</v>
      </c>
      <c r="AE134" s="9">
        <v>172.86945124999301</v>
      </c>
      <c r="AF134" s="9">
        <v>172.86945124999301</v>
      </c>
      <c r="AG134" s="9">
        <v>173.260211917004</v>
      </c>
      <c r="AH134" s="10" t="s">
        <v>59</v>
      </c>
      <c r="AI134" s="9">
        <v>1</v>
      </c>
      <c r="AJ134" s="9">
        <v>0.38492133301042503</v>
      </c>
      <c r="AK134" s="10" t="s">
        <v>51</v>
      </c>
      <c r="AL134" s="8"/>
      <c r="AM134" s="8"/>
      <c r="AN134" s="8"/>
      <c r="AO134" s="9">
        <v>5</v>
      </c>
      <c r="AP134" s="9">
        <v>1</v>
      </c>
      <c r="AQ134" s="10" t="s">
        <v>110</v>
      </c>
      <c r="AR134" s="10" t="s">
        <v>53</v>
      </c>
      <c r="AS134" s="8"/>
      <c r="AT134" s="10" t="s">
        <v>54</v>
      </c>
      <c r="AU134" s="9">
        <v>121.002689767825</v>
      </c>
      <c r="AV134" s="10" t="s">
        <v>111</v>
      </c>
      <c r="AW134" s="8"/>
    </row>
    <row r="135" spans="1:49" x14ac:dyDescent="0.15">
      <c r="A135" s="11" t="s">
        <v>75</v>
      </c>
      <c r="B135" s="12" t="s">
        <v>57</v>
      </c>
      <c r="C135" s="10" t="s">
        <v>58</v>
      </c>
      <c r="D135" s="10" t="s">
        <v>59</v>
      </c>
      <c r="E135" s="9">
        <v>163</v>
      </c>
      <c r="F135" s="9">
        <v>163</v>
      </c>
      <c r="G135" s="9">
        <v>3</v>
      </c>
      <c r="H135" s="10" t="s">
        <v>59</v>
      </c>
      <c r="I135" s="9">
        <v>1</v>
      </c>
      <c r="J135" s="9">
        <v>0.320872249998502</v>
      </c>
      <c r="K135" s="10" t="s">
        <v>51</v>
      </c>
      <c r="L135" s="9">
        <v>3</v>
      </c>
      <c r="M135" s="9">
        <v>163</v>
      </c>
      <c r="N135" s="9">
        <v>163</v>
      </c>
      <c r="O135" s="9">
        <v>18</v>
      </c>
      <c r="P135" s="9">
        <v>176.19228541699701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9">
        <v>176.18239429200199</v>
      </c>
      <c r="AC135" s="9">
        <v>176.19228541699701</v>
      </c>
      <c r="AD135" s="9">
        <v>176.67866574999101</v>
      </c>
      <c r="AE135" s="9">
        <v>176.67866574999101</v>
      </c>
      <c r="AF135" s="9">
        <v>176.67866574999101</v>
      </c>
      <c r="AG135" s="9">
        <v>177.004382999992</v>
      </c>
      <c r="AH135" s="10" t="s">
        <v>59</v>
      </c>
      <c r="AI135" s="9">
        <v>1</v>
      </c>
      <c r="AJ135" s="9">
        <v>0.320872249998502</v>
      </c>
      <c r="AK135" s="10" t="s">
        <v>51</v>
      </c>
      <c r="AL135" s="8"/>
      <c r="AM135" s="8"/>
      <c r="AN135" s="8"/>
      <c r="AO135" s="9">
        <v>5</v>
      </c>
      <c r="AP135" s="9">
        <v>1</v>
      </c>
      <c r="AQ135" s="10" t="s">
        <v>110</v>
      </c>
      <c r="AR135" s="10" t="s">
        <v>53</v>
      </c>
      <c r="AS135" s="8"/>
      <c r="AT135" s="10" t="s">
        <v>54</v>
      </c>
      <c r="AU135" s="9">
        <v>121.002689767825</v>
      </c>
      <c r="AV135" s="10" t="s">
        <v>111</v>
      </c>
      <c r="AW135" s="8"/>
    </row>
    <row r="136" spans="1:49" x14ac:dyDescent="0.15">
      <c r="A136" s="11" t="s">
        <v>68</v>
      </c>
      <c r="B136" s="12" t="s">
        <v>57</v>
      </c>
      <c r="C136" s="10" t="s">
        <v>62</v>
      </c>
      <c r="D136" s="10" t="s">
        <v>63</v>
      </c>
      <c r="E136" s="9">
        <v>164</v>
      </c>
      <c r="F136" s="9">
        <v>164</v>
      </c>
      <c r="G136" s="9">
        <v>3</v>
      </c>
      <c r="H136" s="10" t="s">
        <v>63</v>
      </c>
      <c r="I136" s="9">
        <v>1</v>
      </c>
      <c r="J136" s="9">
        <v>0.41675408299488498</v>
      </c>
      <c r="K136" s="10" t="s">
        <v>51</v>
      </c>
      <c r="L136" s="9">
        <v>3</v>
      </c>
      <c r="M136" s="9">
        <v>164</v>
      </c>
      <c r="N136" s="9">
        <v>164</v>
      </c>
      <c r="O136" s="9">
        <v>23</v>
      </c>
      <c r="P136" s="9">
        <v>177.019037249993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9">
        <v>177.009711084</v>
      </c>
      <c r="AC136" s="9">
        <v>177.019037249993</v>
      </c>
      <c r="AD136" s="9">
        <v>177.50266583399201</v>
      </c>
      <c r="AE136" s="9">
        <v>177.50266583399201</v>
      </c>
      <c r="AF136" s="9">
        <v>177.50266583399201</v>
      </c>
      <c r="AG136" s="9">
        <v>177.92115424999801</v>
      </c>
      <c r="AH136" s="10" t="s">
        <v>63</v>
      </c>
      <c r="AI136" s="9">
        <v>1</v>
      </c>
      <c r="AJ136" s="9">
        <v>0.41675408299488498</v>
      </c>
      <c r="AK136" s="10" t="s">
        <v>51</v>
      </c>
      <c r="AL136" s="8"/>
      <c r="AM136" s="8"/>
      <c r="AN136" s="8"/>
      <c r="AO136" s="9">
        <v>5</v>
      </c>
      <c r="AP136" s="9">
        <v>1</v>
      </c>
      <c r="AQ136" s="10" t="s">
        <v>110</v>
      </c>
      <c r="AR136" s="10" t="s">
        <v>53</v>
      </c>
      <c r="AS136" s="8"/>
      <c r="AT136" s="10" t="s">
        <v>54</v>
      </c>
      <c r="AU136" s="9">
        <v>121.002689767825</v>
      </c>
      <c r="AV136" s="10" t="s">
        <v>111</v>
      </c>
      <c r="AW136" s="8"/>
    </row>
    <row r="137" spans="1:49" x14ac:dyDescent="0.15">
      <c r="A137" s="11" t="s">
        <v>65</v>
      </c>
      <c r="B137" s="12" t="s">
        <v>57</v>
      </c>
      <c r="C137" s="10" t="s">
        <v>58</v>
      </c>
      <c r="D137" s="10" t="s">
        <v>59</v>
      </c>
      <c r="E137" s="9">
        <v>171</v>
      </c>
      <c r="F137" s="9">
        <v>171</v>
      </c>
      <c r="G137" s="9">
        <v>4</v>
      </c>
      <c r="H137" s="10" t="s">
        <v>59</v>
      </c>
      <c r="I137" s="9">
        <v>1</v>
      </c>
      <c r="J137" s="9">
        <v>0.49005524899985198</v>
      </c>
      <c r="K137" s="10" t="s">
        <v>51</v>
      </c>
      <c r="L137" s="9">
        <v>4</v>
      </c>
      <c r="M137" s="9">
        <v>171</v>
      </c>
      <c r="N137" s="9">
        <v>171</v>
      </c>
      <c r="O137" s="9">
        <v>30</v>
      </c>
      <c r="P137" s="9">
        <v>184.13578729199099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9">
        <v>184.126606958991</v>
      </c>
      <c r="AC137" s="9">
        <v>184.13578729199099</v>
      </c>
      <c r="AD137" s="9">
        <v>184.619582333995</v>
      </c>
      <c r="AE137" s="9">
        <v>184.619582333995</v>
      </c>
      <c r="AF137" s="9">
        <v>184.619582333995</v>
      </c>
      <c r="AG137" s="9">
        <v>185.121060499994</v>
      </c>
      <c r="AH137" s="10" t="s">
        <v>59</v>
      </c>
      <c r="AI137" s="9">
        <v>1</v>
      </c>
      <c r="AJ137" s="9">
        <v>0.49005524899985198</v>
      </c>
      <c r="AK137" s="10" t="s">
        <v>51</v>
      </c>
      <c r="AL137" s="8"/>
      <c r="AM137" s="8"/>
      <c r="AN137" s="8"/>
      <c r="AO137" s="9">
        <v>5</v>
      </c>
      <c r="AP137" s="9">
        <v>1</v>
      </c>
      <c r="AQ137" s="10" t="s">
        <v>110</v>
      </c>
      <c r="AR137" s="10" t="s">
        <v>53</v>
      </c>
      <c r="AS137" s="8"/>
      <c r="AT137" s="10" t="s">
        <v>54</v>
      </c>
      <c r="AU137" s="9">
        <v>121.002689767825</v>
      </c>
      <c r="AV137" s="10" t="s">
        <v>111</v>
      </c>
      <c r="AW137" s="8"/>
    </row>
    <row r="138" spans="1:49" x14ac:dyDescent="0.15">
      <c r="A138" s="11" t="s">
        <v>75</v>
      </c>
      <c r="B138" s="12" t="s">
        <v>57</v>
      </c>
      <c r="C138" s="10" t="s">
        <v>62</v>
      </c>
      <c r="D138" s="10" t="s">
        <v>63</v>
      </c>
      <c r="E138" s="9">
        <v>174</v>
      </c>
      <c r="F138" s="9">
        <v>174</v>
      </c>
      <c r="G138" s="9">
        <v>3</v>
      </c>
      <c r="H138" s="10" t="s">
        <v>63</v>
      </c>
      <c r="I138" s="9">
        <v>1</v>
      </c>
      <c r="J138" s="9">
        <v>0.32316720699600399</v>
      </c>
      <c r="K138" s="10" t="s">
        <v>51</v>
      </c>
      <c r="L138" s="9">
        <v>3</v>
      </c>
      <c r="M138" s="9">
        <v>174</v>
      </c>
      <c r="N138" s="9">
        <v>174</v>
      </c>
      <c r="O138" s="9">
        <v>19</v>
      </c>
      <c r="P138" s="9">
        <v>187.000637334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9">
        <v>186.99157537499599</v>
      </c>
      <c r="AC138" s="9">
        <v>187.000637334</v>
      </c>
      <c r="AD138" s="9">
        <v>187.48659000000001</v>
      </c>
      <c r="AE138" s="9">
        <v>187.48659000000001</v>
      </c>
      <c r="AF138" s="9">
        <v>187.48659000000001</v>
      </c>
      <c r="AG138" s="9">
        <v>187.82160095899599</v>
      </c>
      <c r="AH138" s="10" t="s">
        <v>63</v>
      </c>
      <c r="AI138" s="9">
        <v>1</v>
      </c>
      <c r="AJ138" s="9">
        <v>0.32316720699600399</v>
      </c>
      <c r="AK138" s="10" t="s">
        <v>51</v>
      </c>
      <c r="AL138" s="8"/>
      <c r="AM138" s="8"/>
      <c r="AN138" s="8"/>
      <c r="AO138" s="9">
        <v>5</v>
      </c>
      <c r="AP138" s="9">
        <v>1</v>
      </c>
      <c r="AQ138" s="10" t="s">
        <v>110</v>
      </c>
      <c r="AR138" s="10" t="s">
        <v>53</v>
      </c>
      <c r="AS138" s="8"/>
      <c r="AT138" s="10" t="s">
        <v>54</v>
      </c>
      <c r="AU138" s="9">
        <v>121.002689767825</v>
      </c>
      <c r="AV138" s="10" t="s">
        <v>111</v>
      </c>
      <c r="AW138" s="8"/>
    </row>
    <row r="139" spans="1:49" x14ac:dyDescent="0.15">
      <c r="A139" s="11" t="s">
        <v>56</v>
      </c>
      <c r="B139" s="12" t="s">
        <v>57</v>
      </c>
      <c r="C139" s="10" t="s">
        <v>58</v>
      </c>
      <c r="D139" s="10" t="s">
        <v>59</v>
      </c>
      <c r="E139" s="9">
        <v>177</v>
      </c>
      <c r="F139" s="9">
        <v>177</v>
      </c>
      <c r="G139" s="9">
        <v>3</v>
      </c>
      <c r="H139" s="10" t="s">
        <v>59</v>
      </c>
      <c r="I139" s="9">
        <v>1</v>
      </c>
      <c r="J139" s="9">
        <v>0.33694183299667202</v>
      </c>
      <c r="K139" s="10" t="s">
        <v>51</v>
      </c>
      <c r="L139" s="9">
        <v>3</v>
      </c>
      <c r="M139" s="9">
        <v>177</v>
      </c>
      <c r="N139" s="9">
        <v>177</v>
      </c>
      <c r="O139" s="9">
        <v>16</v>
      </c>
      <c r="P139" s="9">
        <v>189.536725833997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9">
        <v>189.52731387499099</v>
      </c>
      <c r="AC139" s="9">
        <v>189.536725833997</v>
      </c>
      <c r="AD139" s="9">
        <v>190.01964345900299</v>
      </c>
      <c r="AE139" s="9">
        <v>190.01964345900299</v>
      </c>
      <c r="AF139" s="9">
        <v>190.01964345900299</v>
      </c>
      <c r="AG139" s="9">
        <v>190.36099041700101</v>
      </c>
      <c r="AH139" s="10" t="s">
        <v>59</v>
      </c>
      <c r="AI139" s="9">
        <v>1</v>
      </c>
      <c r="AJ139" s="9">
        <v>0.33694183299667202</v>
      </c>
      <c r="AK139" s="10" t="s">
        <v>51</v>
      </c>
      <c r="AL139" s="8"/>
      <c r="AM139" s="8"/>
      <c r="AN139" s="8"/>
      <c r="AO139" s="9">
        <v>5</v>
      </c>
      <c r="AP139" s="9">
        <v>1</v>
      </c>
      <c r="AQ139" s="10" t="s">
        <v>110</v>
      </c>
      <c r="AR139" s="10" t="s">
        <v>53</v>
      </c>
      <c r="AS139" s="8"/>
      <c r="AT139" s="10" t="s">
        <v>54</v>
      </c>
      <c r="AU139" s="9">
        <v>121.002689767825</v>
      </c>
      <c r="AV139" s="10" t="s">
        <v>111</v>
      </c>
      <c r="AW139" s="8"/>
    </row>
    <row r="140" spans="1:49" x14ac:dyDescent="0.15">
      <c r="A140" s="11" t="s">
        <v>68</v>
      </c>
      <c r="B140" s="12" t="s">
        <v>57</v>
      </c>
      <c r="C140" s="10" t="s">
        <v>58</v>
      </c>
      <c r="D140" s="10" t="s">
        <v>59</v>
      </c>
      <c r="E140" s="9">
        <v>184</v>
      </c>
      <c r="F140" s="9">
        <v>184</v>
      </c>
      <c r="G140" s="9">
        <v>2</v>
      </c>
      <c r="H140" s="10" t="s">
        <v>59</v>
      </c>
      <c r="I140" s="9">
        <v>1</v>
      </c>
      <c r="J140" s="9">
        <v>0.33936558300047198</v>
      </c>
      <c r="K140" s="10" t="s">
        <v>51</v>
      </c>
      <c r="L140" s="9">
        <v>2</v>
      </c>
      <c r="M140" s="9">
        <v>184</v>
      </c>
      <c r="N140" s="9">
        <v>184</v>
      </c>
      <c r="O140" s="9">
        <v>22</v>
      </c>
      <c r="P140" s="9">
        <v>195.64250704199401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9">
        <v>195.631360041996</v>
      </c>
      <c r="AC140" s="9">
        <v>195.64250704199401</v>
      </c>
      <c r="AD140" s="9">
        <v>196.12862645900199</v>
      </c>
      <c r="AE140" s="9">
        <v>196.12862645900199</v>
      </c>
      <c r="AF140" s="9">
        <v>196.12862645900199</v>
      </c>
      <c r="AG140" s="9">
        <v>196.47201433399499</v>
      </c>
      <c r="AH140" s="10" t="s">
        <v>59</v>
      </c>
      <c r="AI140" s="9">
        <v>1</v>
      </c>
      <c r="AJ140" s="9">
        <v>0.33936558300047198</v>
      </c>
      <c r="AK140" s="10" t="s">
        <v>51</v>
      </c>
      <c r="AL140" s="8"/>
      <c r="AM140" s="8"/>
      <c r="AN140" s="8"/>
      <c r="AO140" s="9">
        <v>5</v>
      </c>
      <c r="AP140" s="9">
        <v>1</v>
      </c>
      <c r="AQ140" s="10" t="s">
        <v>110</v>
      </c>
      <c r="AR140" s="10" t="s">
        <v>53</v>
      </c>
      <c r="AS140" s="8"/>
      <c r="AT140" s="10" t="s">
        <v>54</v>
      </c>
      <c r="AU140" s="9">
        <v>121.002689767825</v>
      </c>
      <c r="AV140" s="10" t="s">
        <v>111</v>
      </c>
      <c r="AW140" s="8"/>
    </row>
    <row r="141" spans="1:49" x14ac:dyDescent="0.15">
      <c r="A141" s="11" t="s">
        <v>68</v>
      </c>
      <c r="B141" s="12" t="s">
        <v>57</v>
      </c>
      <c r="C141" s="10" t="s">
        <v>58</v>
      </c>
      <c r="D141" s="10" t="s">
        <v>59</v>
      </c>
      <c r="E141" s="9">
        <v>185</v>
      </c>
      <c r="F141" s="9">
        <v>185</v>
      </c>
      <c r="G141" s="9">
        <v>3</v>
      </c>
      <c r="H141" s="10" t="s">
        <v>59</v>
      </c>
      <c r="I141" s="9">
        <v>1</v>
      </c>
      <c r="J141" s="9">
        <v>0.317887457000325</v>
      </c>
      <c r="K141" s="10" t="s">
        <v>51</v>
      </c>
      <c r="L141" s="9">
        <v>3</v>
      </c>
      <c r="M141" s="9">
        <v>185</v>
      </c>
      <c r="N141" s="9">
        <v>185</v>
      </c>
      <c r="O141" s="9">
        <v>22</v>
      </c>
      <c r="P141" s="9">
        <v>196.484547542001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9">
        <v>196.47310887499799</v>
      </c>
      <c r="AC141" s="9">
        <v>196.484547542001</v>
      </c>
      <c r="AD141" s="9">
        <v>196.969891749992</v>
      </c>
      <c r="AE141" s="9">
        <v>196.969891749992</v>
      </c>
      <c r="AF141" s="9">
        <v>196.969891749992</v>
      </c>
      <c r="AG141" s="9">
        <v>197.295117999995</v>
      </c>
      <c r="AH141" s="10" t="s">
        <v>59</v>
      </c>
      <c r="AI141" s="9">
        <v>1</v>
      </c>
      <c r="AJ141" s="9">
        <v>0.317887457000325</v>
      </c>
      <c r="AK141" s="10" t="s">
        <v>51</v>
      </c>
      <c r="AL141" s="8"/>
      <c r="AM141" s="8"/>
      <c r="AN141" s="8"/>
      <c r="AO141" s="9">
        <v>5</v>
      </c>
      <c r="AP141" s="9">
        <v>1</v>
      </c>
      <c r="AQ141" s="10" t="s">
        <v>110</v>
      </c>
      <c r="AR141" s="10" t="s">
        <v>53</v>
      </c>
      <c r="AS141" s="8"/>
      <c r="AT141" s="10" t="s">
        <v>54</v>
      </c>
      <c r="AU141" s="9">
        <v>121.002689767825</v>
      </c>
      <c r="AV141" s="10" t="s">
        <v>111</v>
      </c>
      <c r="AW141" s="8"/>
    </row>
    <row r="142" spans="1:49" x14ac:dyDescent="0.15">
      <c r="A142" s="11" t="s">
        <v>65</v>
      </c>
      <c r="B142" s="12" t="s">
        <v>57</v>
      </c>
      <c r="C142" s="10" t="s">
        <v>62</v>
      </c>
      <c r="D142" s="10" t="s">
        <v>63</v>
      </c>
      <c r="E142" s="9">
        <v>190</v>
      </c>
      <c r="F142" s="9">
        <v>190</v>
      </c>
      <c r="G142" s="9">
        <v>4</v>
      </c>
      <c r="H142" s="10" t="s">
        <v>59</v>
      </c>
      <c r="I142" s="9">
        <v>0</v>
      </c>
      <c r="J142" s="9">
        <v>0.49901904100261202</v>
      </c>
      <c r="K142" s="10" t="s">
        <v>51</v>
      </c>
      <c r="L142" s="9">
        <v>4</v>
      </c>
      <c r="M142" s="9">
        <v>190</v>
      </c>
      <c r="N142" s="9">
        <v>190</v>
      </c>
      <c r="O142" s="9">
        <v>31</v>
      </c>
      <c r="P142" s="9">
        <v>201.15364112499799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9">
        <v>201.143730958996</v>
      </c>
      <c r="AC142" s="9">
        <v>201.15364112499799</v>
      </c>
      <c r="AD142" s="9">
        <v>201.63701641699299</v>
      </c>
      <c r="AE142" s="9">
        <v>201.63701641699299</v>
      </c>
      <c r="AF142" s="9">
        <v>201.63701641699299</v>
      </c>
      <c r="AG142" s="9">
        <v>202.13899979199101</v>
      </c>
      <c r="AH142" s="10" t="s">
        <v>59</v>
      </c>
      <c r="AI142" s="9">
        <v>0</v>
      </c>
      <c r="AJ142" s="9">
        <v>0.49901904100261202</v>
      </c>
      <c r="AK142" s="10" t="s">
        <v>51</v>
      </c>
      <c r="AL142" s="8"/>
      <c r="AM142" s="8"/>
      <c r="AN142" s="8"/>
      <c r="AO142" s="9">
        <v>5</v>
      </c>
      <c r="AP142" s="9">
        <v>1</v>
      </c>
      <c r="AQ142" s="10" t="s">
        <v>110</v>
      </c>
      <c r="AR142" s="10" t="s">
        <v>53</v>
      </c>
      <c r="AS142" s="8"/>
      <c r="AT142" s="10" t="s">
        <v>54</v>
      </c>
      <c r="AU142" s="9">
        <v>121.002689767825</v>
      </c>
      <c r="AV142" s="10" t="s">
        <v>111</v>
      </c>
      <c r="AW142" s="8"/>
    </row>
    <row r="143" spans="1:49" x14ac:dyDescent="0.15">
      <c r="A143" s="11" t="s">
        <v>56</v>
      </c>
      <c r="B143" s="12" t="s">
        <v>57</v>
      </c>
      <c r="C143" s="10" t="s">
        <v>58</v>
      </c>
      <c r="D143" s="10" t="s">
        <v>59</v>
      </c>
      <c r="E143" s="9">
        <v>191</v>
      </c>
      <c r="F143" s="9">
        <v>191</v>
      </c>
      <c r="G143" s="9">
        <v>4</v>
      </c>
      <c r="H143" s="10" t="s">
        <v>63</v>
      </c>
      <c r="I143" s="9">
        <v>0</v>
      </c>
      <c r="J143" s="9">
        <v>0.75408179100486505</v>
      </c>
      <c r="K143" s="10" t="s">
        <v>51</v>
      </c>
      <c r="L143" s="9">
        <v>4</v>
      </c>
      <c r="M143" s="9">
        <v>191</v>
      </c>
      <c r="N143" s="9">
        <v>191</v>
      </c>
      <c r="O143" s="9">
        <v>16</v>
      </c>
      <c r="P143" s="9">
        <v>202.152792209003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9">
        <v>202.143682209004</v>
      </c>
      <c r="AC143" s="9">
        <v>202.152792209003</v>
      </c>
      <c r="AD143" s="9">
        <v>202.636821791995</v>
      </c>
      <c r="AE143" s="9">
        <v>202.636821791995</v>
      </c>
      <c r="AF143" s="9">
        <v>202.636821791995</v>
      </c>
      <c r="AG143" s="9">
        <v>203.39471716700101</v>
      </c>
      <c r="AH143" s="10" t="s">
        <v>63</v>
      </c>
      <c r="AI143" s="9">
        <v>0</v>
      </c>
      <c r="AJ143" s="9">
        <v>0.75408179100486505</v>
      </c>
      <c r="AK143" s="10" t="s">
        <v>51</v>
      </c>
      <c r="AL143" s="8"/>
      <c r="AM143" s="8"/>
      <c r="AN143" s="8"/>
      <c r="AO143" s="9">
        <v>5</v>
      </c>
      <c r="AP143" s="9">
        <v>1</v>
      </c>
      <c r="AQ143" s="10" t="s">
        <v>110</v>
      </c>
      <c r="AR143" s="10" t="s">
        <v>53</v>
      </c>
      <c r="AS143" s="8"/>
      <c r="AT143" s="10" t="s">
        <v>54</v>
      </c>
      <c r="AU143" s="9">
        <v>121.002689767825</v>
      </c>
      <c r="AV143" s="10" t="s">
        <v>111</v>
      </c>
      <c r="AW143" s="8"/>
    </row>
    <row r="144" spans="1:49" x14ac:dyDescent="0.15">
      <c r="A144" s="11" t="s">
        <v>78</v>
      </c>
      <c r="B144" s="12" t="s">
        <v>57</v>
      </c>
      <c r="C144" s="10" t="s">
        <v>62</v>
      </c>
      <c r="D144" s="10" t="s">
        <v>63</v>
      </c>
      <c r="E144" s="9">
        <v>199</v>
      </c>
      <c r="F144" s="9">
        <v>199</v>
      </c>
      <c r="G144" s="9">
        <v>4</v>
      </c>
      <c r="H144" s="10" t="s">
        <v>63</v>
      </c>
      <c r="I144" s="9">
        <v>1</v>
      </c>
      <c r="J144" s="9">
        <v>0.291047833001358</v>
      </c>
      <c r="K144" s="10" t="s">
        <v>51</v>
      </c>
      <c r="L144" s="9">
        <v>4</v>
      </c>
      <c r="M144" s="9">
        <v>199</v>
      </c>
      <c r="N144" s="9">
        <v>199</v>
      </c>
      <c r="O144" s="9">
        <v>27</v>
      </c>
      <c r="P144" s="9">
        <v>209.925349875004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9">
        <v>209.91601458400001</v>
      </c>
      <c r="AC144" s="9">
        <v>209.925349875004</v>
      </c>
      <c r="AD144" s="9">
        <v>210.41302274999899</v>
      </c>
      <c r="AE144" s="9">
        <v>210.41302274999899</v>
      </c>
      <c r="AF144" s="9">
        <v>210.41302274999899</v>
      </c>
      <c r="AG144" s="9">
        <v>210.705569333993</v>
      </c>
      <c r="AH144" s="10" t="s">
        <v>63</v>
      </c>
      <c r="AI144" s="9">
        <v>1</v>
      </c>
      <c r="AJ144" s="9">
        <v>0.291047833001358</v>
      </c>
      <c r="AK144" s="10" t="s">
        <v>51</v>
      </c>
      <c r="AL144" s="8"/>
      <c r="AM144" s="8"/>
      <c r="AN144" s="8"/>
      <c r="AO144" s="9">
        <v>5</v>
      </c>
      <c r="AP144" s="9">
        <v>1</v>
      </c>
      <c r="AQ144" s="10" t="s">
        <v>110</v>
      </c>
      <c r="AR144" s="10" t="s">
        <v>53</v>
      </c>
      <c r="AS144" s="8"/>
      <c r="AT144" s="10" t="s">
        <v>54</v>
      </c>
      <c r="AU144" s="9">
        <v>121.002689767825</v>
      </c>
      <c r="AV144" s="10" t="s">
        <v>111</v>
      </c>
      <c r="AW144" s="8"/>
    </row>
    <row r="145" spans="1:49" x14ac:dyDescent="0.15">
      <c r="A145" s="11" t="s">
        <v>56</v>
      </c>
      <c r="B145" s="12" t="s">
        <v>57</v>
      </c>
      <c r="C145" s="10" t="s">
        <v>62</v>
      </c>
      <c r="D145" s="10" t="s">
        <v>63</v>
      </c>
      <c r="E145" s="9">
        <v>200</v>
      </c>
      <c r="F145" s="9">
        <v>200</v>
      </c>
      <c r="G145" s="9">
        <v>4</v>
      </c>
      <c r="H145" s="10" t="s">
        <v>63</v>
      </c>
      <c r="I145" s="9">
        <v>1</v>
      </c>
      <c r="J145" s="9">
        <v>0.37836066599993501</v>
      </c>
      <c r="K145" s="10" t="s">
        <v>51</v>
      </c>
      <c r="L145" s="9">
        <v>4</v>
      </c>
      <c r="M145" s="9">
        <v>200</v>
      </c>
      <c r="N145" s="9">
        <v>200</v>
      </c>
      <c r="O145" s="9">
        <v>17</v>
      </c>
      <c r="P145" s="9">
        <v>210.719463250003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9">
        <v>210.71031679199999</v>
      </c>
      <c r="AC145" s="9">
        <v>210.719463250003</v>
      </c>
      <c r="AD145" s="9">
        <v>211.203837958994</v>
      </c>
      <c r="AE145" s="9">
        <v>211.203837958994</v>
      </c>
      <c r="AF145" s="9">
        <v>211.203837958994</v>
      </c>
      <c r="AG145" s="9">
        <v>211.588991833996</v>
      </c>
      <c r="AH145" s="10" t="s">
        <v>63</v>
      </c>
      <c r="AI145" s="9">
        <v>1</v>
      </c>
      <c r="AJ145" s="9">
        <v>0.37836066599993501</v>
      </c>
      <c r="AK145" s="10" t="s">
        <v>51</v>
      </c>
      <c r="AL145" s="8"/>
      <c r="AM145" s="8"/>
      <c r="AN145" s="8"/>
      <c r="AO145" s="9">
        <v>5</v>
      </c>
      <c r="AP145" s="9">
        <v>1</v>
      </c>
      <c r="AQ145" s="10" t="s">
        <v>110</v>
      </c>
      <c r="AR145" s="10" t="s">
        <v>53</v>
      </c>
      <c r="AS145" s="8"/>
      <c r="AT145" s="10" t="s">
        <v>54</v>
      </c>
      <c r="AU145" s="9">
        <v>121.002689767825</v>
      </c>
      <c r="AV145" s="10" t="s">
        <v>111</v>
      </c>
      <c r="AW145" s="8"/>
    </row>
    <row r="146" spans="1:49" x14ac:dyDescent="0.15">
      <c r="A146" s="11" t="s">
        <v>68</v>
      </c>
      <c r="B146" s="12" t="s">
        <v>57</v>
      </c>
      <c r="C146" s="10" t="s">
        <v>62</v>
      </c>
      <c r="D146" s="10" t="s">
        <v>63</v>
      </c>
      <c r="E146" s="9">
        <v>202</v>
      </c>
      <c r="F146" s="9">
        <v>202</v>
      </c>
      <c r="G146" s="9">
        <v>4</v>
      </c>
      <c r="H146" s="10" t="s">
        <v>63</v>
      </c>
      <c r="I146" s="9">
        <v>1</v>
      </c>
      <c r="J146" s="9">
        <v>0.28295270701346498</v>
      </c>
      <c r="K146" s="10" t="s">
        <v>51</v>
      </c>
      <c r="L146" s="9">
        <v>4</v>
      </c>
      <c r="M146" s="9">
        <v>202</v>
      </c>
      <c r="N146" s="9">
        <v>202</v>
      </c>
      <c r="O146" s="9">
        <v>23</v>
      </c>
      <c r="P146" s="9">
        <v>212.519579583997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9">
        <v>212.51044683399999</v>
      </c>
      <c r="AC146" s="9">
        <v>212.519579583997</v>
      </c>
      <c r="AD146" s="9">
        <v>213.00415466699599</v>
      </c>
      <c r="AE146" s="9">
        <v>213.00415466699599</v>
      </c>
      <c r="AF146" s="9">
        <v>213.00415466699599</v>
      </c>
      <c r="AG146" s="9">
        <v>213.28933562499901</v>
      </c>
      <c r="AH146" s="10" t="s">
        <v>63</v>
      </c>
      <c r="AI146" s="9">
        <v>1</v>
      </c>
      <c r="AJ146" s="9">
        <v>0.28295270701346498</v>
      </c>
      <c r="AK146" s="10" t="s">
        <v>51</v>
      </c>
      <c r="AL146" s="8"/>
      <c r="AM146" s="8"/>
      <c r="AN146" s="8"/>
      <c r="AO146" s="9">
        <v>5</v>
      </c>
      <c r="AP146" s="9">
        <v>1</v>
      </c>
      <c r="AQ146" s="10" t="s">
        <v>110</v>
      </c>
      <c r="AR146" s="10" t="s">
        <v>53</v>
      </c>
      <c r="AS146" s="8"/>
      <c r="AT146" s="10" t="s">
        <v>54</v>
      </c>
      <c r="AU146" s="9">
        <v>121.002689767825</v>
      </c>
      <c r="AV146" s="10" t="s">
        <v>111</v>
      </c>
      <c r="AW146" s="8"/>
    </row>
    <row r="147" spans="1:49" x14ac:dyDescent="0.15">
      <c r="A147" s="11" t="s">
        <v>71</v>
      </c>
      <c r="B147" s="12" t="s">
        <v>57</v>
      </c>
      <c r="C147" s="10" t="s">
        <v>58</v>
      </c>
      <c r="D147" s="10" t="s">
        <v>59</v>
      </c>
      <c r="E147" s="9">
        <v>203</v>
      </c>
      <c r="F147" s="9">
        <v>203</v>
      </c>
      <c r="G147" s="9">
        <v>3</v>
      </c>
      <c r="H147" s="10" t="s">
        <v>59</v>
      </c>
      <c r="I147" s="9">
        <v>1</v>
      </c>
      <c r="J147" s="9">
        <v>0.61603124999965098</v>
      </c>
      <c r="K147" s="10" t="s">
        <v>51</v>
      </c>
      <c r="L147" s="9">
        <v>3</v>
      </c>
      <c r="M147" s="9">
        <v>203</v>
      </c>
      <c r="N147" s="9">
        <v>203</v>
      </c>
      <c r="O147" s="9">
        <v>28</v>
      </c>
      <c r="P147" s="9">
        <v>213.30415445899399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9">
        <v>213.294775834001</v>
      </c>
      <c r="AC147" s="9">
        <v>213.30415445899399</v>
      </c>
      <c r="AD147" s="9">
        <v>213.78715716699699</v>
      </c>
      <c r="AE147" s="9">
        <v>213.78715716699699</v>
      </c>
      <c r="AF147" s="9">
        <v>213.78715716699699</v>
      </c>
      <c r="AG147" s="9">
        <v>214.406027124991</v>
      </c>
      <c r="AH147" s="10" t="s">
        <v>59</v>
      </c>
      <c r="AI147" s="9">
        <v>1</v>
      </c>
      <c r="AJ147" s="9">
        <v>0.61603124999965098</v>
      </c>
      <c r="AK147" s="10" t="s">
        <v>51</v>
      </c>
      <c r="AL147" s="8"/>
      <c r="AM147" s="8"/>
      <c r="AN147" s="8"/>
      <c r="AO147" s="9">
        <v>5</v>
      </c>
      <c r="AP147" s="9">
        <v>1</v>
      </c>
      <c r="AQ147" s="10" t="s">
        <v>110</v>
      </c>
      <c r="AR147" s="10" t="s">
        <v>53</v>
      </c>
      <c r="AS147" s="8"/>
      <c r="AT147" s="10" t="s">
        <v>54</v>
      </c>
      <c r="AU147" s="9">
        <v>121.002689767825</v>
      </c>
      <c r="AV147" s="10" t="s">
        <v>111</v>
      </c>
      <c r="AW147" s="8"/>
    </row>
    <row r="148" spans="1:49" x14ac:dyDescent="0.15">
      <c r="A148" s="11" t="s">
        <v>84</v>
      </c>
      <c r="B148" s="12" t="s">
        <v>57</v>
      </c>
      <c r="C148" s="10" t="s">
        <v>58</v>
      </c>
      <c r="D148" s="10" t="s">
        <v>59</v>
      </c>
      <c r="E148" s="9">
        <v>204</v>
      </c>
      <c r="F148" s="9">
        <v>204</v>
      </c>
      <c r="G148" s="9">
        <v>2</v>
      </c>
      <c r="H148" s="10" t="s">
        <v>59</v>
      </c>
      <c r="I148" s="9">
        <v>1</v>
      </c>
      <c r="J148" s="9">
        <v>0.31432049899012798</v>
      </c>
      <c r="K148" s="10" t="s">
        <v>51</v>
      </c>
      <c r="L148" s="9">
        <v>2</v>
      </c>
      <c r="M148" s="9">
        <v>204</v>
      </c>
      <c r="N148" s="9">
        <v>204</v>
      </c>
      <c r="O148" s="9">
        <v>20</v>
      </c>
      <c r="P148" s="9">
        <v>214.42041129199799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9">
        <v>214.41121962499199</v>
      </c>
      <c r="AC148" s="9">
        <v>214.42041129199799</v>
      </c>
      <c r="AD148" s="9">
        <v>214.90390037499299</v>
      </c>
      <c r="AE148" s="9">
        <v>214.90390037499299</v>
      </c>
      <c r="AF148" s="9">
        <v>214.90390037499299</v>
      </c>
      <c r="AG148" s="9">
        <v>215.22254379199899</v>
      </c>
      <c r="AH148" s="10" t="s">
        <v>59</v>
      </c>
      <c r="AI148" s="9">
        <v>1</v>
      </c>
      <c r="AJ148" s="9">
        <v>0.31432049899012798</v>
      </c>
      <c r="AK148" s="10" t="s">
        <v>51</v>
      </c>
      <c r="AL148" s="8"/>
      <c r="AM148" s="8"/>
      <c r="AN148" s="8"/>
      <c r="AO148" s="9">
        <v>5</v>
      </c>
      <c r="AP148" s="9">
        <v>1</v>
      </c>
      <c r="AQ148" s="10" t="s">
        <v>110</v>
      </c>
      <c r="AR148" s="10" t="s">
        <v>53</v>
      </c>
      <c r="AS148" s="8"/>
      <c r="AT148" s="10" t="s">
        <v>54</v>
      </c>
      <c r="AU148" s="9">
        <v>121.002689767825</v>
      </c>
      <c r="AV148" s="10" t="s">
        <v>111</v>
      </c>
      <c r="AW148" s="8"/>
    </row>
    <row r="149" spans="1:49" x14ac:dyDescent="0.15">
      <c r="A149" s="11" t="s">
        <v>75</v>
      </c>
      <c r="B149" s="12" t="s">
        <v>57</v>
      </c>
      <c r="C149" s="10" t="s">
        <v>62</v>
      </c>
      <c r="D149" s="10" t="s">
        <v>63</v>
      </c>
      <c r="E149" s="9">
        <v>206</v>
      </c>
      <c r="F149" s="9">
        <v>206</v>
      </c>
      <c r="G149" s="9">
        <v>4</v>
      </c>
      <c r="H149" s="10" t="s">
        <v>63</v>
      </c>
      <c r="I149" s="9">
        <v>1</v>
      </c>
      <c r="J149" s="9">
        <v>0.64214779100439101</v>
      </c>
      <c r="K149" s="10" t="s">
        <v>51</v>
      </c>
      <c r="L149" s="9">
        <v>4</v>
      </c>
      <c r="M149" s="9">
        <v>206</v>
      </c>
      <c r="N149" s="9">
        <v>206</v>
      </c>
      <c r="O149" s="9">
        <v>19</v>
      </c>
      <c r="P149" s="9">
        <v>216.07668179199399</v>
      </c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9">
        <v>216.06676529199501</v>
      </c>
      <c r="AC149" s="9">
        <v>216.07668179199399</v>
      </c>
      <c r="AD149" s="9">
        <v>216.562950666994</v>
      </c>
      <c r="AE149" s="9">
        <v>216.562950666994</v>
      </c>
      <c r="AF149" s="9">
        <v>216.562950666994</v>
      </c>
      <c r="AG149" s="9">
        <v>217.211676084</v>
      </c>
      <c r="AH149" s="10" t="s">
        <v>63</v>
      </c>
      <c r="AI149" s="9">
        <v>1</v>
      </c>
      <c r="AJ149" s="9">
        <v>0.64214779100439101</v>
      </c>
      <c r="AK149" s="10" t="s">
        <v>51</v>
      </c>
      <c r="AL149" s="8"/>
      <c r="AM149" s="8"/>
      <c r="AN149" s="8"/>
      <c r="AO149" s="9">
        <v>5</v>
      </c>
      <c r="AP149" s="9">
        <v>1</v>
      </c>
      <c r="AQ149" s="10" t="s">
        <v>110</v>
      </c>
      <c r="AR149" s="10" t="s">
        <v>53</v>
      </c>
      <c r="AS149" s="8"/>
      <c r="AT149" s="10" t="s">
        <v>54</v>
      </c>
      <c r="AU149" s="9">
        <v>121.002689767825</v>
      </c>
      <c r="AV149" s="10" t="s">
        <v>111</v>
      </c>
      <c r="AW149" s="8"/>
    </row>
    <row r="150" spans="1:49" x14ac:dyDescent="0.15">
      <c r="A150" s="11" t="s">
        <v>78</v>
      </c>
      <c r="B150" s="12" t="s">
        <v>57</v>
      </c>
      <c r="C150" s="10" t="s">
        <v>58</v>
      </c>
      <c r="D150" s="10" t="s">
        <v>59</v>
      </c>
      <c r="E150" s="9">
        <v>208</v>
      </c>
      <c r="F150" s="9">
        <v>208</v>
      </c>
      <c r="G150" s="9">
        <v>4</v>
      </c>
      <c r="H150" s="10" t="s">
        <v>63</v>
      </c>
      <c r="I150" s="9">
        <v>0</v>
      </c>
      <c r="J150" s="9">
        <v>0.37740983298863301</v>
      </c>
      <c r="K150" s="10" t="s">
        <v>51</v>
      </c>
      <c r="L150" s="9">
        <v>4</v>
      </c>
      <c r="M150" s="9">
        <v>208</v>
      </c>
      <c r="N150" s="9">
        <v>208</v>
      </c>
      <c r="O150" s="9">
        <v>26</v>
      </c>
      <c r="P150" s="9">
        <v>218.087516125001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9">
        <v>218.078286666991</v>
      </c>
      <c r="AC150" s="9">
        <v>218.087516125001</v>
      </c>
      <c r="AD150" s="9">
        <v>218.570769500002</v>
      </c>
      <c r="AE150" s="9">
        <v>218.570769500002</v>
      </c>
      <c r="AF150" s="9">
        <v>218.570769500002</v>
      </c>
      <c r="AG150" s="9">
        <v>218.956006624998</v>
      </c>
      <c r="AH150" s="10" t="s">
        <v>63</v>
      </c>
      <c r="AI150" s="9">
        <v>0</v>
      </c>
      <c r="AJ150" s="9">
        <v>0.37740983298863301</v>
      </c>
      <c r="AK150" s="10" t="s">
        <v>51</v>
      </c>
      <c r="AL150" s="8"/>
      <c r="AM150" s="8"/>
      <c r="AN150" s="8"/>
      <c r="AO150" s="9">
        <v>5</v>
      </c>
      <c r="AP150" s="9">
        <v>1</v>
      </c>
      <c r="AQ150" s="10" t="s">
        <v>110</v>
      </c>
      <c r="AR150" s="10" t="s">
        <v>53</v>
      </c>
      <c r="AS150" s="8"/>
      <c r="AT150" s="10" t="s">
        <v>54</v>
      </c>
      <c r="AU150" s="9">
        <v>121.002689767825</v>
      </c>
      <c r="AV150" s="10" t="s">
        <v>111</v>
      </c>
      <c r="AW150" s="8"/>
    </row>
    <row r="151" spans="1:49" x14ac:dyDescent="0.15">
      <c r="A151" s="11" t="s">
        <v>68</v>
      </c>
      <c r="B151" s="12" t="s">
        <v>57</v>
      </c>
      <c r="C151" s="10" t="s">
        <v>58</v>
      </c>
      <c r="D151" s="10" t="s">
        <v>59</v>
      </c>
      <c r="E151" s="9">
        <v>209</v>
      </c>
      <c r="F151" s="9">
        <v>209</v>
      </c>
      <c r="G151" s="9">
        <v>4</v>
      </c>
      <c r="H151" s="10" t="s">
        <v>59</v>
      </c>
      <c r="I151" s="9">
        <v>1</v>
      </c>
      <c r="J151" s="9">
        <v>0.46423712499381498</v>
      </c>
      <c r="K151" s="10" t="s">
        <v>51</v>
      </c>
      <c r="L151" s="9">
        <v>4</v>
      </c>
      <c r="M151" s="9">
        <v>209</v>
      </c>
      <c r="N151" s="9">
        <v>209</v>
      </c>
      <c r="O151" s="9">
        <v>22</v>
      </c>
      <c r="P151" s="9">
        <v>218.97026862499499</v>
      </c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9">
        <v>218.96112866699701</v>
      </c>
      <c r="AC151" s="9">
        <v>218.97026862499499</v>
      </c>
      <c r="AD151" s="9">
        <v>219.45393791700201</v>
      </c>
      <c r="AE151" s="9">
        <v>219.45393791700201</v>
      </c>
      <c r="AF151" s="9">
        <v>219.45393791700201</v>
      </c>
      <c r="AG151" s="9">
        <v>219.92280899999599</v>
      </c>
      <c r="AH151" s="10" t="s">
        <v>59</v>
      </c>
      <c r="AI151" s="9">
        <v>1</v>
      </c>
      <c r="AJ151" s="9">
        <v>0.46423712499381498</v>
      </c>
      <c r="AK151" s="10" t="s">
        <v>51</v>
      </c>
      <c r="AL151" s="8"/>
      <c r="AM151" s="8"/>
      <c r="AN151" s="8"/>
      <c r="AO151" s="9">
        <v>5</v>
      </c>
      <c r="AP151" s="9">
        <v>1</v>
      </c>
      <c r="AQ151" s="10" t="s">
        <v>110</v>
      </c>
      <c r="AR151" s="10" t="s">
        <v>53</v>
      </c>
      <c r="AS151" s="8"/>
      <c r="AT151" s="10" t="s">
        <v>54</v>
      </c>
      <c r="AU151" s="9">
        <v>121.002689767825</v>
      </c>
      <c r="AV151" s="10" t="s">
        <v>111</v>
      </c>
      <c r="AW151" s="8"/>
    </row>
    <row r="152" spans="1:49" x14ac:dyDescent="0.15">
      <c r="A152" s="11" t="s">
        <v>84</v>
      </c>
      <c r="B152" s="12" t="s">
        <v>57</v>
      </c>
      <c r="C152" s="10" t="s">
        <v>62</v>
      </c>
      <c r="D152" s="10" t="s">
        <v>63</v>
      </c>
      <c r="E152" s="9">
        <v>210</v>
      </c>
      <c r="F152" s="9">
        <v>210</v>
      </c>
      <c r="G152" s="9">
        <v>4</v>
      </c>
      <c r="H152" s="10" t="s">
        <v>63</v>
      </c>
      <c r="I152" s="9">
        <v>1</v>
      </c>
      <c r="J152" s="9">
        <v>0.434280957008014</v>
      </c>
      <c r="K152" s="10" t="s">
        <v>51</v>
      </c>
      <c r="L152" s="9">
        <v>4</v>
      </c>
      <c r="M152" s="9">
        <v>210</v>
      </c>
      <c r="N152" s="9">
        <v>210</v>
      </c>
      <c r="O152" s="9">
        <v>21</v>
      </c>
      <c r="P152" s="9">
        <v>219.937170334</v>
      </c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9">
        <v>219.927271541994</v>
      </c>
      <c r="AC152" s="9">
        <v>219.937170334</v>
      </c>
      <c r="AD152" s="9">
        <v>220.420917124997</v>
      </c>
      <c r="AE152" s="9">
        <v>220.420917124997</v>
      </c>
      <c r="AF152" s="9">
        <v>220.420917124997</v>
      </c>
      <c r="AG152" s="9">
        <v>220.862130249996</v>
      </c>
      <c r="AH152" s="10" t="s">
        <v>63</v>
      </c>
      <c r="AI152" s="9">
        <v>1</v>
      </c>
      <c r="AJ152" s="9">
        <v>0.434280957008014</v>
      </c>
      <c r="AK152" s="10" t="s">
        <v>51</v>
      </c>
      <c r="AL152" s="8"/>
      <c r="AM152" s="8"/>
      <c r="AN152" s="8"/>
      <c r="AO152" s="9">
        <v>5</v>
      </c>
      <c r="AP152" s="9">
        <v>1</v>
      </c>
      <c r="AQ152" s="10" t="s">
        <v>110</v>
      </c>
      <c r="AR152" s="10" t="s">
        <v>53</v>
      </c>
      <c r="AS152" s="8"/>
      <c r="AT152" s="10" t="s">
        <v>54</v>
      </c>
      <c r="AU152" s="9">
        <v>121.002689767825</v>
      </c>
      <c r="AV152" s="10" t="s">
        <v>111</v>
      </c>
      <c r="AW152" s="8"/>
    </row>
    <row r="153" spans="1:49" x14ac:dyDescent="0.15">
      <c r="A153" s="11" t="s">
        <v>84</v>
      </c>
      <c r="B153" s="12" t="s">
        <v>57</v>
      </c>
      <c r="C153" s="10" t="s">
        <v>58</v>
      </c>
      <c r="D153" s="10" t="s">
        <v>59</v>
      </c>
      <c r="E153" s="9">
        <v>221</v>
      </c>
      <c r="F153" s="9">
        <v>221</v>
      </c>
      <c r="G153" s="9">
        <v>3</v>
      </c>
      <c r="H153" s="10" t="s">
        <v>59</v>
      </c>
      <c r="I153" s="9">
        <v>1</v>
      </c>
      <c r="J153" s="9">
        <v>0.37995062400295898</v>
      </c>
      <c r="K153" s="10" t="s">
        <v>51</v>
      </c>
      <c r="L153" s="9">
        <v>3</v>
      </c>
      <c r="M153" s="9">
        <v>221</v>
      </c>
      <c r="N153" s="9">
        <v>221</v>
      </c>
      <c r="O153" s="9">
        <v>20</v>
      </c>
      <c r="P153" s="9">
        <v>230.63625612499899</v>
      </c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9">
        <v>230.62696924999199</v>
      </c>
      <c r="AC153" s="9">
        <v>230.63625612499899</v>
      </c>
      <c r="AD153" s="9">
        <v>231.12149974999201</v>
      </c>
      <c r="AE153" s="9">
        <v>231.12149974999201</v>
      </c>
      <c r="AF153" s="9">
        <v>231.12149974999201</v>
      </c>
      <c r="AG153" s="9">
        <v>231.50667291699199</v>
      </c>
      <c r="AH153" s="10" t="s">
        <v>59</v>
      </c>
      <c r="AI153" s="9">
        <v>1</v>
      </c>
      <c r="AJ153" s="9">
        <v>0.37995062400295898</v>
      </c>
      <c r="AK153" s="10" t="s">
        <v>51</v>
      </c>
      <c r="AL153" s="8"/>
      <c r="AM153" s="8"/>
      <c r="AN153" s="8"/>
      <c r="AO153" s="9">
        <v>5</v>
      </c>
      <c r="AP153" s="9">
        <v>1</v>
      </c>
      <c r="AQ153" s="10" t="s">
        <v>110</v>
      </c>
      <c r="AR153" s="10" t="s">
        <v>53</v>
      </c>
      <c r="AS153" s="8"/>
      <c r="AT153" s="10" t="s">
        <v>54</v>
      </c>
      <c r="AU153" s="9">
        <v>121.002689767825</v>
      </c>
      <c r="AV153" s="10" t="s">
        <v>111</v>
      </c>
      <c r="AW153" s="8"/>
    </row>
    <row r="154" spans="1:49" x14ac:dyDescent="0.15">
      <c r="A154" s="11" t="s">
        <v>72</v>
      </c>
      <c r="B154" s="12" t="s">
        <v>57</v>
      </c>
      <c r="C154" s="10" t="s">
        <v>58</v>
      </c>
      <c r="D154" s="10" t="s">
        <v>59</v>
      </c>
      <c r="E154" s="9">
        <v>223</v>
      </c>
      <c r="F154" s="9">
        <v>223</v>
      </c>
      <c r="G154" s="9">
        <v>3</v>
      </c>
      <c r="H154" s="10" t="s">
        <v>59</v>
      </c>
      <c r="I154" s="9">
        <v>1</v>
      </c>
      <c r="J154" s="9">
        <v>0.41355824899801502</v>
      </c>
      <c r="K154" s="10" t="s">
        <v>51</v>
      </c>
      <c r="L154" s="9">
        <v>3</v>
      </c>
      <c r="M154" s="9">
        <v>223</v>
      </c>
      <c r="N154" s="9">
        <v>223</v>
      </c>
      <c r="O154" s="9">
        <v>24</v>
      </c>
      <c r="P154" s="9">
        <v>232.452524124994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9">
        <v>232.443418041992</v>
      </c>
      <c r="AC154" s="9">
        <v>232.452524124994</v>
      </c>
      <c r="AD154" s="9">
        <v>232.938008249999</v>
      </c>
      <c r="AE154" s="9">
        <v>232.938008249999</v>
      </c>
      <c r="AF154" s="9">
        <v>232.938008249999</v>
      </c>
      <c r="AG154" s="9">
        <v>233.356662083999</v>
      </c>
      <c r="AH154" s="10" t="s">
        <v>59</v>
      </c>
      <c r="AI154" s="9">
        <v>1</v>
      </c>
      <c r="AJ154" s="9">
        <v>0.41355824899801502</v>
      </c>
      <c r="AK154" s="10" t="s">
        <v>51</v>
      </c>
      <c r="AL154" s="8"/>
      <c r="AM154" s="8"/>
      <c r="AN154" s="8"/>
      <c r="AO154" s="9">
        <v>5</v>
      </c>
      <c r="AP154" s="9">
        <v>1</v>
      </c>
      <c r="AQ154" s="10" t="s">
        <v>110</v>
      </c>
      <c r="AR154" s="10" t="s">
        <v>53</v>
      </c>
      <c r="AS154" s="8"/>
      <c r="AT154" s="10" t="s">
        <v>54</v>
      </c>
      <c r="AU154" s="9">
        <v>121.002689767825</v>
      </c>
      <c r="AV154" s="10" t="s">
        <v>111</v>
      </c>
      <c r="AW154" s="8"/>
    </row>
    <row r="155" spans="1:49" x14ac:dyDescent="0.15">
      <c r="A155" s="11" t="s">
        <v>71</v>
      </c>
      <c r="B155" s="12" t="s">
        <v>57</v>
      </c>
      <c r="C155" s="10" t="s">
        <v>58</v>
      </c>
      <c r="D155" s="10" t="s">
        <v>59</v>
      </c>
      <c r="E155" s="9">
        <v>226</v>
      </c>
      <c r="F155" s="9">
        <v>226</v>
      </c>
      <c r="G155" s="9">
        <v>4</v>
      </c>
      <c r="H155" s="10" t="s">
        <v>59</v>
      </c>
      <c r="I155" s="9">
        <v>1</v>
      </c>
      <c r="J155" s="9">
        <v>0.29505495799821801</v>
      </c>
      <c r="K155" s="10" t="s">
        <v>51</v>
      </c>
      <c r="L155" s="9">
        <v>4</v>
      </c>
      <c r="M155" s="9">
        <v>226</v>
      </c>
      <c r="N155" s="9">
        <v>226</v>
      </c>
      <c r="O155" s="9">
        <v>28</v>
      </c>
      <c r="P155" s="9">
        <v>235.093527042001</v>
      </c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9">
        <v>235.08336350000201</v>
      </c>
      <c r="AC155" s="9">
        <v>235.093527042001</v>
      </c>
      <c r="AD155" s="9">
        <v>235.58030775000199</v>
      </c>
      <c r="AE155" s="9">
        <v>235.58030775000199</v>
      </c>
      <c r="AF155" s="9">
        <v>235.58030775000199</v>
      </c>
      <c r="AG155" s="9">
        <v>235.87896795899701</v>
      </c>
      <c r="AH155" s="10" t="s">
        <v>59</v>
      </c>
      <c r="AI155" s="9">
        <v>1</v>
      </c>
      <c r="AJ155" s="9">
        <v>0.29505495799821801</v>
      </c>
      <c r="AK155" s="10" t="s">
        <v>51</v>
      </c>
      <c r="AL155" s="8"/>
      <c r="AM155" s="8"/>
      <c r="AN155" s="8"/>
      <c r="AO155" s="9">
        <v>5</v>
      </c>
      <c r="AP155" s="9">
        <v>1</v>
      </c>
      <c r="AQ155" s="10" t="s">
        <v>110</v>
      </c>
      <c r="AR155" s="10" t="s">
        <v>53</v>
      </c>
      <c r="AS155" s="8"/>
      <c r="AT155" s="10" t="s">
        <v>54</v>
      </c>
      <c r="AU155" s="9">
        <v>121.002689767825</v>
      </c>
      <c r="AV155" s="10" t="s">
        <v>111</v>
      </c>
      <c r="AW155" s="8"/>
    </row>
    <row r="156" spans="1:49" x14ac:dyDescent="0.15">
      <c r="A156" s="11" t="s">
        <v>72</v>
      </c>
      <c r="B156" s="12" t="s">
        <v>57</v>
      </c>
      <c r="C156" s="10" t="s">
        <v>62</v>
      </c>
      <c r="D156" s="10" t="s">
        <v>63</v>
      </c>
      <c r="E156" s="9">
        <v>228</v>
      </c>
      <c r="F156" s="9">
        <v>228</v>
      </c>
      <c r="G156" s="9">
        <v>3</v>
      </c>
      <c r="H156" s="10" t="s">
        <v>63</v>
      </c>
      <c r="I156" s="9">
        <v>1</v>
      </c>
      <c r="J156" s="9">
        <v>0.34942054099519698</v>
      </c>
      <c r="K156" s="10" t="s">
        <v>51</v>
      </c>
      <c r="L156" s="9">
        <v>3</v>
      </c>
      <c r="M156" s="9">
        <v>228</v>
      </c>
      <c r="N156" s="9">
        <v>228</v>
      </c>
      <c r="O156" s="9">
        <v>25</v>
      </c>
      <c r="P156" s="9">
        <v>236.80969937499299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9">
        <v>236.80044083399099</v>
      </c>
      <c r="AC156" s="9">
        <v>236.80969937499299</v>
      </c>
      <c r="AD156" s="9">
        <v>237.297017167002</v>
      </c>
      <c r="AE156" s="9">
        <v>237.297017167002</v>
      </c>
      <c r="AF156" s="9">
        <v>237.297017167002</v>
      </c>
      <c r="AG156" s="9">
        <v>237.656622875002</v>
      </c>
      <c r="AH156" s="10" t="s">
        <v>63</v>
      </c>
      <c r="AI156" s="9">
        <v>1</v>
      </c>
      <c r="AJ156" s="9">
        <v>0.34942054099519698</v>
      </c>
      <c r="AK156" s="10" t="s">
        <v>51</v>
      </c>
      <c r="AL156" s="8"/>
      <c r="AM156" s="8"/>
      <c r="AN156" s="8"/>
      <c r="AO156" s="9">
        <v>5</v>
      </c>
      <c r="AP156" s="9">
        <v>1</v>
      </c>
      <c r="AQ156" s="10" t="s">
        <v>110</v>
      </c>
      <c r="AR156" s="10" t="s">
        <v>53</v>
      </c>
      <c r="AS156" s="8"/>
      <c r="AT156" s="10" t="s">
        <v>54</v>
      </c>
      <c r="AU156" s="9">
        <v>121.002689767825</v>
      </c>
      <c r="AV156" s="10" t="s">
        <v>111</v>
      </c>
      <c r="AW156" s="8"/>
    </row>
    <row r="157" spans="1:49" x14ac:dyDescent="0.15">
      <c r="A157" s="11" t="s">
        <v>84</v>
      </c>
      <c r="B157" s="12" t="s">
        <v>57</v>
      </c>
      <c r="C157" s="10" t="s">
        <v>58</v>
      </c>
      <c r="D157" s="10" t="s">
        <v>59</v>
      </c>
      <c r="E157" s="9">
        <v>229</v>
      </c>
      <c r="F157" s="9">
        <v>229</v>
      </c>
      <c r="G157" s="9">
        <v>4</v>
      </c>
      <c r="H157" s="10" t="s">
        <v>59</v>
      </c>
      <c r="I157" s="9">
        <v>1</v>
      </c>
      <c r="J157" s="9">
        <v>0.448670999001479</v>
      </c>
      <c r="K157" s="10" t="s">
        <v>51</v>
      </c>
      <c r="L157" s="9">
        <v>4</v>
      </c>
      <c r="M157" s="9">
        <v>229</v>
      </c>
      <c r="N157" s="9">
        <v>229</v>
      </c>
      <c r="O157" s="9">
        <v>20</v>
      </c>
      <c r="P157" s="9">
        <v>237.67069691700499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9">
        <v>237.661563000001</v>
      </c>
      <c r="AC157" s="9">
        <v>237.67069691700499</v>
      </c>
      <c r="AD157" s="9">
        <v>238.154946541996</v>
      </c>
      <c r="AE157" s="9">
        <v>238.154946541996</v>
      </c>
      <c r="AF157" s="9">
        <v>238.154946541996</v>
      </c>
      <c r="AG157" s="9">
        <v>238.60688133399501</v>
      </c>
      <c r="AH157" s="10" t="s">
        <v>59</v>
      </c>
      <c r="AI157" s="9">
        <v>1</v>
      </c>
      <c r="AJ157" s="9">
        <v>0.448670999001479</v>
      </c>
      <c r="AK157" s="10" t="s">
        <v>51</v>
      </c>
      <c r="AL157" s="8"/>
      <c r="AM157" s="8"/>
      <c r="AN157" s="8"/>
      <c r="AO157" s="9">
        <v>5</v>
      </c>
      <c r="AP157" s="9">
        <v>1</v>
      </c>
      <c r="AQ157" s="10" t="s">
        <v>110</v>
      </c>
      <c r="AR157" s="10" t="s">
        <v>53</v>
      </c>
      <c r="AS157" s="8"/>
      <c r="AT157" s="10" t="s">
        <v>54</v>
      </c>
      <c r="AU157" s="9">
        <v>121.002689767825</v>
      </c>
      <c r="AV157" s="10" t="s">
        <v>111</v>
      </c>
      <c r="AW157" s="8"/>
    </row>
    <row r="158" spans="1:49" x14ac:dyDescent="0.15">
      <c r="A158" s="11" t="s">
        <v>71</v>
      </c>
      <c r="B158" s="12" t="s">
        <v>57</v>
      </c>
      <c r="C158" s="10" t="s">
        <v>62</v>
      </c>
      <c r="D158" s="10" t="s">
        <v>63</v>
      </c>
      <c r="E158" s="9">
        <v>232</v>
      </c>
      <c r="F158" s="9">
        <v>232</v>
      </c>
      <c r="G158" s="9">
        <v>4</v>
      </c>
      <c r="H158" s="10" t="s">
        <v>63</v>
      </c>
      <c r="I158" s="9">
        <v>1</v>
      </c>
      <c r="J158" s="9">
        <v>0.37603562499862198</v>
      </c>
      <c r="K158" s="10" t="s">
        <v>51</v>
      </c>
      <c r="L158" s="9">
        <v>4</v>
      </c>
      <c r="M158" s="9">
        <v>232</v>
      </c>
      <c r="N158" s="9">
        <v>232</v>
      </c>
      <c r="O158" s="9">
        <v>29</v>
      </c>
      <c r="P158" s="9">
        <v>240.393785124994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9">
        <v>240.38391208399801</v>
      </c>
      <c r="AC158" s="9">
        <v>240.393785124994</v>
      </c>
      <c r="AD158" s="9">
        <v>240.881432875001</v>
      </c>
      <c r="AE158" s="9">
        <v>240.881432875001</v>
      </c>
      <c r="AF158" s="9">
        <v>240.881432875001</v>
      </c>
      <c r="AG158" s="9">
        <v>241.26253687500099</v>
      </c>
      <c r="AH158" s="10" t="s">
        <v>63</v>
      </c>
      <c r="AI158" s="9">
        <v>1</v>
      </c>
      <c r="AJ158" s="9">
        <v>0.37603562499862198</v>
      </c>
      <c r="AK158" s="10" t="s">
        <v>51</v>
      </c>
      <c r="AL158" s="8"/>
      <c r="AM158" s="8"/>
      <c r="AN158" s="8"/>
      <c r="AO158" s="9">
        <v>5</v>
      </c>
      <c r="AP158" s="9">
        <v>1</v>
      </c>
      <c r="AQ158" s="10" t="s">
        <v>110</v>
      </c>
      <c r="AR158" s="10" t="s">
        <v>53</v>
      </c>
      <c r="AS158" s="8"/>
      <c r="AT158" s="10" t="s">
        <v>54</v>
      </c>
      <c r="AU158" s="9">
        <v>121.002689767825</v>
      </c>
      <c r="AV158" s="10" t="s">
        <v>111</v>
      </c>
      <c r="AW158" s="8"/>
    </row>
    <row r="159" spans="1:49" x14ac:dyDescent="0.15">
      <c r="A159" s="11" t="s">
        <v>72</v>
      </c>
      <c r="B159" s="12" t="s">
        <v>57</v>
      </c>
      <c r="C159" s="10" t="s">
        <v>62</v>
      </c>
      <c r="D159" s="10" t="s">
        <v>63</v>
      </c>
      <c r="E159" s="9">
        <v>233</v>
      </c>
      <c r="F159" s="9">
        <v>233</v>
      </c>
      <c r="G159" s="9">
        <v>4</v>
      </c>
      <c r="H159" s="10" t="s">
        <v>63</v>
      </c>
      <c r="I159" s="9">
        <v>1</v>
      </c>
      <c r="J159" s="9">
        <v>0.39382099900103601</v>
      </c>
      <c r="K159" s="10" t="s">
        <v>51</v>
      </c>
      <c r="L159" s="9">
        <v>4</v>
      </c>
      <c r="M159" s="9">
        <v>233</v>
      </c>
      <c r="N159" s="9">
        <v>233</v>
      </c>
      <c r="O159" s="9">
        <v>25</v>
      </c>
      <c r="P159" s="9">
        <v>241.27680254199399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9">
        <v>241.26702395899301</v>
      </c>
      <c r="AC159" s="9">
        <v>241.27680254199399</v>
      </c>
      <c r="AD159" s="9">
        <v>241.763702249998</v>
      </c>
      <c r="AE159" s="9">
        <v>241.763702249998</v>
      </c>
      <c r="AF159" s="9">
        <v>241.763702249998</v>
      </c>
      <c r="AG159" s="9">
        <v>242.16249400000399</v>
      </c>
      <c r="AH159" s="10" t="s">
        <v>63</v>
      </c>
      <c r="AI159" s="9">
        <v>1</v>
      </c>
      <c r="AJ159" s="9">
        <v>0.39382099900103601</v>
      </c>
      <c r="AK159" s="10" t="s">
        <v>51</v>
      </c>
      <c r="AL159" s="8"/>
      <c r="AM159" s="8"/>
      <c r="AN159" s="8"/>
      <c r="AO159" s="9">
        <v>5</v>
      </c>
      <c r="AP159" s="9">
        <v>1</v>
      </c>
      <c r="AQ159" s="10" t="s">
        <v>110</v>
      </c>
      <c r="AR159" s="10" t="s">
        <v>53</v>
      </c>
      <c r="AS159" s="8"/>
      <c r="AT159" s="10" t="s">
        <v>54</v>
      </c>
      <c r="AU159" s="9">
        <v>121.002689767825</v>
      </c>
      <c r="AV159" s="10" t="s">
        <v>111</v>
      </c>
      <c r="AW159" s="8"/>
    </row>
    <row r="160" spans="1:49" x14ac:dyDescent="0.15">
      <c r="A160" s="11" t="s">
        <v>75</v>
      </c>
      <c r="B160" s="12" t="s">
        <v>57</v>
      </c>
      <c r="C160" s="10" t="s">
        <v>58</v>
      </c>
      <c r="D160" s="10" t="s">
        <v>59</v>
      </c>
      <c r="E160" s="9">
        <v>235</v>
      </c>
      <c r="F160" s="9">
        <v>235</v>
      </c>
      <c r="G160" s="9">
        <v>4</v>
      </c>
      <c r="H160" s="10" t="s">
        <v>59</v>
      </c>
      <c r="I160" s="9">
        <v>1</v>
      </c>
      <c r="J160" s="9">
        <v>0.29636654099158499</v>
      </c>
      <c r="K160" s="10" t="s">
        <v>51</v>
      </c>
      <c r="L160" s="9">
        <v>4</v>
      </c>
      <c r="M160" s="9">
        <v>235</v>
      </c>
      <c r="N160" s="9">
        <v>235</v>
      </c>
      <c r="O160" s="9">
        <v>18</v>
      </c>
      <c r="P160" s="9">
        <v>243.110850625002</v>
      </c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9">
        <v>243.099755834002</v>
      </c>
      <c r="AC160" s="9">
        <v>243.110850625002</v>
      </c>
      <c r="AD160" s="9">
        <v>243.59720633400099</v>
      </c>
      <c r="AE160" s="9">
        <v>243.59720633400099</v>
      </c>
      <c r="AF160" s="9">
        <v>243.59720633400099</v>
      </c>
      <c r="AG160" s="9">
        <v>243.89633041700301</v>
      </c>
      <c r="AH160" s="10" t="s">
        <v>59</v>
      </c>
      <c r="AI160" s="9">
        <v>1</v>
      </c>
      <c r="AJ160" s="9">
        <v>0.29636654099158499</v>
      </c>
      <c r="AK160" s="10" t="s">
        <v>51</v>
      </c>
      <c r="AL160" s="8"/>
      <c r="AM160" s="8"/>
      <c r="AN160" s="8"/>
      <c r="AO160" s="9">
        <v>5</v>
      </c>
      <c r="AP160" s="9">
        <v>1</v>
      </c>
      <c r="AQ160" s="10" t="s">
        <v>110</v>
      </c>
      <c r="AR160" s="10" t="s">
        <v>53</v>
      </c>
      <c r="AS160" s="8"/>
      <c r="AT160" s="10" t="s">
        <v>54</v>
      </c>
      <c r="AU160" s="9">
        <v>121.002689767825</v>
      </c>
      <c r="AV160" s="10" t="s">
        <v>111</v>
      </c>
      <c r="AW160" s="8"/>
    </row>
    <row r="161" spans="1:49" x14ac:dyDescent="0.15">
      <c r="A161" s="11" t="s">
        <v>72</v>
      </c>
      <c r="B161" s="12" t="s">
        <v>57</v>
      </c>
      <c r="C161" s="10" t="s">
        <v>58</v>
      </c>
      <c r="D161" s="10" t="s">
        <v>59</v>
      </c>
      <c r="E161" s="9">
        <v>236</v>
      </c>
      <c r="F161" s="9">
        <v>236</v>
      </c>
      <c r="G161" s="9">
        <v>4</v>
      </c>
      <c r="H161" s="10" t="s">
        <v>59</v>
      </c>
      <c r="I161" s="9">
        <v>1</v>
      </c>
      <c r="J161" s="9">
        <v>0.295610873989062</v>
      </c>
      <c r="K161" s="10" t="s">
        <v>51</v>
      </c>
      <c r="L161" s="9">
        <v>4</v>
      </c>
      <c r="M161" s="9">
        <v>236</v>
      </c>
      <c r="N161" s="9">
        <v>236</v>
      </c>
      <c r="O161" s="9">
        <v>24</v>
      </c>
      <c r="P161" s="9">
        <v>243.910234374998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9">
        <v>243.90096229199801</v>
      </c>
      <c r="AC161" s="9">
        <v>243.910234374998</v>
      </c>
      <c r="AD161" s="9">
        <v>244.39804112499399</v>
      </c>
      <c r="AE161" s="9">
        <v>244.39804112499399</v>
      </c>
      <c r="AF161" s="9">
        <v>244.39804112499399</v>
      </c>
      <c r="AG161" s="9">
        <v>244.69579745900401</v>
      </c>
      <c r="AH161" s="10" t="s">
        <v>59</v>
      </c>
      <c r="AI161" s="9">
        <v>1</v>
      </c>
      <c r="AJ161" s="9">
        <v>0.295610873989062</v>
      </c>
      <c r="AK161" s="10" t="s">
        <v>51</v>
      </c>
      <c r="AL161" s="8"/>
      <c r="AM161" s="8"/>
      <c r="AN161" s="8"/>
      <c r="AO161" s="9">
        <v>5</v>
      </c>
      <c r="AP161" s="9">
        <v>1</v>
      </c>
      <c r="AQ161" s="10" t="s">
        <v>110</v>
      </c>
      <c r="AR161" s="10" t="s">
        <v>53</v>
      </c>
      <c r="AS161" s="8"/>
      <c r="AT161" s="10" t="s">
        <v>54</v>
      </c>
      <c r="AU161" s="9">
        <v>121.002689767825</v>
      </c>
      <c r="AV161" s="10" t="s">
        <v>111</v>
      </c>
      <c r="AW161" s="8"/>
    </row>
    <row r="162" spans="1:49" x14ac:dyDescent="0.15">
      <c r="A162" s="11" t="s">
        <v>80</v>
      </c>
      <c r="B162" s="12" t="s">
        <v>67</v>
      </c>
      <c r="C162" s="10" t="s">
        <v>58</v>
      </c>
      <c r="D162" s="10" t="s">
        <v>59</v>
      </c>
      <c r="E162" s="9">
        <v>5</v>
      </c>
      <c r="F162" s="9">
        <v>5</v>
      </c>
      <c r="G162" s="9">
        <v>0</v>
      </c>
      <c r="H162" s="10" t="s">
        <v>59</v>
      </c>
      <c r="I162" s="9">
        <v>1</v>
      </c>
      <c r="J162" s="9">
        <v>0.30591645800450401</v>
      </c>
      <c r="K162" s="10" t="s">
        <v>51</v>
      </c>
      <c r="L162" s="9">
        <v>0</v>
      </c>
      <c r="M162" s="9">
        <v>5</v>
      </c>
      <c r="N162" s="9">
        <v>5</v>
      </c>
      <c r="O162" s="9">
        <v>32</v>
      </c>
      <c r="P162" s="9">
        <v>26.329450334000299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9">
        <v>26.3204848339956</v>
      </c>
      <c r="AC162" s="9">
        <v>26.329450334000299</v>
      </c>
      <c r="AD162" s="9">
        <v>26.813633083991601</v>
      </c>
      <c r="AE162" s="9">
        <v>26.813633083991601</v>
      </c>
      <c r="AF162" s="9">
        <v>26.813633083991601</v>
      </c>
      <c r="AG162" s="9">
        <v>27.1214857500017</v>
      </c>
      <c r="AH162" s="10" t="s">
        <v>59</v>
      </c>
      <c r="AI162" s="9">
        <v>1</v>
      </c>
      <c r="AJ162" s="9">
        <v>0.30591645800450401</v>
      </c>
      <c r="AK162" s="10" t="s">
        <v>51</v>
      </c>
      <c r="AL162" s="8"/>
      <c r="AM162" s="8"/>
      <c r="AN162" s="8"/>
      <c r="AO162" s="9">
        <v>5</v>
      </c>
      <c r="AP162" s="9">
        <v>1</v>
      </c>
      <c r="AQ162" s="10" t="s">
        <v>110</v>
      </c>
      <c r="AR162" s="10" t="s">
        <v>53</v>
      </c>
      <c r="AS162" s="8"/>
      <c r="AT162" s="10" t="s">
        <v>54</v>
      </c>
      <c r="AU162" s="9">
        <v>121.002689767825</v>
      </c>
      <c r="AV162" s="10" t="s">
        <v>111</v>
      </c>
      <c r="AW162" s="8"/>
    </row>
    <row r="163" spans="1:49" x14ac:dyDescent="0.15">
      <c r="A163" s="11" t="s">
        <v>77</v>
      </c>
      <c r="B163" s="12" t="s">
        <v>67</v>
      </c>
      <c r="C163" s="10" t="s">
        <v>62</v>
      </c>
      <c r="D163" s="10" t="s">
        <v>63</v>
      </c>
      <c r="E163" s="9">
        <v>11</v>
      </c>
      <c r="F163" s="9">
        <v>11</v>
      </c>
      <c r="G163" s="9">
        <v>0</v>
      </c>
      <c r="H163" s="10" t="s">
        <v>63</v>
      </c>
      <c r="I163" s="9">
        <v>1</v>
      </c>
      <c r="J163" s="9">
        <v>0.35455399898637602</v>
      </c>
      <c r="K163" s="10" t="s">
        <v>51</v>
      </c>
      <c r="L163" s="9">
        <v>0</v>
      </c>
      <c r="M163" s="9">
        <v>11</v>
      </c>
      <c r="N163" s="9">
        <v>11</v>
      </c>
      <c r="O163" s="9">
        <v>41</v>
      </c>
      <c r="P163" s="9">
        <v>31.963730542003798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9">
        <v>31.954232042000498</v>
      </c>
      <c r="AC163" s="9">
        <v>31.963730542003798</v>
      </c>
      <c r="AD163" s="9">
        <v>32.447115041999503</v>
      </c>
      <c r="AE163" s="9">
        <v>32.447115041999503</v>
      </c>
      <c r="AF163" s="9">
        <v>32.447115041999503</v>
      </c>
      <c r="AG163" s="9">
        <v>32.805117416995898</v>
      </c>
      <c r="AH163" s="10" t="s">
        <v>63</v>
      </c>
      <c r="AI163" s="9">
        <v>1</v>
      </c>
      <c r="AJ163" s="9">
        <v>0.35455399898637602</v>
      </c>
      <c r="AK163" s="10" t="s">
        <v>51</v>
      </c>
      <c r="AL163" s="8"/>
      <c r="AM163" s="8"/>
      <c r="AN163" s="8"/>
      <c r="AO163" s="9">
        <v>5</v>
      </c>
      <c r="AP163" s="9">
        <v>1</v>
      </c>
      <c r="AQ163" s="10" t="s">
        <v>110</v>
      </c>
      <c r="AR163" s="10" t="s">
        <v>53</v>
      </c>
      <c r="AS163" s="8"/>
      <c r="AT163" s="10" t="s">
        <v>54</v>
      </c>
      <c r="AU163" s="9">
        <v>121.002689767825</v>
      </c>
      <c r="AV163" s="10" t="s">
        <v>111</v>
      </c>
      <c r="AW163" s="8"/>
    </row>
    <row r="164" spans="1:49" x14ac:dyDescent="0.15">
      <c r="A164" s="11" t="s">
        <v>66</v>
      </c>
      <c r="B164" s="12" t="s">
        <v>67</v>
      </c>
      <c r="C164" s="10" t="s">
        <v>58</v>
      </c>
      <c r="D164" s="10" t="s">
        <v>59</v>
      </c>
      <c r="E164" s="9">
        <v>13</v>
      </c>
      <c r="F164" s="9">
        <v>13</v>
      </c>
      <c r="G164" s="9">
        <v>0</v>
      </c>
      <c r="H164" s="10" t="s">
        <v>59</v>
      </c>
      <c r="I164" s="9">
        <v>1</v>
      </c>
      <c r="J164" s="9">
        <v>0.317677999002626</v>
      </c>
      <c r="K164" s="10" t="s">
        <v>51</v>
      </c>
      <c r="L164" s="9">
        <v>0</v>
      </c>
      <c r="M164" s="9">
        <v>13</v>
      </c>
      <c r="N164" s="9">
        <v>13</v>
      </c>
      <c r="O164" s="9">
        <v>46</v>
      </c>
      <c r="P164" s="9">
        <v>33.731442749994997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9">
        <v>33.722262791998197</v>
      </c>
      <c r="AC164" s="9">
        <v>33.731442749994997</v>
      </c>
      <c r="AD164" s="9">
        <v>34.214043624990197</v>
      </c>
      <c r="AE164" s="9">
        <v>34.214043624990197</v>
      </c>
      <c r="AF164" s="9">
        <v>34.214043624990197</v>
      </c>
      <c r="AG164" s="9">
        <v>34.538688959000901</v>
      </c>
      <c r="AH164" s="10" t="s">
        <v>59</v>
      </c>
      <c r="AI164" s="9">
        <v>1</v>
      </c>
      <c r="AJ164" s="9">
        <v>0.317677999002626</v>
      </c>
      <c r="AK164" s="10" t="s">
        <v>51</v>
      </c>
      <c r="AL164" s="8"/>
      <c r="AM164" s="8"/>
      <c r="AN164" s="8"/>
      <c r="AO164" s="9">
        <v>5</v>
      </c>
      <c r="AP164" s="9">
        <v>1</v>
      </c>
      <c r="AQ164" s="10" t="s">
        <v>110</v>
      </c>
      <c r="AR164" s="10" t="s">
        <v>53</v>
      </c>
      <c r="AS164" s="8"/>
      <c r="AT164" s="10" t="s">
        <v>54</v>
      </c>
      <c r="AU164" s="9">
        <v>121.002689767825</v>
      </c>
      <c r="AV164" s="10" t="s">
        <v>111</v>
      </c>
      <c r="AW164" s="8"/>
    </row>
    <row r="165" spans="1:49" x14ac:dyDescent="0.15">
      <c r="A165" s="11" t="s">
        <v>86</v>
      </c>
      <c r="B165" s="12" t="s">
        <v>67</v>
      </c>
      <c r="C165" s="10" t="s">
        <v>58</v>
      </c>
      <c r="D165" s="10" t="s">
        <v>59</v>
      </c>
      <c r="E165" s="9">
        <v>16</v>
      </c>
      <c r="F165" s="9">
        <v>16</v>
      </c>
      <c r="G165" s="9">
        <v>0</v>
      </c>
      <c r="H165" s="10" t="s">
        <v>59</v>
      </c>
      <c r="I165" s="9">
        <v>1</v>
      </c>
      <c r="J165" s="9">
        <v>0.27007933300046699</v>
      </c>
      <c r="K165" s="10" t="s">
        <v>51</v>
      </c>
      <c r="L165" s="9">
        <v>0</v>
      </c>
      <c r="M165" s="9">
        <v>16</v>
      </c>
      <c r="N165" s="9">
        <v>16</v>
      </c>
      <c r="O165" s="9">
        <v>34</v>
      </c>
      <c r="P165" s="9">
        <v>36.164190166993698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9">
        <v>36.154936749997397</v>
      </c>
      <c r="AC165" s="9">
        <v>36.164190166993698</v>
      </c>
      <c r="AD165" s="9">
        <v>36.647670416990898</v>
      </c>
      <c r="AE165" s="9">
        <v>36.647670416990898</v>
      </c>
      <c r="AF165" s="9">
        <v>36.647670416990898</v>
      </c>
      <c r="AG165" s="9">
        <v>36.921910124991001</v>
      </c>
      <c r="AH165" s="10" t="s">
        <v>59</v>
      </c>
      <c r="AI165" s="9">
        <v>1</v>
      </c>
      <c r="AJ165" s="9">
        <v>0.27007933300046699</v>
      </c>
      <c r="AK165" s="10" t="s">
        <v>51</v>
      </c>
      <c r="AL165" s="8"/>
      <c r="AM165" s="8"/>
      <c r="AN165" s="8"/>
      <c r="AO165" s="9">
        <v>5</v>
      </c>
      <c r="AP165" s="9">
        <v>1</v>
      </c>
      <c r="AQ165" s="10" t="s">
        <v>110</v>
      </c>
      <c r="AR165" s="10" t="s">
        <v>53</v>
      </c>
      <c r="AS165" s="8"/>
      <c r="AT165" s="10" t="s">
        <v>54</v>
      </c>
      <c r="AU165" s="9">
        <v>121.002689767825</v>
      </c>
      <c r="AV165" s="10" t="s">
        <v>111</v>
      </c>
      <c r="AW165" s="8"/>
    </row>
    <row r="166" spans="1:49" x14ac:dyDescent="0.15">
      <c r="A166" s="11" t="s">
        <v>81</v>
      </c>
      <c r="B166" s="12" t="s">
        <v>67</v>
      </c>
      <c r="C166" s="10" t="s">
        <v>58</v>
      </c>
      <c r="D166" s="10" t="s">
        <v>59</v>
      </c>
      <c r="E166" s="9">
        <v>17</v>
      </c>
      <c r="F166" s="9">
        <v>17</v>
      </c>
      <c r="G166" s="9">
        <v>0</v>
      </c>
      <c r="H166" s="10" t="s">
        <v>59</v>
      </c>
      <c r="I166" s="9">
        <v>1</v>
      </c>
      <c r="J166" s="9">
        <v>0.29201149899745399</v>
      </c>
      <c r="K166" s="10" t="s">
        <v>51</v>
      </c>
      <c r="L166" s="9">
        <v>0</v>
      </c>
      <c r="M166" s="9">
        <v>17</v>
      </c>
      <c r="N166" s="9">
        <v>17</v>
      </c>
      <c r="O166" s="9">
        <v>44</v>
      </c>
      <c r="P166" s="9">
        <v>36.936327999996102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9">
        <v>36.925528291991199</v>
      </c>
      <c r="AC166" s="9">
        <v>36.936327999996102</v>
      </c>
      <c r="AD166" s="9">
        <v>37.4248488750018</v>
      </c>
      <c r="AE166" s="9">
        <v>37.4248488750018</v>
      </c>
      <c r="AF166" s="9">
        <v>37.4248488750018</v>
      </c>
      <c r="AG166" s="9">
        <v>37.7216658340039</v>
      </c>
      <c r="AH166" s="10" t="s">
        <v>59</v>
      </c>
      <c r="AI166" s="9">
        <v>1</v>
      </c>
      <c r="AJ166" s="9">
        <v>0.29201149899745399</v>
      </c>
      <c r="AK166" s="10" t="s">
        <v>51</v>
      </c>
      <c r="AL166" s="8"/>
      <c r="AM166" s="8"/>
      <c r="AN166" s="8"/>
      <c r="AO166" s="9">
        <v>5</v>
      </c>
      <c r="AP166" s="9">
        <v>1</v>
      </c>
      <c r="AQ166" s="10" t="s">
        <v>110</v>
      </c>
      <c r="AR166" s="10" t="s">
        <v>53</v>
      </c>
      <c r="AS166" s="8"/>
      <c r="AT166" s="10" t="s">
        <v>54</v>
      </c>
      <c r="AU166" s="9">
        <v>121.002689767825</v>
      </c>
      <c r="AV166" s="10" t="s">
        <v>111</v>
      </c>
      <c r="AW166" s="8"/>
    </row>
    <row r="167" spans="1:49" x14ac:dyDescent="0.15">
      <c r="A167" s="11" t="s">
        <v>82</v>
      </c>
      <c r="B167" s="12" t="s">
        <v>67</v>
      </c>
      <c r="C167" s="10" t="s">
        <v>62</v>
      </c>
      <c r="D167" s="10" t="s">
        <v>63</v>
      </c>
      <c r="E167" s="9">
        <v>20</v>
      </c>
      <c r="F167" s="9">
        <v>20</v>
      </c>
      <c r="G167" s="9">
        <v>0</v>
      </c>
      <c r="H167" s="10" t="s">
        <v>63</v>
      </c>
      <c r="I167" s="9">
        <v>1</v>
      </c>
      <c r="J167" s="9">
        <v>0.37827654099965002</v>
      </c>
      <c r="K167" s="10" t="s">
        <v>51</v>
      </c>
      <c r="L167" s="9">
        <v>0</v>
      </c>
      <c r="M167" s="9">
        <v>20</v>
      </c>
      <c r="N167" s="9">
        <v>20</v>
      </c>
      <c r="O167" s="9">
        <v>37</v>
      </c>
      <c r="P167" s="9">
        <v>39.664050334002198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9">
        <v>39.654884916992202</v>
      </c>
      <c r="AC167" s="9">
        <v>39.664050334002198</v>
      </c>
      <c r="AD167" s="9">
        <v>40.147657708992497</v>
      </c>
      <c r="AE167" s="9">
        <v>40.147657708992497</v>
      </c>
      <c r="AF167" s="9">
        <v>40.147657708992497</v>
      </c>
      <c r="AG167" s="9">
        <v>40.533075333994901</v>
      </c>
      <c r="AH167" s="10" t="s">
        <v>63</v>
      </c>
      <c r="AI167" s="9">
        <v>1</v>
      </c>
      <c r="AJ167" s="9">
        <v>0.37827654099965002</v>
      </c>
      <c r="AK167" s="10" t="s">
        <v>51</v>
      </c>
      <c r="AL167" s="8"/>
      <c r="AM167" s="8"/>
      <c r="AN167" s="8"/>
      <c r="AO167" s="9">
        <v>5</v>
      </c>
      <c r="AP167" s="9">
        <v>1</v>
      </c>
      <c r="AQ167" s="10" t="s">
        <v>110</v>
      </c>
      <c r="AR167" s="10" t="s">
        <v>53</v>
      </c>
      <c r="AS167" s="8"/>
      <c r="AT167" s="10" t="s">
        <v>54</v>
      </c>
      <c r="AU167" s="9">
        <v>121.002689767825</v>
      </c>
      <c r="AV167" s="10" t="s">
        <v>111</v>
      </c>
      <c r="AW167" s="8"/>
    </row>
    <row r="168" spans="1:49" x14ac:dyDescent="0.15">
      <c r="A168" s="11" t="s">
        <v>77</v>
      </c>
      <c r="B168" s="12" t="s">
        <v>67</v>
      </c>
      <c r="C168" s="10" t="s">
        <v>58</v>
      </c>
      <c r="D168" s="10" t="s">
        <v>59</v>
      </c>
      <c r="E168" s="9">
        <v>22</v>
      </c>
      <c r="F168" s="9">
        <v>22</v>
      </c>
      <c r="G168" s="9">
        <v>0</v>
      </c>
      <c r="H168" s="10" t="s">
        <v>63</v>
      </c>
      <c r="I168" s="9">
        <v>0</v>
      </c>
      <c r="J168" s="9">
        <v>0.47436429098888799</v>
      </c>
      <c r="K168" s="10" t="s">
        <v>51</v>
      </c>
      <c r="L168" s="9">
        <v>0</v>
      </c>
      <c r="M168" s="9">
        <v>22</v>
      </c>
      <c r="N168" s="9">
        <v>22</v>
      </c>
      <c r="O168" s="9">
        <v>40</v>
      </c>
      <c r="P168" s="9">
        <v>41.729218708991503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9">
        <v>41.720455292001098</v>
      </c>
      <c r="AC168" s="9">
        <v>41.729218708991503</v>
      </c>
      <c r="AD168" s="9">
        <v>42.214485000004103</v>
      </c>
      <c r="AE168" s="9">
        <v>42.214485000004103</v>
      </c>
      <c r="AF168" s="9">
        <v>42.214485000004103</v>
      </c>
      <c r="AG168" s="9">
        <v>42.699666000000398</v>
      </c>
      <c r="AH168" s="10" t="s">
        <v>63</v>
      </c>
      <c r="AI168" s="9">
        <v>0</v>
      </c>
      <c r="AJ168" s="9">
        <v>0.47436429098888799</v>
      </c>
      <c r="AK168" s="10" t="s">
        <v>51</v>
      </c>
      <c r="AL168" s="8"/>
      <c r="AM168" s="8"/>
      <c r="AN168" s="8"/>
      <c r="AO168" s="9">
        <v>5</v>
      </c>
      <c r="AP168" s="9">
        <v>1</v>
      </c>
      <c r="AQ168" s="10" t="s">
        <v>110</v>
      </c>
      <c r="AR168" s="10" t="s">
        <v>53</v>
      </c>
      <c r="AS168" s="8"/>
      <c r="AT168" s="10" t="s">
        <v>54</v>
      </c>
      <c r="AU168" s="9">
        <v>121.002689767825</v>
      </c>
      <c r="AV168" s="10" t="s">
        <v>111</v>
      </c>
      <c r="AW168" s="8"/>
    </row>
    <row r="169" spans="1:49" x14ac:dyDescent="0.15">
      <c r="A169" s="11" t="s">
        <v>76</v>
      </c>
      <c r="B169" s="12" t="s">
        <v>67</v>
      </c>
      <c r="C169" s="10" t="s">
        <v>62</v>
      </c>
      <c r="D169" s="10" t="s">
        <v>63</v>
      </c>
      <c r="E169" s="9">
        <v>23</v>
      </c>
      <c r="F169" s="9">
        <v>23</v>
      </c>
      <c r="G169" s="9">
        <v>0</v>
      </c>
      <c r="H169" s="10" t="s">
        <v>63</v>
      </c>
      <c r="I169" s="9">
        <v>1</v>
      </c>
      <c r="J169" s="9">
        <v>0.84124974999576796</v>
      </c>
      <c r="K169" s="10" t="s">
        <v>51</v>
      </c>
      <c r="L169" s="9">
        <v>0</v>
      </c>
      <c r="M169" s="9">
        <v>23</v>
      </c>
      <c r="N169" s="9">
        <v>23</v>
      </c>
      <c r="O169" s="9">
        <v>43</v>
      </c>
      <c r="P169" s="9">
        <v>42.712703124998399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9">
        <v>42.703668667003498</v>
      </c>
      <c r="AC169" s="9">
        <v>42.712703124998399</v>
      </c>
      <c r="AD169" s="9">
        <v>43.197619958998999</v>
      </c>
      <c r="AE169" s="9">
        <v>43.197619958998999</v>
      </c>
      <c r="AF169" s="9">
        <v>43.197619958998999</v>
      </c>
      <c r="AG169" s="9">
        <v>44.049384291996802</v>
      </c>
      <c r="AH169" s="10" t="s">
        <v>63</v>
      </c>
      <c r="AI169" s="9">
        <v>1</v>
      </c>
      <c r="AJ169" s="9">
        <v>0.84124974999576796</v>
      </c>
      <c r="AK169" s="10" t="s">
        <v>51</v>
      </c>
      <c r="AL169" s="8"/>
      <c r="AM169" s="8"/>
      <c r="AN169" s="8"/>
      <c r="AO169" s="9">
        <v>5</v>
      </c>
      <c r="AP169" s="9">
        <v>1</v>
      </c>
      <c r="AQ169" s="10" t="s">
        <v>110</v>
      </c>
      <c r="AR169" s="10" t="s">
        <v>53</v>
      </c>
      <c r="AS169" s="8"/>
      <c r="AT169" s="10" t="s">
        <v>54</v>
      </c>
      <c r="AU169" s="9">
        <v>121.002689767825</v>
      </c>
      <c r="AV169" s="10" t="s">
        <v>111</v>
      </c>
      <c r="AW169" s="8"/>
    </row>
    <row r="170" spans="1:49" x14ac:dyDescent="0.15">
      <c r="A170" s="11" t="s">
        <v>86</v>
      </c>
      <c r="B170" s="12" t="s">
        <v>67</v>
      </c>
      <c r="C170" s="10" t="s">
        <v>58</v>
      </c>
      <c r="D170" s="10" t="s">
        <v>59</v>
      </c>
      <c r="E170" s="9">
        <v>25</v>
      </c>
      <c r="F170" s="9">
        <v>25</v>
      </c>
      <c r="G170" s="9">
        <v>1</v>
      </c>
      <c r="H170" s="10" t="s">
        <v>59</v>
      </c>
      <c r="I170" s="9">
        <v>1</v>
      </c>
      <c r="J170" s="9">
        <v>0.29479041599552103</v>
      </c>
      <c r="K170" s="10" t="s">
        <v>51</v>
      </c>
      <c r="L170" s="9">
        <v>1</v>
      </c>
      <c r="M170" s="9">
        <v>25</v>
      </c>
      <c r="N170" s="9">
        <v>25</v>
      </c>
      <c r="O170" s="9">
        <v>34</v>
      </c>
      <c r="P170" s="9">
        <v>44.9033677499974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9">
        <v>44.8932504999975</v>
      </c>
      <c r="AC170" s="9">
        <v>44.9033677499974</v>
      </c>
      <c r="AD170" s="9">
        <v>45.381189874999102</v>
      </c>
      <c r="AE170" s="9">
        <v>45.381189874999102</v>
      </c>
      <c r="AF170" s="9">
        <v>45.381189874999102</v>
      </c>
      <c r="AG170" s="9">
        <v>45.683222666993998</v>
      </c>
      <c r="AH170" s="10" t="s">
        <v>59</v>
      </c>
      <c r="AI170" s="9">
        <v>1</v>
      </c>
      <c r="AJ170" s="9">
        <v>0.29479041599552103</v>
      </c>
      <c r="AK170" s="10" t="s">
        <v>51</v>
      </c>
      <c r="AL170" s="8"/>
      <c r="AM170" s="8"/>
      <c r="AN170" s="8"/>
      <c r="AO170" s="9">
        <v>5</v>
      </c>
      <c r="AP170" s="9">
        <v>1</v>
      </c>
      <c r="AQ170" s="10" t="s">
        <v>110</v>
      </c>
      <c r="AR170" s="10" t="s">
        <v>53</v>
      </c>
      <c r="AS170" s="8"/>
      <c r="AT170" s="10" t="s">
        <v>54</v>
      </c>
      <c r="AU170" s="9">
        <v>121.002689767825</v>
      </c>
      <c r="AV170" s="10" t="s">
        <v>111</v>
      </c>
      <c r="AW170" s="8"/>
    </row>
    <row r="171" spans="1:49" x14ac:dyDescent="0.15">
      <c r="A171" s="11" t="s">
        <v>80</v>
      </c>
      <c r="B171" s="12" t="s">
        <v>67</v>
      </c>
      <c r="C171" s="10" t="s">
        <v>62</v>
      </c>
      <c r="D171" s="10" t="s">
        <v>63</v>
      </c>
      <c r="E171" s="9">
        <v>38</v>
      </c>
      <c r="F171" s="9">
        <v>38</v>
      </c>
      <c r="G171" s="9">
        <v>0</v>
      </c>
      <c r="H171" s="10" t="s">
        <v>63</v>
      </c>
      <c r="I171" s="9">
        <v>1</v>
      </c>
      <c r="J171" s="9">
        <v>0.51759008198860101</v>
      </c>
      <c r="K171" s="10" t="s">
        <v>51</v>
      </c>
      <c r="L171" s="9">
        <v>0</v>
      </c>
      <c r="M171" s="9">
        <v>38</v>
      </c>
      <c r="N171" s="9">
        <v>38</v>
      </c>
      <c r="O171" s="9">
        <v>33</v>
      </c>
      <c r="P171" s="9">
        <v>56.764547375001698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9">
        <v>56.755319292002198</v>
      </c>
      <c r="AC171" s="9">
        <v>56.764547375001698</v>
      </c>
      <c r="AD171" s="9">
        <v>57.248591208990597</v>
      </c>
      <c r="AE171" s="9">
        <v>57.248591208990597</v>
      </c>
      <c r="AF171" s="9">
        <v>57.248591208990597</v>
      </c>
      <c r="AG171" s="9">
        <v>57.772735541991999</v>
      </c>
      <c r="AH171" s="10" t="s">
        <v>63</v>
      </c>
      <c r="AI171" s="9">
        <v>1</v>
      </c>
      <c r="AJ171" s="9">
        <v>0.51759008198860101</v>
      </c>
      <c r="AK171" s="10" t="s">
        <v>51</v>
      </c>
      <c r="AL171" s="8"/>
      <c r="AM171" s="8"/>
      <c r="AN171" s="8"/>
      <c r="AO171" s="9">
        <v>5</v>
      </c>
      <c r="AP171" s="9">
        <v>1</v>
      </c>
      <c r="AQ171" s="10" t="s">
        <v>110</v>
      </c>
      <c r="AR171" s="10" t="s">
        <v>53</v>
      </c>
      <c r="AS171" s="8"/>
      <c r="AT171" s="10" t="s">
        <v>54</v>
      </c>
      <c r="AU171" s="9">
        <v>121.002689767825</v>
      </c>
      <c r="AV171" s="10" t="s">
        <v>111</v>
      </c>
      <c r="AW171" s="8"/>
    </row>
    <row r="172" spans="1:49" x14ac:dyDescent="0.15">
      <c r="A172" s="11" t="s">
        <v>69</v>
      </c>
      <c r="B172" s="12" t="s">
        <v>67</v>
      </c>
      <c r="C172" s="10" t="s">
        <v>62</v>
      </c>
      <c r="D172" s="10" t="s">
        <v>63</v>
      </c>
      <c r="E172" s="9">
        <v>39</v>
      </c>
      <c r="F172" s="9">
        <v>39</v>
      </c>
      <c r="G172" s="9">
        <v>0</v>
      </c>
      <c r="H172" s="10" t="s">
        <v>63</v>
      </c>
      <c r="I172" s="9">
        <v>1</v>
      </c>
      <c r="J172" s="9">
        <v>0.37500991599517902</v>
      </c>
      <c r="K172" s="10" t="s">
        <v>51</v>
      </c>
      <c r="L172" s="9">
        <v>0</v>
      </c>
      <c r="M172" s="9">
        <v>39</v>
      </c>
      <c r="N172" s="9">
        <v>39</v>
      </c>
      <c r="O172" s="9">
        <v>39</v>
      </c>
      <c r="P172" s="9">
        <v>57.787370999998501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9">
        <v>57.777870999998399</v>
      </c>
      <c r="AC172" s="9">
        <v>57.787370999998501</v>
      </c>
      <c r="AD172" s="9">
        <v>58.274223667001898</v>
      </c>
      <c r="AE172" s="9">
        <v>58.274223667001898</v>
      </c>
      <c r="AF172" s="9">
        <v>58.274223667001898</v>
      </c>
      <c r="AG172" s="9">
        <v>58.656512916990302</v>
      </c>
      <c r="AH172" s="10" t="s">
        <v>63</v>
      </c>
      <c r="AI172" s="9">
        <v>1</v>
      </c>
      <c r="AJ172" s="9">
        <v>0.37500991599517902</v>
      </c>
      <c r="AK172" s="10" t="s">
        <v>51</v>
      </c>
      <c r="AL172" s="8"/>
      <c r="AM172" s="8"/>
      <c r="AN172" s="8"/>
      <c r="AO172" s="9">
        <v>5</v>
      </c>
      <c r="AP172" s="9">
        <v>1</v>
      </c>
      <c r="AQ172" s="10" t="s">
        <v>110</v>
      </c>
      <c r="AR172" s="10" t="s">
        <v>53</v>
      </c>
      <c r="AS172" s="8"/>
      <c r="AT172" s="10" t="s">
        <v>54</v>
      </c>
      <c r="AU172" s="9">
        <v>121.002689767825</v>
      </c>
      <c r="AV172" s="10" t="s">
        <v>111</v>
      </c>
      <c r="AW172" s="8"/>
    </row>
    <row r="173" spans="1:49" x14ac:dyDescent="0.15">
      <c r="A173" s="11" t="s">
        <v>86</v>
      </c>
      <c r="B173" s="12" t="s">
        <v>67</v>
      </c>
      <c r="C173" s="10" t="s">
        <v>62</v>
      </c>
      <c r="D173" s="10" t="s">
        <v>63</v>
      </c>
      <c r="E173" s="9">
        <v>46</v>
      </c>
      <c r="F173" s="9">
        <v>46</v>
      </c>
      <c r="G173" s="9">
        <v>0</v>
      </c>
      <c r="H173" s="10" t="s">
        <v>63</v>
      </c>
      <c r="I173" s="9">
        <v>1</v>
      </c>
      <c r="J173" s="9">
        <v>0.37752624899440002</v>
      </c>
      <c r="K173" s="10" t="s">
        <v>51</v>
      </c>
      <c r="L173" s="9">
        <v>0</v>
      </c>
      <c r="M173" s="9">
        <v>46</v>
      </c>
      <c r="N173" s="9">
        <v>46</v>
      </c>
      <c r="O173" s="9">
        <v>35</v>
      </c>
      <c r="P173" s="9">
        <v>64.648368916998194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9">
        <v>64.639542208999103</v>
      </c>
      <c r="AC173" s="9">
        <v>64.648368916998194</v>
      </c>
      <c r="AD173" s="9">
        <v>65.131850083998899</v>
      </c>
      <c r="AE173" s="9">
        <v>65.131850083998899</v>
      </c>
      <c r="AF173" s="9">
        <v>65.131850083998899</v>
      </c>
      <c r="AG173" s="9">
        <v>65.517251999990606</v>
      </c>
      <c r="AH173" s="10" t="s">
        <v>63</v>
      </c>
      <c r="AI173" s="9">
        <v>1</v>
      </c>
      <c r="AJ173" s="9">
        <v>0.37752624899440002</v>
      </c>
      <c r="AK173" s="10" t="s">
        <v>51</v>
      </c>
      <c r="AL173" s="8"/>
      <c r="AM173" s="8"/>
      <c r="AN173" s="8"/>
      <c r="AO173" s="9">
        <v>5</v>
      </c>
      <c r="AP173" s="9">
        <v>1</v>
      </c>
      <c r="AQ173" s="10" t="s">
        <v>110</v>
      </c>
      <c r="AR173" s="10" t="s">
        <v>53</v>
      </c>
      <c r="AS173" s="8"/>
      <c r="AT173" s="10" t="s">
        <v>54</v>
      </c>
      <c r="AU173" s="9">
        <v>121.002689767825</v>
      </c>
      <c r="AV173" s="10" t="s">
        <v>111</v>
      </c>
      <c r="AW173" s="8"/>
    </row>
    <row r="174" spans="1:49" x14ac:dyDescent="0.15">
      <c r="A174" s="11" t="s">
        <v>76</v>
      </c>
      <c r="B174" s="12" t="s">
        <v>67</v>
      </c>
      <c r="C174" s="10" t="s">
        <v>58</v>
      </c>
      <c r="D174" s="10" t="s">
        <v>59</v>
      </c>
      <c r="E174" s="9">
        <v>48</v>
      </c>
      <c r="F174" s="9">
        <v>48</v>
      </c>
      <c r="G174" s="9">
        <v>0</v>
      </c>
      <c r="H174" s="10" t="s">
        <v>59</v>
      </c>
      <c r="I174" s="9">
        <v>1</v>
      </c>
      <c r="J174" s="9">
        <v>0.512501499993959</v>
      </c>
      <c r="K174" s="10" t="s">
        <v>51</v>
      </c>
      <c r="L174" s="9">
        <v>0</v>
      </c>
      <c r="M174" s="9">
        <v>48</v>
      </c>
      <c r="N174" s="9">
        <v>48</v>
      </c>
      <c r="O174" s="9">
        <v>42</v>
      </c>
      <c r="P174" s="9">
        <v>66.365115084001502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9">
        <v>66.355997958991793</v>
      </c>
      <c r="AC174" s="9">
        <v>66.365115084001502</v>
      </c>
      <c r="AD174" s="9">
        <v>66.848972209001701</v>
      </c>
      <c r="AE174" s="9">
        <v>66.848972209001701</v>
      </c>
      <c r="AF174" s="9">
        <v>66.848972209001701</v>
      </c>
      <c r="AG174" s="9">
        <v>67.367347334002304</v>
      </c>
      <c r="AH174" s="10" t="s">
        <v>59</v>
      </c>
      <c r="AI174" s="9">
        <v>1</v>
      </c>
      <c r="AJ174" s="9">
        <v>0.512501499993959</v>
      </c>
      <c r="AK174" s="10" t="s">
        <v>51</v>
      </c>
      <c r="AL174" s="8"/>
      <c r="AM174" s="8"/>
      <c r="AN174" s="8"/>
      <c r="AO174" s="9">
        <v>5</v>
      </c>
      <c r="AP174" s="9">
        <v>1</v>
      </c>
      <c r="AQ174" s="10" t="s">
        <v>110</v>
      </c>
      <c r="AR174" s="10" t="s">
        <v>53</v>
      </c>
      <c r="AS174" s="8"/>
      <c r="AT174" s="10" t="s">
        <v>54</v>
      </c>
      <c r="AU174" s="9">
        <v>121.002689767825</v>
      </c>
      <c r="AV174" s="10" t="s">
        <v>111</v>
      </c>
      <c r="AW174" s="8"/>
    </row>
    <row r="175" spans="1:49" x14ac:dyDescent="0.15">
      <c r="A175" s="11" t="s">
        <v>77</v>
      </c>
      <c r="B175" s="12" t="s">
        <v>67</v>
      </c>
      <c r="C175" s="10" t="s">
        <v>58</v>
      </c>
      <c r="D175" s="10" t="s">
        <v>59</v>
      </c>
      <c r="E175" s="9">
        <v>56</v>
      </c>
      <c r="F175" s="9">
        <v>56</v>
      </c>
      <c r="G175" s="9">
        <v>1</v>
      </c>
      <c r="H175" s="10" t="s">
        <v>59</v>
      </c>
      <c r="I175" s="9">
        <v>1</v>
      </c>
      <c r="J175" s="9">
        <v>0.44092608301434699</v>
      </c>
      <c r="K175" s="10" t="s">
        <v>51</v>
      </c>
      <c r="L175" s="9">
        <v>1</v>
      </c>
      <c r="M175" s="9">
        <v>56</v>
      </c>
      <c r="N175" s="9">
        <v>56</v>
      </c>
      <c r="O175" s="9">
        <v>40</v>
      </c>
      <c r="P175" s="9">
        <v>74.033001374991699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9">
        <v>74.023810375001602</v>
      </c>
      <c r="AC175" s="9">
        <v>74.033001374991699</v>
      </c>
      <c r="AD175" s="9">
        <v>74.515566834001206</v>
      </c>
      <c r="AE175" s="9">
        <v>74.515566834001206</v>
      </c>
      <c r="AF175" s="9">
        <v>74.515566834001206</v>
      </c>
      <c r="AG175" s="9">
        <v>74.967543916995098</v>
      </c>
      <c r="AH175" s="10" t="s">
        <v>59</v>
      </c>
      <c r="AI175" s="9">
        <v>1</v>
      </c>
      <c r="AJ175" s="9">
        <v>0.44092608301434699</v>
      </c>
      <c r="AK175" s="10" t="s">
        <v>51</v>
      </c>
      <c r="AL175" s="8"/>
      <c r="AM175" s="8"/>
      <c r="AN175" s="8"/>
      <c r="AO175" s="9">
        <v>5</v>
      </c>
      <c r="AP175" s="9">
        <v>1</v>
      </c>
      <c r="AQ175" s="10" t="s">
        <v>110</v>
      </c>
      <c r="AR175" s="10" t="s">
        <v>53</v>
      </c>
      <c r="AS175" s="8"/>
      <c r="AT175" s="10" t="s">
        <v>54</v>
      </c>
      <c r="AU175" s="9">
        <v>121.002689767825</v>
      </c>
      <c r="AV175" s="10" t="s">
        <v>111</v>
      </c>
      <c r="AW175" s="8"/>
    </row>
    <row r="176" spans="1:49" x14ac:dyDescent="0.15">
      <c r="A176" s="11" t="s">
        <v>69</v>
      </c>
      <c r="B176" s="12" t="s">
        <v>67</v>
      </c>
      <c r="C176" s="10" t="s">
        <v>58</v>
      </c>
      <c r="D176" s="10" t="s">
        <v>59</v>
      </c>
      <c r="E176" s="9">
        <v>60</v>
      </c>
      <c r="F176" s="9">
        <v>60</v>
      </c>
      <c r="G176" s="9">
        <v>0</v>
      </c>
      <c r="H176" s="10" t="s">
        <v>59</v>
      </c>
      <c r="I176" s="9">
        <v>1</v>
      </c>
      <c r="J176" s="9">
        <v>0.60301720698771499</v>
      </c>
      <c r="K176" s="10" t="s">
        <v>51</v>
      </c>
      <c r="L176" s="9">
        <v>0</v>
      </c>
      <c r="M176" s="9">
        <v>60</v>
      </c>
      <c r="N176" s="9">
        <v>60</v>
      </c>
      <c r="O176" s="9">
        <v>38</v>
      </c>
      <c r="P176" s="9">
        <v>77.538562959001894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9">
        <v>77.528849041991606</v>
      </c>
      <c r="AC176" s="9">
        <v>77.538562959001894</v>
      </c>
      <c r="AD176" s="9">
        <v>78.024698624998607</v>
      </c>
      <c r="AE176" s="9">
        <v>78.024698624998607</v>
      </c>
      <c r="AF176" s="9">
        <v>78.024698624998607</v>
      </c>
      <c r="AG176" s="9">
        <v>78.634319208998903</v>
      </c>
      <c r="AH176" s="10" t="s">
        <v>59</v>
      </c>
      <c r="AI176" s="9">
        <v>1</v>
      </c>
      <c r="AJ176" s="9">
        <v>0.60301720698771499</v>
      </c>
      <c r="AK176" s="10" t="s">
        <v>51</v>
      </c>
      <c r="AL176" s="8"/>
      <c r="AM176" s="8"/>
      <c r="AN176" s="8"/>
      <c r="AO176" s="9">
        <v>5</v>
      </c>
      <c r="AP176" s="9">
        <v>1</v>
      </c>
      <c r="AQ176" s="10" t="s">
        <v>110</v>
      </c>
      <c r="AR176" s="10" t="s">
        <v>53</v>
      </c>
      <c r="AS176" s="8"/>
      <c r="AT176" s="10" t="s">
        <v>54</v>
      </c>
      <c r="AU176" s="9">
        <v>121.002689767825</v>
      </c>
      <c r="AV176" s="10" t="s">
        <v>111</v>
      </c>
      <c r="AW176" s="8"/>
    </row>
    <row r="177" spans="1:49" x14ac:dyDescent="0.15">
      <c r="A177" s="11" t="s">
        <v>77</v>
      </c>
      <c r="B177" s="12" t="s">
        <v>67</v>
      </c>
      <c r="C177" s="10" t="s">
        <v>58</v>
      </c>
      <c r="D177" s="10" t="s">
        <v>59</v>
      </c>
      <c r="E177" s="9">
        <v>61</v>
      </c>
      <c r="F177" s="9">
        <v>61</v>
      </c>
      <c r="G177" s="9">
        <v>2</v>
      </c>
      <c r="H177" s="10" t="s">
        <v>59</v>
      </c>
      <c r="I177" s="9">
        <v>1</v>
      </c>
      <c r="J177" s="9">
        <v>0.36226112498843599</v>
      </c>
      <c r="K177" s="10" t="s">
        <v>51</v>
      </c>
      <c r="L177" s="9">
        <v>2</v>
      </c>
      <c r="M177" s="9">
        <v>61</v>
      </c>
      <c r="N177" s="9">
        <v>61</v>
      </c>
      <c r="O177" s="9">
        <v>40</v>
      </c>
      <c r="P177" s="9">
        <v>78.647738458996201</v>
      </c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9">
        <v>78.638688459002907</v>
      </c>
      <c r="AC177" s="9">
        <v>78.647738458996201</v>
      </c>
      <c r="AD177" s="9">
        <v>79.132391999999498</v>
      </c>
      <c r="AE177" s="9">
        <v>79.132391999999498</v>
      </c>
      <c r="AF177" s="9">
        <v>79.132391999999498</v>
      </c>
      <c r="AG177" s="9">
        <v>79.501180833991398</v>
      </c>
      <c r="AH177" s="10" t="s">
        <v>59</v>
      </c>
      <c r="AI177" s="9">
        <v>1</v>
      </c>
      <c r="AJ177" s="9">
        <v>0.36226112498843599</v>
      </c>
      <c r="AK177" s="10" t="s">
        <v>51</v>
      </c>
      <c r="AL177" s="8"/>
      <c r="AM177" s="8"/>
      <c r="AN177" s="8"/>
      <c r="AO177" s="9">
        <v>5</v>
      </c>
      <c r="AP177" s="9">
        <v>1</v>
      </c>
      <c r="AQ177" s="10" t="s">
        <v>110</v>
      </c>
      <c r="AR177" s="10" t="s">
        <v>53</v>
      </c>
      <c r="AS177" s="8"/>
      <c r="AT177" s="10" t="s">
        <v>54</v>
      </c>
      <c r="AU177" s="9">
        <v>121.002689767825</v>
      </c>
      <c r="AV177" s="10" t="s">
        <v>111</v>
      </c>
      <c r="AW177" s="8"/>
    </row>
    <row r="178" spans="1:49" x14ac:dyDescent="0.15">
      <c r="A178" s="11" t="s">
        <v>81</v>
      </c>
      <c r="B178" s="12" t="s">
        <v>67</v>
      </c>
      <c r="C178" s="10" t="s">
        <v>58</v>
      </c>
      <c r="D178" s="10" t="s">
        <v>59</v>
      </c>
      <c r="E178" s="9">
        <v>74</v>
      </c>
      <c r="F178" s="9">
        <v>74</v>
      </c>
      <c r="G178" s="9">
        <v>1</v>
      </c>
      <c r="H178" s="10" t="s">
        <v>59</v>
      </c>
      <c r="I178" s="9">
        <v>1</v>
      </c>
      <c r="J178" s="9">
        <v>0.403312665992416</v>
      </c>
      <c r="K178" s="10" t="s">
        <v>51</v>
      </c>
      <c r="L178" s="9">
        <v>1</v>
      </c>
      <c r="M178" s="9">
        <v>74</v>
      </c>
      <c r="N178" s="9">
        <v>74</v>
      </c>
      <c r="O178" s="9">
        <v>44</v>
      </c>
      <c r="P178" s="9">
        <v>90.482635499996803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9">
        <v>90.473434542000206</v>
      </c>
      <c r="AC178" s="9">
        <v>90.482635499996803</v>
      </c>
      <c r="AD178" s="9">
        <v>90.966525291994898</v>
      </c>
      <c r="AE178" s="9">
        <v>90.966525291994898</v>
      </c>
      <c r="AF178" s="9">
        <v>90.966525291994898</v>
      </c>
      <c r="AG178" s="9">
        <v>91.374186083994601</v>
      </c>
      <c r="AH178" s="10" t="s">
        <v>59</v>
      </c>
      <c r="AI178" s="9">
        <v>1</v>
      </c>
      <c r="AJ178" s="9">
        <v>0.403312665992416</v>
      </c>
      <c r="AK178" s="10" t="s">
        <v>51</v>
      </c>
      <c r="AL178" s="8"/>
      <c r="AM178" s="8"/>
      <c r="AN178" s="8"/>
      <c r="AO178" s="9">
        <v>5</v>
      </c>
      <c r="AP178" s="9">
        <v>1</v>
      </c>
      <c r="AQ178" s="10" t="s">
        <v>110</v>
      </c>
      <c r="AR178" s="10" t="s">
        <v>53</v>
      </c>
      <c r="AS178" s="8"/>
      <c r="AT178" s="10" t="s">
        <v>54</v>
      </c>
      <c r="AU178" s="9">
        <v>121.002689767825</v>
      </c>
      <c r="AV178" s="10" t="s">
        <v>111</v>
      </c>
      <c r="AW178" s="8"/>
    </row>
    <row r="179" spans="1:49" x14ac:dyDescent="0.15">
      <c r="A179" s="11" t="s">
        <v>81</v>
      </c>
      <c r="B179" s="12" t="s">
        <v>67</v>
      </c>
      <c r="C179" s="10" t="s">
        <v>58</v>
      </c>
      <c r="D179" s="10" t="s">
        <v>59</v>
      </c>
      <c r="E179" s="9">
        <v>77</v>
      </c>
      <c r="F179" s="9">
        <v>77</v>
      </c>
      <c r="G179" s="9">
        <v>2</v>
      </c>
      <c r="H179" s="10" t="s">
        <v>59</v>
      </c>
      <c r="I179" s="9">
        <v>1</v>
      </c>
      <c r="J179" s="9">
        <v>0.45844550000037998</v>
      </c>
      <c r="K179" s="10" t="s">
        <v>51</v>
      </c>
      <c r="L179" s="9">
        <v>2</v>
      </c>
      <c r="M179" s="9">
        <v>77</v>
      </c>
      <c r="N179" s="9">
        <v>77</v>
      </c>
      <c r="O179" s="9">
        <v>44</v>
      </c>
      <c r="P179" s="9">
        <v>93.755545374995606</v>
      </c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9">
        <v>93.7442036249995</v>
      </c>
      <c r="AC179" s="9">
        <v>93.755545374995606</v>
      </c>
      <c r="AD179" s="9">
        <v>94.242410541992299</v>
      </c>
      <c r="AE179" s="9">
        <v>94.242410541992299</v>
      </c>
      <c r="AF179" s="9">
        <v>94.242410541992299</v>
      </c>
      <c r="AG179" s="9">
        <v>94.707813375003795</v>
      </c>
      <c r="AH179" s="10" t="s">
        <v>59</v>
      </c>
      <c r="AI179" s="9">
        <v>1</v>
      </c>
      <c r="AJ179" s="9">
        <v>0.45844550000037998</v>
      </c>
      <c r="AK179" s="10" t="s">
        <v>51</v>
      </c>
      <c r="AL179" s="8"/>
      <c r="AM179" s="8"/>
      <c r="AN179" s="8"/>
      <c r="AO179" s="9">
        <v>5</v>
      </c>
      <c r="AP179" s="9">
        <v>1</v>
      </c>
      <c r="AQ179" s="10" t="s">
        <v>110</v>
      </c>
      <c r="AR179" s="10" t="s">
        <v>53</v>
      </c>
      <c r="AS179" s="8"/>
      <c r="AT179" s="10" t="s">
        <v>54</v>
      </c>
      <c r="AU179" s="9">
        <v>121.002689767825</v>
      </c>
      <c r="AV179" s="10" t="s">
        <v>111</v>
      </c>
      <c r="AW179" s="8"/>
    </row>
    <row r="180" spans="1:49" x14ac:dyDescent="0.15">
      <c r="A180" s="11" t="s">
        <v>76</v>
      </c>
      <c r="B180" s="12" t="s">
        <v>67</v>
      </c>
      <c r="C180" s="10" t="s">
        <v>58</v>
      </c>
      <c r="D180" s="10" t="s">
        <v>59</v>
      </c>
      <c r="E180" s="9">
        <v>78</v>
      </c>
      <c r="F180" s="9">
        <v>78</v>
      </c>
      <c r="G180" s="9">
        <v>1</v>
      </c>
      <c r="H180" s="10" t="s">
        <v>59</v>
      </c>
      <c r="I180" s="9">
        <v>1</v>
      </c>
      <c r="J180" s="9">
        <v>0.34302795800613201</v>
      </c>
      <c r="K180" s="10" t="s">
        <v>51</v>
      </c>
      <c r="L180" s="9">
        <v>1</v>
      </c>
      <c r="M180" s="9">
        <v>78</v>
      </c>
      <c r="N180" s="9">
        <v>78</v>
      </c>
      <c r="O180" s="9">
        <v>42</v>
      </c>
      <c r="P180" s="9">
        <v>94.722482458993895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9">
        <v>94.712531999990503</v>
      </c>
      <c r="AC180" s="9">
        <v>94.722482458993895</v>
      </c>
      <c r="AD180" s="9">
        <v>95.208872000002899</v>
      </c>
      <c r="AE180" s="9">
        <v>95.208872000002899</v>
      </c>
      <c r="AF180" s="9">
        <v>95.208872000002899</v>
      </c>
      <c r="AG180" s="9">
        <v>95.557569458993399</v>
      </c>
      <c r="AH180" s="10" t="s">
        <v>59</v>
      </c>
      <c r="AI180" s="9">
        <v>1</v>
      </c>
      <c r="AJ180" s="9">
        <v>0.34302795800613201</v>
      </c>
      <c r="AK180" s="10" t="s">
        <v>51</v>
      </c>
      <c r="AL180" s="8"/>
      <c r="AM180" s="8"/>
      <c r="AN180" s="8"/>
      <c r="AO180" s="9">
        <v>5</v>
      </c>
      <c r="AP180" s="9">
        <v>1</v>
      </c>
      <c r="AQ180" s="10" t="s">
        <v>110</v>
      </c>
      <c r="AR180" s="10" t="s">
        <v>53</v>
      </c>
      <c r="AS180" s="8"/>
      <c r="AT180" s="10" t="s">
        <v>54</v>
      </c>
      <c r="AU180" s="9">
        <v>121.002689767825</v>
      </c>
      <c r="AV180" s="10" t="s">
        <v>111</v>
      </c>
      <c r="AW180" s="8"/>
    </row>
    <row r="181" spans="1:49" x14ac:dyDescent="0.15">
      <c r="A181" s="11" t="s">
        <v>81</v>
      </c>
      <c r="B181" s="12" t="s">
        <v>67</v>
      </c>
      <c r="C181" s="10" t="s">
        <v>62</v>
      </c>
      <c r="D181" s="10" t="s">
        <v>63</v>
      </c>
      <c r="E181" s="9">
        <v>79</v>
      </c>
      <c r="F181" s="9">
        <v>79</v>
      </c>
      <c r="G181" s="9">
        <v>0</v>
      </c>
      <c r="H181" s="10" t="s">
        <v>63</v>
      </c>
      <c r="I181" s="9">
        <v>1</v>
      </c>
      <c r="J181" s="9">
        <v>0.53213949900236901</v>
      </c>
      <c r="K181" s="10" t="s">
        <v>51</v>
      </c>
      <c r="L181" s="9">
        <v>0</v>
      </c>
      <c r="M181" s="9">
        <v>79</v>
      </c>
      <c r="N181" s="9">
        <v>79</v>
      </c>
      <c r="O181" s="9">
        <v>45</v>
      </c>
      <c r="P181" s="9">
        <v>95.572143666999196</v>
      </c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9">
        <v>95.562219792001997</v>
      </c>
      <c r="AC181" s="9">
        <v>95.572143666999196</v>
      </c>
      <c r="AD181" s="9">
        <v>96.058741874992904</v>
      </c>
      <c r="AE181" s="9">
        <v>96.058741874992904</v>
      </c>
      <c r="AF181" s="9">
        <v>96.058741874992904</v>
      </c>
      <c r="AG181" s="9">
        <v>96.601708041998805</v>
      </c>
      <c r="AH181" s="10" t="s">
        <v>63</v>
      </c>
      <c r="AI181" s="9">
        <v>1</v>
      </c>
      <c r="AJ181" s="9">
        <v>0.53213949900236901</v>
      </c>
      <c r="AK181" s="10" t="s">
        <v>51</v>
      </c>
      <c r="AL181" s="8"/>
      <c r="AM181" s="8"/>
      <c r="AN181" s="8"/>
      <c r="AO181" s="9">
        <v>5</v>
      </c>
      <c r="AP181" s="9">
        <v>1</v>
      </c>
      <c r="AQ181" s="10" t="s">
        <v>110</v>
      </c>
      <c r="AR181" s="10" t="s">
        <v>53</v>
      </c>
      <c r="AS181" s="8"/>
      <c r="AT181" s="10" t="s">
        <v>54</v>
      </c>
      <c r="AU181" s="9">
        <v>121.002689767825</v>
      </c>
      <c r="AV181" s="10" t="s">
        <v>111</v>
      </c>
      <c r="AW181" s="8"/>
    </row>
    <row r="182" spans="1:49" x14ac:dyDescent="0.15">
      <c r="A182" s="11" t="s">
        <v>77</v>
      </c>
      <c r="B182" s="12" t="s">
        <v>67</v>
      </c>
      <c r="C182" s="10" t="s">
        <v>58</v>
      </c>
      <c r="D182" s="10" t="s">
        <v>59</v>
      </c>
      <c r="E182" s="9">
        <v>80</v>
      </c>
      <c r="F182" s="9">
        <v>80</v>
      </c>
      <c r="G182" s="9">
        <v>3</v>
      </c>
      <c r="H182" s="10" t="s">
        <v>59</v>
      </c>
      <c r="I182" s="9">
        <v>1</v>
      </c>
      <c r="J182" s="9">
        <v>0.41914979099237798</v>
      </c>
      <c r="K182" s="10" t="s">
        <v>51</v>
      </c>
      <c r="L182" s="9">
        <v>3</v>
      </c>
      <c r="M182" s="9">
        <v>80</v>
      </c>
      <c r="N182" s="9">
        <v>80</v>
      </c>
      <c r="O182" s="9">
        <v>40</v>
      </c>
      <c r="P182" s="9">
        <v>96.615356209004005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9">
        <v>96.606364499995806</v>
      </c>
      <c r="AC182" s="9">
        <v>96.615356209004005</v>
      </c>
      <c r="AD182" s="9">
        <v>97.099820458999602</v>
      </c>
      <c r="AE182" s="9">
        <v>97.099820458999602</v>
      </c>
      <c r="AF182" s="9">
        <v>97.099820458999602</v>
      </c>
      <c r="AG182" s="9">
        <v>97.524464292000602</v>
      </c>
      <c r="AH182" s="10" t="s">
        <v>59</v>
      </c>
      <c r="AI182" s="9">
        <v>1</v>
      </c>
      <c r="AJ182" s="9">
        <v>0.41914979099237798</v>
      </c>
      <c r="AK182" s="10" t="s">
        <v>51</v>
      </c>
      <c r="AL182" s="8"/>
      <c r="AM182" s="8"/>
      <c r="AN182" s="8"/>
      <c r="AO182" s="9">
        <v>5</v>
      </c>
      <c r="AP182" s="9">
        <v>1</v>
      </c>
      <c r="AQ182" s="10" t="s">
        <v>110</v>
      </c>
      <c r="AR182" s="10" t="s">
        <v>53</v>
      </c>
      <c r="AS182" s="8"/>
      <c r="AT182" s="10" t="s">
        <v>54</v>
      </c>
      <c r="AU182" s="9">
        <v>121.002689767825</v>
      </c>
      <c r="AV182" s="10" t="s">
        <v>111</v>
      </c>
      <c r="AW182" s="8"/>
    </row>
    <row r="183" spans="1:49" x14ac:dyDescent="0.15">
      <c r="A183" s="11" t="s">
        <v>82</v>
      </c>
      <c r="B183" s="12" t="s">
        <v>67</v>
      </c>
      <c r="C183" s="10" t="s">
        <v>58</v>
      </c>
      <c r="D183" s="10" t="s">
        <v>59</v>
      </c>
      <c r="E183" s="9">
        <v>81</v>
      </c>
      <c r="F183" s="9">
        <v>81</v>
      </c>
      <c r="G183" s="9">
        <v>0</v>
      </c>
      <c r="H183" s="10" t="s">
        <v>59</v>
      </c>
      <c r="I183" s="9">
        <v>1</v>
      </c>
      <c r="J183" s="9">
        <v>0.398694581992459</v>
      </c>
      <c r="K183" s="10" t="s">
        <v>51</v>
      </c>
      <c r="L183" s="9">
        <v>0</v>
      </c>
      <c r="M183" s="9">
        <v>81</v>
      </c>
      <c r="N183" s="9">
        <v>81</v>
      </c>
      <c r="O183" s="9">
        <v>36</v>
      </c>
      <c r="P183" s="9">
        <v>97.538694417002304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9">
        <v>97.5292908339907</v>
      </c>
      <c r="AC183" s="9">
        <v>97.538694417002304</v>
      </c>
      <c r="AD183" s="9">
        <v>98.025231833991697</v>
      </c>
      <c r="AE183" s="9">
        <v>98.025231833991697</v>
      </c>
      <c r="AF183" s="9">
        <v>98.025231833991697</v>
      </c>
      <c r="AG183" s="9">
        <v>98.435186583999894</v>
      </c>
      <c r="AH183" s="10" t="s">
        <v>59</v>
      </c>
      <c r="AI183" s="9">
        <v>1</v>
      </c>
      <c r="AJ183" s="9">
        <v>0.398694581992459</v>
      </c>
      <c r="AK183" s="10" t="s">
        <v>51</v>
      </c>
      <c r="AL183" s="8"/>
      <c r="AM183" s="8"/>
      <c r="AN183" s="8"/>
      <c r="AO183" s="9">
        <v>5</v>
      </c>
      <c r="AP183" s="9">
        <v>1</v>
      </c>
      <c r="AQ183" s="10" t="s">
        <v>110</v>
      </c>
      <c r="AR183" s="10" t="s">
        <v>53</v>
      </c>
      <c r="AS183" s="8"/>
      <c r="AT183" s="10" t="s">
        <v>54</v>
      </c>
      <c r="AU183" s="9">
        <v>121.002689767825</v>
      </c>
      <c r="AV183" s="10" t="s">
        <v>111</v>
      </c>
      <c r="AW183" s="8"/>
    </row>
    <row r="184" spans="1:49" x14ac:dyDescent="0.15">
      <c r="A184" s="11" t="s">
        <v>69</v>
      </c>
      <c r="B184" s="12" t="s">
        <v>67</v>
      </c>
      <c r="C184" s="10" t="s">
        <v>62</v>
      </c>
      <c r="D184" s="10" t="s">
        <v>63</v>
      </c>
      <c r="E184" s="9">
        <v>88</v>
      </c>
      <c r="F184" s="9">
        <v>88</v>
      </c>
      <c r="G184" s="9">
        <v>1</v>
      </c>
      <c r="H184" s="10" t="s">
        <v>63</v>
      </c>
      <c r="I184" s="9">
        <v>1</v>
      </c>
      <c r="J184" s="9">
        <v>0.544688374007819</v>
      </c>
      <c r="K184" s="10" t="s">
        <v>51</v>
      </c>
      <c r="L184" s="9">
        <v>1</v>
      </c>
      <c r="M184" s="9">
        <v>88</v>
      </c>
      <c r="N184" s="9">
        <v>88</v>
      </c>
      <c r="O184" s="9">
        <v>39</v>
      </c>
      <c r="P184" s="9">
        <v>104.30000729199701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9">
        <v>104.290768334002</v>
      </c>
      <c r="AC184" s="9">
        <v>104.30000729199701</v>
      </c>
      <c r="AD184" s="9">
        <v>104.78345637499299</v>
      </c>
      <c r="AE184" s="9">
        <v>104.78345637499299</v>
      </c>
      <c r="AF184" s="9">
        <v>104.78345637499299</v>
      </c>
      <c r="AG184" s="9">
        <v>105.335116916991</v>
      </c>
      <c r="AH184" s="10" t="s">
        <v>63</v>
      </c>
      <c r="AI184" s="9">
        <v>1</v>
      </c>
      <c r="AJ184" s="9">
        <v>0.544688374007819</v>
      </c>
      <c r="AK184" s="10" t="s">
        <v>51</v>
      </c>
      <c r="AL184" s="8"/>
      <c r="AM184" s="8"/>
      <c r="AN184" s="8"/>
      <c r="AO184" s="9">
        <v>5</v>
      </c>
      <c r="AP184" s="9">
        <v>1</v>
      </c>
      <c r="AQ184" s="10" t="s">
        <v>110</v>
      </c>
      <c r="AR184" s="10" t="s">
        <v>53</v>
      </c>
      <c r="AS184" s="8"/>
      <c r="AT184" s="10" t="s">
        <v>54</v>
      </c>
      <c r="AU184" s="9">
        <v>121.002689767825</v>
      </c>
      <c r="AV184" s="10" t="s">
        <v>111</v>
      </c>
      <c r="AW184" s="8"/>
    </row>
    <row r="185" spans="1:49" x14ac:dyDescent="0.15">
      <c r="A185" s="11" t="s">
        <v>66</v>
      </c>
      <c r="B185" s="12" t="s">
        <v>67</v>
      </c>
      <c r="C185" s="10" t="s">
        <v>62</v>
      </c>
      <c r="D185" s="10" t="s">
        <v>63</v>
      </c>
      <c r="E185" s="9">
        <v>91</v>
      </c>
      <c r="F185" s="9">
        <v>91</v>
      </c>
      <c r="G185" s="9">
        <v>0</v>
      </c>
      <c r="H185" s="10" t="s">
        <v>63</v>
      </c>
      <c r="I185" s="9">
        <v>1</v>
      </c>
      <c r="J185" s="9">
        <v>0.37740516600024399</v>
      </c>
      <c r="K185" s="10" t="s">
        <v>51</v>
      </c>
      <c r="L185" s="9">
        <v>0</v>
      </c>
      <c r="M185" s="9">
        <v>91</v>
      </c>
      <c r="N185" s="9">
        <v>91</v>
      </c>
      <c r="O185" s="9">
        <v>47</v>
      </c>
      <c r="P185" s="9">
        <v>108.06473666700199</v>
      </c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9">
        <v>108.05556612499601</v>
      </c>
      <c r="AC185" s="9">
        <v>108.06473666700199</v>
      </c>
      <c r="AD185" s="9">
        <v>108.54271512500399</v>
      </c>
      <c r="AE185" s="9">
        <v>108.54271512500399</v>
      </c>
      <c r="AF185" s="9">
        <v>108.54271512500399</v>
      </c>
      <c r="AG185" s="9">
        <v>108.92479679199501</v>
      </c>
      <c r="AH185" s="10" t="s">
        <v>63</v>
      </c>
      <c r="AI185" s="9">
        <v>1</v>
      </c>
      <c r="AJ185" s="9">
        <v>0.37740516600024399</v>
      </c>
      <c r="AK185" s="10" t="s">
        <v>51</v>
      </c>
      <c r="AL185" s="8"/>
      <c r="AM185" s="8"/>
      <c r="AN185" s="8"/>
      <c r="AO185" s="9">
        <v>5</v>
      </c>
      <c r="AP185" s="9">
        <v>1</v>
      </c>
      <c r="AQ185" s="10" t="s">
        <v>110</v>
      </c>
      <c r="AR185" s="10" t="s">
        <v>53</v>
      </c>
      <c r="AS185" s="8"/>
      <c r="AT185" s="10" t="s">
        <v>54</v>
      </c>
      <c r="AU185" s="9">
        <v>121.002689767825</v>
      </c>
      <c r="AV185" s="10" t="s">
        <v>111</v>
      </c>
      <c r="AW185" s="8"/>
    </row>
    <row r="186" spans="1:49" x14ac:dyDescent="0.15">
      <c r="A186" s="11" t="s">
        <v>82</v>
      </c>
      <c r="B186" s="12" t="s">
        <v>67</v>
      </c>
      <c r="C186" s="10" t="s">
        <v>58</v>
      </c>
      <c r="D186" s="10" t="s">
        <v>59</v>
      </c>
      <c r="E186" s="9">
        <v>92</v>
      </c>
      <c r="F186" s="9">
        <v>92</v>
      </c>
      <c r="G186" s="9">
        <v>1</v>
      </c>
      <c r="H186" s="10" t="s">
        <v>59</v>
      </c>
      <c r="I186" s="9">
        <v>1</v>
      </c>
      <c r="J186" s="9">
        <v>0.46410404099151498</v>
      </c>
      <c r="K186" s="10" t="s">
        <v>51</v>
      </c>
      <c r="L186" s="9">
        <v>1</v>
      </c>
      <c r="M186" s="9">
        <v>92</v>
      </c>
      <c r="N186" s="9">
        <v>92</v>
      </c>
      <c r="O186" s="9">
        <v>36</v>
      </c>
      <c r="P186" s="9">
        <v>108.939064459002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9">
        <v>108.92970912499</v>
      </c>
      <c r="AC186" s="9">
        <v>108.939064459002</v>
      </c>
      <c r="AD186" s="9">
        <v>109.42509199999</v>
      </c>
      <c r="AE186" s="9">
        <v>109.42509199999</v>
      </c>
      <c r="AF186" s="9">
        <v>109.42509199999</v>
      </c>
      <c r="AG186" s="9">
        <v>109.891217041994</v>
      </c>
      <c r="AH186" s="10" t="s">
        <v>59</v>
      </c>
      <c r="AI186" s="9">
        <v>1</v>
      </c>
      <c r="AJ186" s="9">
        <v>0.46410404099151498</v>
      </c>
      <c r="AK186" s="10" t="s">
        <v>51</v>
      </c>
      <c r="AL186" s="8"/>
      <c r="AM186" s="8"/>
      <c r="AN186" s="8"/>
      <c r="AO186" s="9">
        <v>5</v>
      </c>
      <c r="AP186" s="9">
        <v>1</v>
      </c>
      <c r="AQ186" s="10" t="s">
        <v>110</v>
      </c>
      <c r="AR186" s="10" t="s">
        <v>53</v>
      </c>
      <c r="AS186" s="8"/>
      <c r="AT186" s="10" t="s">
        <v>54</v>
      </c>
      <c r="AU186" s="9">
        <v>121.002689767825</v>
      </c>
      <c r="AV186" s="10" t="s">
        <v>111</v>
      </c>
      <c r="AW186" s="8"/>
    </row>
    <row r="187" spans="1:49" x14ac:dyDescent="0.15">
      <c r="A187" s="11" t="s">
        <v>86</v>
      </c>
      <c r="B187" s="12" t="s">
        <v>67</v>
      </c>
      <c r="C187" s="10" t="s">
        <v>58</v>
      </c>
      <c r="D187" s="10" t="s">
        <v>59</v>
      </c>
      <c r="E187" s="9">
        <v>100</v>
      </c>
      <c r="F187" s="9">
        <v>100</v>
      </c>
      <c r="G187" s="9">
        <v>2</v>
      </c>
      <c r="H187" s="10" t="s">
        <v>59</v>
      </c>
      <c r="I187" s="9">
        <v>1</v>
      </c>
      <c r="J187" s="9">
        <v>0.25898754099034699</v>
      </c>
      <c r="K187" s="10" t="s">
        <v>51</v>
      </c>
      <c r="L187" s="9">
        <v>2</v>
      </c>
      <c r="M187" s="9">
        <v>100</v>
      </c>
      <c r="N187" s="9">
        <v>100</v>
      </c>
      <c r="O187" s="9">
        <v>34</v>
      </c>
      <c r="P187" s="9">
        <v>116.28069941699501</v>
      </c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9">
        <v>116.271944249995</v>
      </c>
      <c r="AC187" s="9">
        <v>116.28069941699501</v>
      </c>
      <c r="AD187" s="9">
        <v>116.76729304199399</v>
      </c>
      <c r="AE187" s="9">
        <v>116.76729304199399</v>
      </c>
      <c r="AF187" s="9">
        <v>116.76729304199399</v>
      </c>
      <c r="AG187" s="9">
        <v>117.035703624992</v>
      </c>
      <c r="AH187" s="10" t="s">
        <v>59</v>
      </c>
      <c r="AI187" s="9">
        <v>1</v>
      </c>
      <c r="AJ187" s="9">
        <v>0.25898754099034699</v>
      </c>
      <c r="AK187" s="10" t="s">
        <v>51</v>
      </c>
      <c r="AL187" s="8"/>
      <c r="AM187" s="8"/>
      <c r="AN187" s="8"/>
      <c r="AO187" s="9">
        <v>5</v>
      </c>
      <c r="AP187" s="9">
        <v>1</v>
      </c>
      <c r="AQ187" s="10" t="s">
        <v>110</v>
      </c>
      <c r="AR187" s="10" t="s">
        <v>53</v>
      </c>
      <c r="AS187" s="8"/>
      <c r="AT187" s="10" t="s">
        <v>54</v>
      </c>
      <c r="AU187" s="9">
        <v>121.002689767825</v>
      </c>
      <c r="AV187" s="10" t="s">
        <v>111</v>
      </c>
      <c r="AW187" s="8"/>
    </row>
    <row r="188" spans="1:49" x14ac:dyDescent="0.15">
      <c r="A188" s="11" t="s">
        <v>80</v>
      </c>
      <c r="B188" s="12" t="s">
        <v>67</v>
      </c>
      <c r="C188" s="10" t="s">
        <v>62</v>
      </c>
      <c r="D188" s="10" t="s">
        <v>63</v>
      </c>
      <c r="E188" s="9">
        <v>103</v>
      </c>
      <c r="F188" s="9">
        <v>103</v>
      </c>
      <c r="G188" s="9">
        <v>1</v>
      </c>
      <c r="H188" s="10" t="s">
        <v>63</v>
      </c>
      <c r="I188" s="9">
        <v>1</v>
      </c>
      <c r="J188" s="9">
        <v>0.57404166599735595</v>
      </c>
      <c r="K188" s="10" t="s">
        <v>51</v>
      </c>
      <c r="L188" s="9">
        <v>1</v>
      </c>
      <c r="M188" s="9">
        <v>103</v>
      </c>
      <c r="N188" s="9">
        <v>103</v>
      </c>
      <c r="O188" s="9">
        <v>33</v>
      </c>
      <c r="P188" s="9">
        <v>118.816379666998</v>
      </c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9">
        <v>118.807031874996</v>
      </c>
      <c r="AC188" s="9">
        <v>118.816379666998</v>
      </c>
      <c r="AD188" s="9">
        <v>119.30131141700301</v>
      </c>
      <c r="AE188" s="9">
        <v>119.30131141700301</v>
      </c>
      <c r="AF188" s="9">
        <v>119.30131141700301</v>
      </c>
      <c r="AG188" s="9">
        <v>119.885374249992</v>
      </c>
      <c r="AH188" s="10" t="s">
        <v>63</v>
      </c>
      <c r="AI188" s="9">
        <v>1</v>
      </c>
      <c r="AJ188" s="9">
        <v>0.57404166599735595</v>
      </c>
      <c r="AK188" s="10" t="s">
        <v>51</v>
      </c>
      <c r="AL188" s="8"/>
      <c r="AM188" s="8"/>
      <c r="AN188" s="8"/>
      <c r="AO188" s="9">
        <v>5</v>
      </c>
      <c r="AP188" s="9">
        <v>1</v>
      </c>
      <c r="AQ188" s="10" t="s">
        <v>110</v>
      </c>
      <c r="AR188" s="10" t="s">
        <v>53</v>
      </c>
      <c r="AS188" s="8"/>
      <c r="AT188" s="10" t="s">
        <v>54</v>
      </c>
      <c r="AU188" s="9">
        <v>121.002689767825</v>
      </c>
      <c r="AV188" s="10" t="s">
        <v>111</v>
      </c>
      <c r="AW188" s="8"/>
    </row>
    <row r="189" spans="1:49" x14ac:dyDescent="0.15">
      <c r="A189" s="11" t="s">
        <v>86</v>
      </c>
      <c r="B189" s="12" t="s">
        <v>67</v>
      </c>
      <c r="C189" s="10" t="s">
        <v>58</v>
      </c>
      <c r="D189" s="10" t="s">
        <v>59</v>
      </c>
      <c r="E189" s="9">
        <v>104</v>
      </c>
      <c r="F189" s="9">
        <v>104</v>
      </c>
      <c r="G189" s="9">
        <v>3</v>
      </c>
      <c r="H189" s="10" t="s">
        <v>59</v>
      </c>
      <c r="I189" s="9">
        <v>1</v>
      </c>
      <c r="J189" s="9">
        <v>0.88541495701065298</v>
      </c>
      <c r="K189" s="10" t="s">
        <v>51</v>
      </c>
      <c r="L189" s="9">
        <v>3</v>
      </c>
      <c r="M189" s="9">
        <v>104</v>
      </c>
      <c r="N189" s="9">
        <v>104</v>
      </c>
      <c r="O189" s="9">
        <v>34</v>
      </c>
      <c r="P189" s="9">
        <v>119.89856254200301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9">
        <v>119.889668333999</v>
      </c>
      <c r="AC189" s="9">
        <v>119.89856254200301</v>
      </c>
      <c r="AD189" s="9">
        <v>120.38398629199899</v>
      </c>
      <c r="AE189" s="9">
        <v>120.38398629199899</v>
      </c>
      <c r="AF189" s="9">
        <v>120.38398629199899</v>
      </c>
      <c r="AG189" s="9">
        <v>121.27540612500199</v>
      </c>
      <c r="AH189" s="10" t="s">
        <v>59</v>
      </c>
      <c r="AI189" s="9">
        <v>1</v>
      </c>
      <c r="AJ189" s="9">
        <v>0.88541495701065298</v>
      </c>
      <c r="AK189" s="10" t="s">
        <v>51</v>
      </c>
      <c r="AL189" s="8"/>
      <c r="AM189" s="8"/>
      <c r="AN189" s="8"/>
      <c r="AO189" s="9">
        <v>5</v>
      </c>
      <c r="AP189" s="9">
        <v>1</v>
      </c>
      <c r="AQ189" s="10" t="s">
        <v>110</v>
      </c>
      <c r="AR189" s="10" t="s">
        <v>53</v>
      </c>
      <c r="AS189" s="8"/>
      <c r="AT189" s="10" t="s">
        <v>54</v>
      </c>
      <c r="AU189" s="9">
        <v>121.002689767825</v>
      </c>
      <c r="AV189" s="10" t="s">
        <v>111</v>
      </c>
      <c r="AW189" s="8"/>
    </row>
    <row r="190" spans="1:49" x14ac:dyDescent="0.15">
      <c r="A190" s="11" t="s">
        <v>77</v>
      </c>
      <c r="B190" s="12" t="s">
        <v>67</v>
      </c>
      <c r="C190" s="10" t="s">
        <v>58</v>
      </c>
      <c r="D190" s="10" t="s">
        <v>59</v>
      </c>
      <c r="E190" s="9">
        <v>105</v>
      </c>
      <c r="F190" s="9">
        <v>105</v>
      </c>
      <c r="G190" s="9">
        <v>4</v>
      </c>
      <c r="H190" s="10" t="s">
        <v>59</v>
      </c>
      <c r="I190" s="9">
        <v>1</v>
      </c>
      <c r="J190" s="9">
        <v>0.49695520699606299</v>
      </c>
      <c r="K190" s="10" t="s">
        <v>51</v>
      </c>
      <c r="L190" s="9">
        <v>4</v>
      </c>
      <c r="M190" s="9">
        <v>105</v>
      </c>
      <c r="N190" s="9">
        <v>105</v>
      </c>
      <c r="O190" s="9">
        <v>40</v>
      </c>
      <c r="P190" s="9">
        <v>121.289643166994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9">
        <v>121.280307084002</v>
      </c>
      <c r="AC190" s="9">
        <v>121.289643166994</v>
      </c>
      <c r="AD190" s="9">
        <v>121.77651512499099</v>
      </c>
      <c r="AE190" s="9">
        <v>121.77651512499099</v>
      </c>
      <c r="AF190" s="9">
        <v>121.77651512499099</v>
      </c>
      <c r="AG190" s="9">
        <v>122.275334124992</v>
      </c>
      <c r="AH190" s="10" t="s">
        <v>59</v>
      </c>
      <c r="AI190" s="9">
        <v>1</v>
      </c>
      <c r="AJ190" s="9">
        <v>0.49695520699606299</v>
      </c>
      <c r="AK190" s="10" t="s">
        <v>51</v>
      </c>
      <c r="AL190" s="8"/>
      <c r="AM190" s="8"/>
      <c r="AN190" s="8"/>
      <c r="AO190" s="9">
        <v>5</v>
      </c>
      <c r="AP190" s="9">
        <v>1</v>
      </c>
      <c r="AQ190" s="10" t="s">
        <v>110</v>
      </c>
      <c r="AR190" s="10" t="s">
        <v>53</v>
      </c>
      <c r="AS190" s="8"/>
      <c r="AT190" s="10" t="s">
        <v>54</v>
      </c>
      <c r="AU190" s="9">
        <v>121.002689767825</v>
      </c>
      <c r="AV190" s="10" t="s">
        <v>111</v>
      </c>
      <c r="AW190" s="8"/>
    </row>
    <row r="191" spans="1:49" x14ac:dyDescent="0.15">
      <c r="A191" s="11" t="s">
        <v>69</v>
      </c>
      <c r="B191" s="12" t="s">
        <v>67</v>
      </c>
      <c r="C191" s="10" t="s">
        <v>58</v>
      </c>
      <c r="D191" s="10" t="s">
        <v>59</v>
      </c>
      <c r="E191" s="9">
        <v>108</v>
      </c>
      <c r="F191" s="9">
        <v>108</v>
      </c>
      <c r="G191" s="9">
        <v>1</v>
      </c>
      <c r="H191" s="10" t="s">
        <v>59</v>
      </c>
      <c r="I191" s="9">
        <v>1</v>
      </c>
      <c r="J191" s="9">
        <v>0.42512695799814498</v>
      </c>
      <c r="K191" s="10" t="s">
        <v>51</v>
      </c>
      <c r="L191" s="9">
        <v>1</v>
      </c>
      <c r="M191" s="9">
        <v>108</v>
      </c>
      <c r="N191" s="9">
        <v>108</v>
      </c>
      <c r="O191" s="9">
        <v>38</v>
      </c>
      <c r="P191" s="9">
        <v>124.540184041995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9">
        <v>124.53015074999701</v>
      </c>
      <c r="AC191" s="9">
        <v>124.540184041995</v>
      </c>
      <c r="AD191" s="9">
        <v>125.026349334003</v>
      </c>
      <c r="AE191" s="9">
        <v>125.026349334003</v>
      </c>
      <c r="AF191" s="9">
        <v>125.026349334003</v>
      </c>
      <c r="AG191" s="9">
        <v>125.458100666991</v>
      </c>
      <c r="AH191" s="10" t="s">
        <v>59</v>
      </c>
      <c r="AI191" s="9">
        <v>1</v>
      </c>
      <c r="AJ191" s="9">
        <v>0.42512695799814498</v>
      </c>
      <c r="AK191" s="10" t="s">
        <v>51</v>
      </c>
      <c r="AL191" s="8"/>
      <c r="AM191" s="8"/>
      <c r="AN191" s="8"/>
      <c r="AO191" s="9">
        <v>5</v>
      </c>
      <c r="AP191" s="9">
        <v>1</v>
      </c>
      <c r="AQ191" s="10" t="s">
        <v>110</v>
      </c>
      <c r="AR191" s="10" t="s">
        <v>53</v>
      </c>
      <c r="AS191" s="8"/>
      <c r="AT191" s="10" t="s">
        <v>54</v>
      </c>
      <c r="AU191" s="9">
        <v>121.002689767825</v>
      </c>
      <c r="AV191" s="10" t="s">
        <v>111</v>
      </c>
      <c r="AW191" s="8"/>
    </row>
    <row r="192" spans="1:49" x14ac:dyDescent="0.15">
      <c r="A192" s="11" t="s">
        <v>86</v>
      </c>
      <c r="B192" s="12" t="s">
        <v>67</v>
      </c>
      <c r="C192" s="10" t="s">
        <v>62</v>
      </c>
      <c r="D192" s="10" t="s">
        <v>63</v>
      </c>
      <c r="E192" s="9">
        <v>109</v>
      </c>
      <c r="F192" s="9">
        <v>109</v>
      </c>
      <c r="G192" s="9">
        <v>1</v>
      </c>
      <c r="H192" s="10" t="s">
        <v>63</v>
      </c>
      <c r="I192" s="9">
        <v>1</v>
      </c>
      <c r="J192" s="9">
        <v>0.37472700000216702</v>
      </c>
      <c r="K192" s="10" t="s">
        <v>51</v>
      </c>
      <c r="L192" s="9">
        <v>1</v>
      </c>
      <c r="M192" s="9">
        <v>109</v>
      </c>
      <c r="N192" s="9">
        <v>109</v>
      </c>
      <c r="O192" s="9">
        <v>35</v>
      </c>
      <c r="P192" s="9">
        <v>125.473542874999</v>
      </c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9">
        <v>125.462105999992</v>
      </c>
      <c r="AC192" s="9">
        <v>125.473542874999</v>
      </c>
      <c r="AD192" s="9">
        <v>125.959822459001</v>
      </c>
      <c r="AE192" s="9">
        <v>125.959822459001</v>
      </c>
      <c r="AF192" s="9">
        <v>125.959822459001</v>
      </c>
      <c r="AG192" s="9">
        <v>126.336164791996</v>
      </c>
      <c r="AH192" s="10" t="s">
        <v>63</v>
      </c>
      <c r="AI192" s="9">
        <v>1</v>
      </c>
      <c r="AJ192" s="9">
        <v>0.37472700000216702</v>
      </c>
      <c r="AK192" s="10" t="s">
        <v>51</v>
      </c>
      <c r="AL192" s="8"/>
      <c r="AM192" s="8"/>
      <c r="AN192" s="8"/>
      <c r="AO192" s="9">
        <v>5</v>
      </c>
      <c r="AP192" s="9">
        <v>1</v>
      </c>
      <c r="AQ192" s="10" t="s">
        <v>110</v>
      </c>
      <c r="AR192" s="10" t="s">
        <v>53</v>
      </c>
      <c r="AS192" s="8"/>
      <c r="AT192" s="10" t="s">
        <v>54</v>
      </c>
      <c r="AU192" s="9">
        <v>121.002689767825</v>
      </c>
      <c r="AV192" s="10" t="s">
        <v>111</v>
      </c>
      <c r="AW192" s="8"/>
    </row>
    <row r="193" spans="1:49" x14ac:dyDescent="0.15">
      <c r="A193" s="11" t="s">
        <v>66</v>
      </c>
      <c r="B193" s="12" t="s">
        <v>67</v>
      </c>
      <c r="C193" s="10" t="s">
        <v>62</v>
      </c>
      <c r="D193" s="10" t="s">
        <v>63</v>
      </c>
      <c r="E193" s="9">
        <v>111</v>
      </c>
      <c r="F193" s="9">
        <v>111</v>
      </c>
      <c r="G193" s="9">
        <v>1</v>
      </c>
      <c r="H193" s="10" t="s">
        <v>63</v>
      </c>
      <c r="I193" s="9">
        <v>1</v>
      </c>
      <c r="J193" s="9">
        <v>0.40267295799276298</v>
      </c>
      <c r="K193" s="10" t="s">
        <v>51</v>
      </c>
      <c r="L193" s="9">
        <v>1</v>
      </c>
      <c r="M193" s="9">
        <v>111</v>
      </c>
      <c r="N193" s="9">
        <v>111</v>
      </c>
      <c r="O193" s="9">
        <v>47</v>
      </c>
      <c r="P193" s="9">
        <v>127.26720966699899</v>
      </c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9">
        <v>127.25786208399199</v>
      </c>
      <c r="AC193" s="9">
        <v>127.26720966699899</v>
      </c>
      <c r="AD193" s="9">
        <v>127.75078008399601</v>
      </c>
      <c r="AE193" s="9">
        <v>127.75078008399601</v>
      </c>
      <c r="AF193" s="9">
        <v>127.75078008399601</v>
      </c>
      <c r="AG193" s="9">
        <v>128.15846887500101</v>
      </c>
      <c r="AH193" s="10" t="s">
        <v>63</v>
      </c>
      <c r="AI193" s="9">
        <v>1</v>
      </c>
      <c r="AJ193" s="9">
        <v>0.40267295799276298</v>
      </c>
      <c r="AK193" s="10" t="s">
        <v>51</v>
      </c>
      <c r="AL193" s="8"/>
      <c r="AM193" s="8"/>
      <c r="AN193" s="8"/>
      <c r="AO193" s="9">
        <v>5</v>
      </c>
      <c r="AP193" s="9">
        <v>1</v>
      </c>
      <c r="AQ193" s="10" t="s">
        <v>110</v>
      </c>
      <c r="AR193" s="10" t="s">
        <v>53</v>
      </c>
      <c r="AS193" s="8"/>
      <c r="AT193" s="10" t="s">
        <v>54</v>
      </c>
      <c r="AU193" s="9">
        <v>121.002689767825</v>
      </c>
      <c r="AV193" s="10" t="s">
        <v>111</v>
      </c>
      <c r="AW193" s="8"/>
    </row>
    <row r="194" spans="1:49" x14ac:dyDescent="0.15">
      <c r="A194" s="11" t="s">
        <v>76</v>
      </c>
      <c r="B194" s="12" t="s">
        <v>67</v>
      </c>
      <c r="C194" s="10" t="s">
        <v>62</v>
      </c>
      <c r="D194" s="10" t="s">
        <v>63</v>
      </c>
      <c r="E194" s="9">
        <v>113</v>
      </c>
      <c r="F194" s="9">
        <v>113</v>
      </c>
      <c r="G194" s="9">
        <v>1</v>
      </c>
      <c r="H194" s="10" t="s">
        <v>63</v>
      </c>
      <c r="I194" s="9">
        <v>1</v>
      </c>
      <c r="J194" s="9">
        <v>0.60120304100564703</v>
      </c>
      <c r="K194" s="10" t="s">
        <v>51</v>
      </c>
      <c r="L194" s="9">
        <v>1</v>
      </c>
      <c r="M194" s="9">
        <v>113</v>
      </c>
      <c r="N194" s="9">
        <v>113</v>
      </c>
      <c r="O194" s="9">
        <v>43</v>
      </c>
      <c r="P194" s="9">
        <v>129.132865874999</v>
      </c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9">
        <v>129.12381816699099</v>
      </c>
      <c r="AC194" s="9">
        <v>129.132865874999</v>
      </c>
      <c r="AD194" s="9">
        <v>129.61743037500099</v>
      </c>
      <c r="AE194" s="9">
        <v>129.61743037500099</v>
      </c>
      <c r="AF194" s="9">
        <v>129.61743037500099</v>
      </c>
      <c r="AG194" s="9">
        <v>130.22608304199801</v>
      </c>
      <c r="AH194" s="10" t="s">
        <v>63</v>
      </c>
      <c r="AI194" s="9">
        <v>1</v>
      </c>
      <c r="AJ194" s="9">
        <v>0.60120304100564703</v>
      </c>
      <c r="AK194" s="10" t="s">
        <v>51</v>
      </c>
      <c r="AL194" s="8"/>
      <c r="AM194" s="8"/>
      <c r="AN194" s="8"/>
      <c r="AO194" s="9">
        <v>5</v>
      </c>
      <c r="AP194" s="9">
        <v>1</v>
      </c>
      <c r="AQ194" s="10" t="s">
        <v>110</v>
      </c>
      <c r="AR194" s="10" t="s">
        <v>53</v>
      </c>
      <c r="AS194" s="8"/>
      <c r="AT194" s="10" t="s">
        <v>54</v>
      </c>
      <c r="AU194" s="9">
        <v>121.002689767825</v>
      </c>
      <c r="AV194" s="10" t="s">
        <v>111</v>
      </c>
      <c r="AW194" s="8"/>
    </row>
    <row r="195" spans="1:49" x14ac:dyDescent="0.15">
      <c r="A195" s="11" t="s">
        <v>81</v>
      </c>
      <c r="B195" s="12" t="s">
        <v>67</v>
      </c>
      <c r="C195" s="10" t="s">
        <v>58</v>
      </c>
      <c r="D195" s="10" t="s">
        <v>59</v>
      </c>
      <c r="E195" s="9">
        <v>118</v>
      </c>
      <c r="F195" s="9">
        <v>118</v>
      </c>
      <c r="G195" s="9">
        <v>3</v>
      </c>
      <c r="H195" s="10" t="s">
        <v>59</v>
      </c>
      <c r="I195" s="9">
        <v>1</v>
      </c>
      <c r="J195" s="9">
        <v>0.318363083002623</v>
      </c>
      <c r="K195" s="10" t="s">
        <v>51</v>
      </c>
      <c r="L195" s="9">
        <v>3</v>
      </c>
      <c r="M195" s="9">
        <v>118</v>
      </c>
      <c r="N195" s="9">
        <v>118</v>
      </c>
      <c r="O195" s="9">
        <v>44</v>
      </c>
      <c r="P195" s="9">
        <v>133.71715687499099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9">
        <v>133.70768362499101</v>
      </c>
      <c r="AC195" s="9">
        <v>133.71715687499099</v>
      </c>
      <c r="AD195" s="9">
        <v>134.201295416991</v>
      </c>
      <c r="AE195" s="9">
        <v>134.201295416991</v>
      </c>
      <c r="AF195" s="9">
        <v>134.201295416991</v>
      </c>
      <c r="AG195" s="9">
        <v>134.52562791699901</v>
      </c>
      <c r="AH195" s="10" t="s">
        <v>59</v>
      </c>
      <c r="AI195" s="9">
        <v>1</v>
      </c>
      <c r="AJ195" s="9">
        <v>0.318363083002623</v>
      </c>
      <c r="AK195" s="10" t="s">
        <v>51</v>
      </c>
      <c r="AL195" s="8"/>
      <c r="AM195" s="8"/>
      <c r="AN195" s="8"/>
      <c r="AO195" s="9">
        <v>5</v>
      </c>
      <c r="AP195" s="9">
        <v>1</v>
      </c>
      <c r="AQ195" s="10" t="s">
        <v>110</v>
      </c>
      <c r="AR195" s="10" t="s">
        <v>53</v>
      </c>
      <c r="AS195" s="8"/>
      <c r="AT195" s="10" t="s">
        <v>54</v>
      </c>
      <c r="AU195" s="9">
        <v>121.002689767825</v>
      </c>
      <c r="AV195" s="10" t="s">
        <v>111</v>
      </c>
      <c r="AW195" s="8"/>
    </row>
    <row r="196" spans="1:49" x14ac:dyDescent="0.15">
      <c r="A196" s="11" t="s">
        <v>66</v>
      </c>
      <c r="B196" s="12" t="s">
        <v>67</v>
      </c>
      <c r="C196" s="10" t="s">
        <v>62</v>
      </c>
      <c r="D196" s="10" t="s">
        <v>63</v>
      </c>
      <c r="E196" s="9">
        <v>121</v>
      </c>
      <c r="F196" s="9">
        <v>121</v>
      </c>
      <c r="G196" s="9">
        <v>2</v>
      </c>
      <c r="H196" s="10" t="s">
        <v>63</v>
      </c>
      <c r="I196" s="9">
        <v>1</v>
      </c>
      <c r="J196" s="9">
        <v>0.407646125007886</v>
      </c>
      <c r="K196" s="10" t="s">
        <v>51</v>
      </c>
      <c r="L196" s="9">
        <v>2</v>
      </c>
      <c r="M196" s="9">
        <v>121</v>
      </c>
      <c r="N196" s="9">
        <v>121</v>
      </c>
      <c r="O196" s="9">
        <v>47</v>
      </c>
      <c r="P196" s="9">
        <v>136.31674887500401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9">
        <v>136.30728929200299</v>
      </c>
      <c r="AC196" s="9">
        <v>136.31674887500401</v>
      </c>
      <c r="AD196" s="9">
        <v>136.80100491699699</v>
      </c>
      <c r="AE196" s="9">
        <v>136.80100491699699</v>
      </c>
      <c r="AF196" s="9">
        <v>136.80100491699699</v>
      </c>
      <c r="AG196" s="9">
        <v>137.21987004199801</v>
      </c>
      <c r="AH196" s="10" t="s">
        <v>63</v>
      </c>
      <c r="AI196" s="9">
        <v>1</v>
      </c>
      <c r="AJ196" s="9">
        <v>0.407646125007886</v>
      </c>
      <c r="AK196" s="10" t="s">
        <v>51</v>
      </c>
      <c r="AL196" s="8"/>
      <c r="AM196" s="8"/>
      <c r="AN196" s="8"/>
      <c r="AO196" s="9">
        <v>5</v>
      </c>
      <c r="AP196" s="9">
        <v>1</v>
      </c>
      <c r="AQ196" s="10" t="s">
        <v>110</v>
      </c>
      <c r="AR196" s="10" t="s">
        <v>53</v>
      </c>
      <c r="AS196" s="8"/>
      <c r="AT196" s="10" t="s">
        <v>54</v>
      </c>
      <c r="AU196" s="9">
        <v>121.002689767825</v>
      </c>
      <c r="AV196" s="10" t="s">
        <v>111</v>
      </c>
      <c r="AW196" s="8"/>
    </row>
    <row r="197" spans="1:49" x14ac:dyDescent="0.15">
      <c r="A197" s="11" t="s">
        <v>77</v>
      </c>
      <c r="B197" s="12" t="s">
        <v>67</v>
      </c>
      <c r="C197" s="10" t="s">
        <v>62</v>
      </c>
      <c r="D197" s="10" t="s">
        <v>63</v>
      </c>
      <c r="E197" s="9">
        <v>122</v>
      </c>
      <c r="F197" s="9">
        <v>122</v>
      </c>
      <c r="G197" s="9">
        <v>1</v>
      </c>
      <c r="H197" s="10" t="s">
        <v>63</v>
      </c>
      <c r="I197" s="9">
        <v>1</v>
      </c>
      <c r="J197" s="9">
        <v>0.78872262500226498</v>
      </c>
      <c r="K197" s="10" t="s">
        <v>51</v>
      </c>
      <c r="L197" s="9">
        <v>1</v>
      </c>
      <c r="M197" s="9">
        <v>122</v>
      </c>
      <c r="N197" s="9">
        <v>122</v>
      </c>
      <c r="O197" s="9">
        <v>41</v>
      </c>
      <c r="P197" s="9">
        <v>137.233707958992</v>
      </c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9">
        <v>137.22439474999601</v>
      </c>
      <c r="AC197" s="9">
        <v>137.233707958992</v>
      </c>
      <c r="AD197" s="9">
        <v>137.718059416991</v>
      </c>
      <c r="AE197" s="9">
        <v>137.718059416991</v>
      </c>
      <c r="AF197" s="9">
        <v>137.718059416991</v>
      </c>
      <c r="AG197" s="9">
        <v>138.50928791699701</v>
      </c>
      <c r="AH197" s="10" t="s">
        <v>63</v>
      </c>
      <c r="AI197" s="9">
        <v>1</v>
      </c>
      <c r="AJ197" s="9">
        <v>0.78872262500226498</v>
      </c>
      <c r="AK197" s="10" t="s">
        <v>51</v>
      </c>
      <c r="AL197" s="8"/>
      <c r="AM197" s="8"/>
      <c r="AN197" s="8"/>
      <c r="AO197" s="9">
        <v>5</v>
      </c>
      <c r="AP197" s="9">
        <v>1</v>
      </c>
      <c r="AQ197" s="10" t="s">
        <v>110</v>
      </c>
      <c r="AR197" s="10" t="s">
        <v>53</v>
      </c>
      <c r="AS197" s="8"/>
      <c r="AT197" s="10" t="s">
        <v>54</v>
      </c>
      <c r="AU197" s="9">
        <v>121.002689767825</v>
      </c>
      <c r="AV197" s="10" t="s">
        <v>111</v>
      </c>
      <c r="AW197" s="8"/>
    </row>
    <row r="198" spans="1:49" x14ac:dyDescent="0.15">
      <c r="A198" s="11" t="s">
        <v>82</v>
      </c>
      <c r="B198" s="12" t="s">
        <v>67</v>
      </c>
      <c r="C198" s="10" t="s">
        <v>62</v>
      </c>
      <c r="D198" s="10" t="s">
        <v>63</v>
      </c>
      <c r="E198" s="9">
        <v>127</v>
      </c>
      <c r="F198" s="9">
        <v>127</v>
      </c>
      <c r="G198" s="9">
        <v>1</v>
      </c>
      <c r="H198" s="10" t="s">
        <v>63</v>
      </c>
      <c r="I198" s="9">
        <v>1</v>
      </c>
      <c r="J198" s="9">
        <v>0.55696704098954797</v>
      </c>
      <c r="K198" s="10" t="s">
        <v>51</v>
      </c>
      <c r="L198" s="9">
        <v>1</v>
      </c>
      <c r="M198" s="9">
        <v>127</v>
      </c>
      <c r="N198" s="9">
        <v>127</v>
      </c>
      <c r="O198" s="9">
        <v>37</v>
      </c>
      <c r="P198" s="9">
        <v>142.90695329199701</v>
      </c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9">
        <v>142.897421959002</v>
      </c>
      <c r="AC198" s="9">
        <v>142.90695329199701</v>
      </c>
      <c r="AD198" s="9">
        <v>143.393965791998</v>
      </c>
      <c r="AE198" s="9">
        <v>143.393965791998</v>
      </c>
      <c r="AF198" s="9">
        <v>143.393965791998</v>
      </c>
      <c r="AG198" s="9">
        <v>143.95342887499999</v>
      </c>
      <c r="AH198" s="10" t="s">
        <v>63</v>
      </c>
      <c r="AI198" s="9">
        <v>1</v>
      </c>
      <c r="AJ198" s="9">
        <v>0.55696704098954797</v>
      </c>
      <c r="AK198" s="10" t="s">
        <v>51</v>
      </c>
      <c r="AL198" s="8"/>
      <c r="AM198" s="8"/>
      <c r="AN198" s="8"/>
      <c r="AO198" s="9">
        <v>5</v>
      </c>
      <c r="AP198" s="9">
        <v>1</v>
      </c>
      <c r="AQ198" s="10" t="s">
        <v>110</v>
      </c>
      <c r="AR198" s="10" t="s">
        <v>53</v>
      </c>
      <c r="AS198" s="8"/>
      <c r="AT198" s="10" t="s">
        <v>54</v>
      </c>
      <c r="AU198" s="9">
        <v>121.002689767825</v>
      </c>
      <c r="AV198" s="10" t="s">
        <v>111</v>
      </c>
      <c r="AW198" s="8"/>
    </row>
    <row r="199" spans="1:49" x14ac:dyDescent="0.15">
      <c r="A199" s="11" t="s">
        <v>76</v>
      </c>
      <c r="B199" s="12" t="s">
        <v>67</v>
      </c>
      <c r="C199" s="10" t="s">
        <v>62</v>
      </c>
      <c r="D199" s="10" t="s">
        <v>63</v>
      </c>
      <c r="E199" s="9">
        <v>130</v>
      </c>
      <c r="F199" s="9">
        <v>130</v>
      </c>
      <c r="G199" s="9">
        <v>2</v>
      </c>
      <c r="H199" s="10" t="s">
        <v>63</v>
      </c>
      <c r="I199" s="9">
        <v>1</v>
      </c>
      <c r="J199" s="9">
        <v>0.729527666000649</v>
      </c>
      <c r="K199" s="10" t="s">
        <v>51</v>
      </c>
      <c r="L199" s="9">
        <v>2</v>
      </c>
      <c r="M199" s="9">
        <v>130</v>
      </c>
      <c r="N199" s="9">
        <v>130</v>
      </c>
      <c r="O199" s="9">
        <v>43</v>
      </c>
      <c r="P199" s="9">
        <v>145.667715208998</v>
      </c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9">
        <v>145.65857287499199</v>
      </c>
      <c r="AC199" s="9">
        <v>145.667715208998</v>
      </c>
      <c r="AD199" s="9">
        <v>146.15137079199499</v>
      </c>
      <c r="AE199" s="9">
        <v>146.15137079199499</v>
      </c>
      <c r="AF199" s="9">
        <v>146.15137079199499</v>
      </c>
      <c r="AG199" s="9">
        <v>146.886887917004</v>
      </c>
      <c r="AH199" s="10" t="s">
        <v>63</v>
      </c>
      <c r="AI199" s="9">
        <v>1</v>
      </c>
      <c r="AJ199" s="9">
        <v>0.729527666000649</v>
      </c>
      <c r="AK199" s="10" t="s">
        <v>51</v>
      </c>
      <c r="AL199" s="8"/>
      <c r="AM199" s="8"/>
      <c r="AN199" s="8"/>
      <c r="AO199" s="9">
        <v>5</v>
      </c>
      <c r="AP199" s="9">
        <v>1</v>
      </c>
      <c r="AQ199" s="10" t="s">
        <v>110</v>
      </c>
      <c r="AR199" s="10" t="s">
        <v>53</v>
      </c>
      <c r="AS199" s="8"/>
      <c r="AT199" s="10" t="s">
        <v>54</v>
      </c>
      <c r="AU199" s="9">
        <v>121.002689767825</v>
      </c>
      <c r="AV199" s="10" t="s">
        <v>111</v>
      </c>
      <c r="AW199" s="8"/>
    </row>
    <row r="200" spans="1:49" x14ac:dyDescent="0.15">
      <c r="A200" s="11" t="s">
        <v>76</v>
      </c>
      <c r="B200" s="12" t="s">
        <v>67</v>
      </c>
      <c r="C200" s="10" t="s">
        <v>58</v>
      </c>
      <c r="D200" s="10" t="s">
        <v>59</v>
      </c>
      <c r="E200" s="9">
        <v>132</v>
      </c>
      <c r="F200" s="9">
        <v>132</v>
      </c>
      <c r="G200" s="9">
        <v>2</v>
      </c>
      <c r="H200" s="10" t="s">
        <v>59</v>
      </c>
      <c r="I200" s="9">
        <v>1</v>
      </c>
      <c r="J200" s="9">
        <v>0.37408266599231899</v>
      </c>
      <c r="K200" s="10" t="s">
        <v>51</v>
      </c>
      <c r="L200" s="9">
        <v>2</v>
      </c>
      <c r="M200" s="9">
        <v>132</v>
      </c>
      <c r="N200" s="9">
        <v>132</v>
      </c>
      <c r="O200" s="9">
        <v>42</v>
      </c>
      <c r="P200" s="9">
        <v>147.90111354200101</v>
      </c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9">
        <v>147.89191362500401</v>
      </c>
      <c r="AC200" s="9">
        <v>147.90111354200101</v>
      </c>
      <c r="AD200" s="9">
        <v>148.38477820900201</v>
      </c>
      <c r="AE200" s="9">
        <v>148.38477820900201</v>
      </c>
      <c r="AF200" s="9">
        <v>148.38477820900201</v>
      </c>
      <c r="AG200" s="9">
        <v>148.77023420899101</v>
      </c>
      <c r="AH200" s="10" t="s">
        <v>59</v>
      </c>
      <c r="AI200" s="9">
        <v>1</v>
      </c>
      <c r="AJ200" s="9">
        <v>0.37408266599231899</v>
      </c>
      <c r="AK200" s="10" t="s">
        <v>51</v>
      </c>
      <c r="AL200" s="8"/>
      <c r="AM200" s="8"/>
      <c r="AN200" s="8"/>
      <c r="AO200" s="9">
        <v>5</v>
      </c>
      <c r="AP200" s="9">
        <v>1</v>
      </c>
      <c r="AQ200" s="10" t="s">
        <v>110</v>
      </c>
      <c r="AR200" s="10" t="s">
        <v>53</v>
      </c>
      <c r="AS200" s="8"/>
      <c r="AT200" s="10" t="s">
        <v>54</v>
      </c>
      <c r="AU200" s="9">
        <v>121.002689767825</v>
      </c>
      <c r="AV200" s="10" t="s">
        <v>111</v>
      </c>
      <c r="AW200" s="8"/>
    </row>
    <row r="201" spans="1:49" x14ac:dyDescent="0.15">
      <c r="A201" s="11" t="s">
        <v>69</v>
      </c>
      <c r="B201" s="12" t="s">
        <v>67</v>
      </c>
      <c r="C201" s="10" t="s">
        <v>62</v>
      </c>
      <c r="D201" s="10" t="s">
        <v>63</v>
      </c>
      <c r="E201" s="9">
        <v>133</v>
      </c>
      <c r="F201" s="9">
        <v>133</v>
      </c>
      <c r="G201" s="9">
        <v>2</v>
      </c>
      <c r="H201" s="10" t="s">
        <v>63</v>
      </c>
      <c r="I201" s="9">
        <v>1</v>
      </c>
      <c r="J201" s="9">
        <v>0.45761749999655899</v>
      </c>
      <c r="K201" s="10" t="s">
        <v>51</v>
      </c>
      <c r="L201" s="9">
        <v>2</v>
      </c>
      <c r="M201" s="9">
        <v>133</v>
      </c>
      <c r="N201" s="9">
        <v>133</v>
      </c>
      <c r="O201" s="9">
        <v>39</v>
      </c>
      <c r="P201" s="9">
        <v>148.78386204199299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9">
        <v>148.774463916998</v>
      </c>
      <c r="AC201" s="9">
        <v>148.78386204199299</v>
      </c>
      <c r="AD201" s="9">
        <v>149.26825949999301</v>
      </c>
      <c r="AE201" s="9">
        <v>149.26825949999301</v>
      </c>
      <c r="AF201" s="9">
        <v>149.26825949999301</v>
      </c>
      <c r="AG201" s="9">
        <v>149.73723745898999</v>
      </c>
      <c r="AH201" s="10" t="s">
        <v>63</v>
      </c>
      <c r="AI201" s="9">
        <v>1</v>
      </c>
      <c r="AJ201" s="9">
        <v>0.45761749999655899</v>
      </c>
      <c r="AK201" s="10" t="s">
        <v>51</v>
      </c>
      <c r="AL201" s="8"/>
      <c r="AM201" s="8"/>
      <c r="AN201" s="8"/>
      <c r="AO201" s="9">
        <v>5</v>
      </c>
      <c r="AP201" s="9">
        <v>1</v>
      </c>
      <c r="AQ201" s="10" t="s">
        <v>110</v>
      </c>
      <c r="AR201" s="10" t="s">
        <v>53</v>
      </c>
      <c r="AS201" s="8"/>
      <c r="AT201" s="10" t="s">
        <v>54</v>
      </c>
      <c r="AU201" s="9">
        <v>121.002689767825</v>
      </c>
      <c r="AV201" s="10" t="s">
        <v>111</v>
      </c>
      <c r="AW201" s="8"/>
    </row>
    <row r="202" spans="1:49" x14ac:dyDescent="0.15">
      <c r="A202" s="11" t="s">
        <v>80</v>
      </c>
      <c r="B202" s="12" t="s">
        <v>67</v>
      </c>
      <c r="C202" s="10" t="s">
        <v>62</v>
      </c>
      <c r="D202" s="10" t="s">
        <v>63</v>
      </c>
      <c r="E202" s="9">
        <v>135</v>
      </c>
      <c r="F202" s="9">
        <v>135</v>
      </c>
      <c r="G202" s="9">
        <v>2</v>
      </c>
      <c r="H202" s="10" t="s">
        <v>63</v>
      </c>
      <c r="I202" s="9">
        <v>1</v>
      </c>
      <c r="J202" s="9">
        <v>0.318425916004344</v>
      </c>
      <c r="K202" s="10" t="s">
        <v>51</v>
      </c>
      <c r="L202" s="9">
        <v>2</v>
      </c>
      <c r="M202" s="9">
        <v>135</v>
      </c>
      <c r="N202" s="9">
        <v>135</v>
      </c>
      <c r="O202" s="9">
        <v>33</v>
      </c>
      <c r="P202" s="9">
        <v>150.71822154200299</v>
      </c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9">
        <v>150.70897616699199</v>
      </c>
      <c r="AC202" s="9">
        <v>150.71822154200299</v>
      </c>
      <c r="AD202" s="9">
        <v>151.20151237500301</v>
      </c>
      <c r="AE202" s="9">
        <v>151.20151237500301</v>
      </c>
      <c r="AF202" s="9">
        <v>151.20151237500301</v>
      </c>
      <c r="AG202" s="9">
        <v>151.526219833992</v>
      </c>
      <c r="AH202" s="10" t="s">
        <v>63</v>
      </c>
      <c r="AI202" s="9">
        <v>1</v>
      </c>
      <c r="AJ202" s="9">
        <v>0.318425916004344</v>
      </c>
      <c r="AK202" s="10" t="s">
        <v>51</v>
      </c>
      <c r="AL202" s="8"/>
      <c r="AM202" s="8"/>
      <c r="AN202" s="8"/>
      <c r="AO202" s="9">
        <v>5</v>
      </c>
      <c r="AP202" s="9">
        <v>1</v>
      </c>
      <c r="AQ202" s="10" t="s">
        <v>110</v>
      </c>
      <c r="AR202" s="10" t="s">
        <v>53</v>
      </c>
      <c r="AS202" s="8"/>
      <c r="AT202" s="10" t="s">
        <v>54</v>
      </c>
      <c r="AU202" s="9">
        <v>121.002689767825</v>
      </c>
      <c r="AV202" s="10" t="s">
        <v>111</v>
      </c>
      <c r="AW202" s="8"/>
    </row>
    <row r="203" spans="1:49" x14ac:dyDescent="0.15">
      <c r="A203" s="11" t="s">
        <v>82</v>
      </c>
      <c r="B203" s="12" t="s">
        <v>67</v>
      </c>
      <c r="C203" s="10" t="s">
        <v>58</v>
      </c>
      <c r="D203" s="10" t="s">
        <v>59</v>
      </c>
      <c r="E203" s="9">
        <v>137</v>
      </c>
      <c r="F203" s="9">
        <v>137</v>
      </c>
      <c r="G203" s="9">
        <v>2</v>
      </c>
      <c r="H203" s="10" t="s">
        <v>59</v>
      </c>
      <c r="I203" s="9">
        <v>1</v>
      </c>
      <c r="J203" s="9">
        <v>0.45757083300850399</v>
      </c>
      <c r="K203" s="10" t="s">
        <v>51</v>
      </c>
      <c r="L203" s="9">
        <v>2</v>
      </c>
      <c r="M203" s="9">
        <v>137</v>
      </c>
      <c r="N203" s="9">
        <v>137</v>
      </c>
      <c r="O203" s="9">
        <v>36</v>
      </c>
      <c r="P203" s="9">
        <v>152.37432679199301</v>
      </c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9">
        <v>152.364711624992</v>
      </c>
      <c r="AC203" s="9">
        <v>152.37432679199301</v>
      </c>
      <c r="AD203" s="9">
        <v>152.86144370900001</v>
      </c>
      <c r="AE203" s="9">
        <v>152.86144370900001</v>
      </c>
      <c r="AF203" s="9">
        <v>152.86144370900001</v>
      </c>
      <c r="AG203" s="9">
        <v>153.326785708996</v>
      </c>
      <c r="AH203" s="10" t="s">
        <v>59</v>
      </c>
      <c r="AI203" s="9">
        <v>1</v>
      </c>
      <c r="AJ203" s="9">
        <v>0.45757083300850399</v>
      </c>
      <c r="AK203" s="10" t="s">
        <v>51</v>
      </c>
      <c r="AL203" s="8"/>
      <c r="AM203" s="8"/>
      <c r="AN203" s="8"/>
      <c r="AO203" s="9">
        <v>5</v>
      </c>
      <c r="AP203" s="9">
        <v>1</v>
      </c>
      <c r="AQ203" s="10" t="s">
        <v>110</v>
      </c>
      <c r="AR203" s="10" t="s">
        <v>53</v>
      </c>
      <c r="AS203" s="8"/>
      <c r="AT203" s="10" t="s">
        <v>54</v>
      </c>
      <c r="AU203" s="9">
        <v>121.002689767825</v>
      </c>
      <c r="AV203" s="10" t="s">
        <v>111</v>
      </c>
      <c r="AW203" s="8"/>
    </row>
    <row r="204" spans="1:49" x14ac:dyDescent="0.15">
      <c r="A204" s="11" t="s">
        <v>80</v>
      </c>
      <c r="B204" s="12" t="s">
        <v>67</v>
      </c>
      <c r="C204" s="10" t="s">
        <v>62</v>
      </c>
      <c r="D204" s="10" t="s">
        <v>63</v>
      </c>
      <c r="E204" s="9">
        <v>139</v>
      </c>
      <c r="F204" s="9">
        <v>139</v>
      </c>
      <c r="G204" s="9">
        <v>3</v>
      </c>
      <c r="H204" s="10" t="s">
        <v>63</v>
      </c>
      <c r="I204" s="9">
        <v>1</v>
      </c>
      <c r="J204" s="9">
        <v>0.43292249999649401</v>
      </c>
      <c r="K204" s="10" t="s">
        <v>51</v>
      </c>
      <c r="L204" s="9">
        <v>3</v>
      </c>
      <c r="M204" s="9">
        <v>139</v>
      </c>
      <c r="N204" s="9">
        <v>139</v>
      </c>
      <c r="O204" s="9">
        <v>33</v>
      </c>
      <c r="P204" s="9">
        <v>154.150620792003</v>
      </c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9">
        <v>154.141465209003</v>
      </c>
      <c r="AC204" s="9">
        <v>154.150620792003</v>
      </c>
      <c r="AD204" s="9">
        <v>154.635162042003</v>
      </c>
      <c r="AE204" s="9">
        <v>154.635162042003</v>
      </c>
      <c r="AF204" s="9">
        <v>154.635162042003</v>
      </c>
      <c r="AG204" s="9">
        <v>155.07061620899199</v>
      </c>
      <c r="AH204" s="10" t="s">
        <v>63</v>
      </c>
      <c r="AI204" s="9">
        <v>1</v>
      </c>
      <c r="AJ204" s="9">
        <v>0.43292249999649401</v>
      </c>
      <c r="AK204" s="10" t="s">
        <v>51</v>
      </c>
      <c r="AL204" s="8"/>
      <c r="AM204" s="8"/>
      <c r="AN204" s="8"/>
      <c r="AO204" s="9">
        <v>5</v>
      </c>
      <c r="AP204" s="9">
        <v>1</v>
      </c>
      <c r="AQ204" s="10" t="s">
        <v>110</v>
      </c>
      <c r="AR204" s="10" t="s">
        <v>53</v>
      </c>
      <c r="AS204" s="8"/>
      <c r="AT204" s="10" t="s">
        <v>54</v>
      </c>
      <c r="AU204" s="9">
        <v>121.002689767825</v>
      </c>
      <c r="AV204" s="10" t="s">
        <v>111</v>
      </c>
      <c r="AW204" s="8"/>
    </row>
    <row r="205" spans="1:49" x14ac:dyDescent="0.15">
      <c r="A205" s="11" t="s">
        <v>82</v>
      </c>
      <c r="B205" s="12" t="s">
        <v>67</v>
      </c>
      <c r="C205" s="10" t="s">
        <v>58</v>
      </c>
      <c r="D205" s="10" t="s">
        <v>59</v>
      </c>
      <c r="E205" s="9">
        <v>142</v>
      </c>
      <c r="F205" s="9">
        <v>142</v>
      </c>
      <c r="G205" s="9">
        <v>3</v>
      </c>
      <c r="H205" s="10" t="s">
        <v>59</v>
      </c>
      <c r="I205" s="9">
        <v>1</v>
      </c>
      <c r="J205" s="9">
        <v>0.39121595800679598</v>
      </c>
      <c r="K205" s="10" t="s">
        <v>51</v>
      </c>
      <c r="L205" s="9">
        <v>3</v>
      </c>
      <c r="M205" s="9">
        <v>142</v>
      </c>
      <c r="N205" s="9">
        <v>142</v>
      </c>
      <c r="O205" s="9">
        <v>36</v>
      </c>
      <c r="P205" s="9">
        <v>156.76794550000301</v>
      </c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9">
        <v>156.75876095899699</v>
      </c>
      <c r="AC205" s="9">
        <v>156.76794550000301</v>
      </c>
      <c r="AD205" s="9">
        <v>157.25178004200299</v>
      </c>
      <c r="AE205" s="9">
        <v>157.25178004200299</v>
      </c>
      <c r="AF205" s="9">
        <v>157.25178004200299</v>
      </c>
      <c r="AG205" s="9">
        <v>157.65380604199899</v>
      </c>
      <c r="AH205" s="10" t="s">
        <v>59</v>
      </c>
      <c r="AI205" s="9">
        <v>1</v>
      </c>
      <c r="AJ205" s="9">
        <v>0.39121595800679598</v>
      </c>
      <c r="AK205" s="10" t="s">
        <v>51</v>
      </c>
      <c r="AL205" s="8"/>
      <c r="AM205" s="8"/>
      <c r="AN205" s="8"/>
      <c r="AO205" s="9">
        <v>5</v>
      </c>
      <c r="AP205" s="9">
        <v>1</v>
      </c>
      <c r="AQ205" s="10" t="s">
        <v>110</v>
      </c>
      <c r="AR205" s="10" t="s">
        <v>53</v>
      </c>
      <c r="AS205" s="8"/>
      <c r="AT205" s="10" t="s">
        <v>54</v>
      </c>
      <c r="AU205" s="9">
        <v>121.002689767825</v>
      </c>
      <c r="AV205" s="10" t="s">
        <v>111</v>
      </c>
      <c r="AW205" s="8"/>
    </row>
    <row r="206" spans="1:49" x14ac:dyDescent="0.15">
      <c r="A206" s="11" t="s">
        <v>69</v>
      </c>
      <c r="B206" s="12" t="s">
        <v>67</v>
      </c>
      <c r="C206" s="10" t="s">
        <v>62</v>
      </c>
      <c r="D206" s="10" t="s">
        <v>63</v>
      </c>
      <c r="E206" s="9">
        <v>146</v>
      </c>
      <c r="F206" s="9">
        <v>146</v>
      </c>
      <c r="G206" s="9">
        <v>3</v>
      </c>
      <c r="H206" s="10" t="s">
        <v>63</v>
      </c>
      <c r="I206" s="9">
        <v>1</v>
      </c>
      <c r="J206" s="9">
        <v>0.29388662400015197</v>
      </c>
      <c r="K206" s="10" t="s">
        <v>51</v>
      </c>
      <c r="L206" s="9">
        <v>3</v>
      </c>
      <c r="M206" s="9">
        <v>146</v>
      </c>
      <c r="N206" s="9">
        <v>146</v>
      </c>
      <c r="O206" s="9">
        <v>39</v>
      </c>
      <c r="P206" s="9">
        <v>160.268813374991</v>
      </c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9">
        <v>160.25953537499299</v>
      </c>
      <c r="AC206" s="9">
        <v>160.268813374991</v>
      </c>
      <c r="AD206" s="9">
        <v>160.752316625003</v>
      </c>
      <c r="AE206" s="9">
        <v>160.752316625003</v>
      </c>
      <c r="AF206" s="9">
        <v>160.752316625003</v>
      </c>
      <c r="AG206" s="9">
        <v>161.054030291998</v>
      </c>
      <c r="AH206" s="10" t="s">
        <v>63</v>
      </c>
      <c r="AI206" s="9">
        <v>1</v>
      </c>
      <c r="AJ206" s="9">
        <v>0.29388662400015197</v>
      </c>
      <c r="AK206" s="10" t="s">
        <v>51</v>
      </c>
      <c r="AL206" s="8"/>
      <c r="AM206" s="8"/>
      <c r="AN206" s="8"/>
      <c r="AO206" s="9">
        <v>5</v>
      </c>
      <c r="AP206" s="9">
        <v>1</v>
      </c>
      <c r="AQ206" s="10" t="s">
        <v>110</v>
      </c>
      <c r="AR206" s="10" t="s">
        <v>53</v>
      </c>
      <c r="AS206" s="8"/>
      <c r="AT206" s="10" t="s">
        <v>54</v>
      </c>
      <c r="AU206" s="9">
        <v>121.002689767825</v>
      </c>
      <c r="AV206" s="10" t="s">
        <v>111</v>
      </c>
      <c r="AW206" s="8"/>
    </row>
    <row r="207" spans="1:49" x14ac:dyDescent="0.15">
      <c r="A207" s="11" t="s">
        <v>80</v>
      </c>
      <c r="B207" s="12" t="s">
        <v>67</v>
      </c>
      <c r="C207" s="10" t="s">
        <v>58</v>
      </c>
      <c r="D207" s="10" t="s">
        <v>59</v>
      </c>
      <c r="E207" s="9">
        <v>148</v>
      </c>
      <c r="F207" s="9">
        <v>148</v>
      </c>
      <c r="G207" s="9">
        <v>1</v>
      </c>
      <c r="H207" s="10" t="s">
        <v>59</v>
      </c>
      <c r="I207" s="9">
        <v>1</v>
      </c>
      <c r="J207" s="9">
        <v>0.35853187400789499</v>
      </c>
      <c r="K207" s="10" t="s">
        <v>51</v>
      </c>
      <c r="L207" s="9">
        <v>1</v>
      </c>
      <c r="M207" s="9">
        <v>148</v>
      </c>
      <c r="N207" s="9">
        <v>148</v>
      </c>
      <c r="O207" s="9">
        <v>32</v>
      </c>
      <c r="P207" s="9">
        <v>161.98497141699801</v>
      </c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9">
        <v>161.97574924999199</v>
      </c>
      <c r="AC207" s="9">
        <v>161.98497141699801</v>
      </c>
      <c r="AD207" s="9">
        <v>162.468634374993</v>
      </c>
      <c r="AE207" s="9">
        <v>162.468634374993</v>
      </c>
      <c r="AF207" s="9">
        <v>162.468634374993</v>
      </c>
      <c r="AG207" s="9">
        <v>162.837407999992</v>
      </c>
      <c r="AH207" s="10" t="s">
        <v>59</v>
      </c>
      <c r="AI207" s="9">
        <v>1</v>
      </c>
      <c r="AJ207" s="9">
        <v>0.35853187400789499</v>
      </c>
      <c r="AK207" s="10" t="s">
        <v>51</v>
      </c>
      <c r="AL207" s="8"/>
      <c r="AM207" s="8"/>
      <c r="AN207" s="8"/>
      <c r="AO207" s="9">
        <v>5</v>
      </c>
      <c r="AP207" s="9">
        <v>1</v>
      </c>
      <c r="AQ207" s="10" t="s">
        <v>110</v>
      </c>
      <c r="AR207" s="10" t="s">
        <v>53</v>
      </c>
      <c r="AS207" s="8"/>
      <c r="AT207" s="10" t="s">
        <v>54</v>
      </c>
      <c r="AU207" s="9">
        <v>121.002689767825</v>
      </c>
      <c r="AV207" s="10" t="s">
        <v>111</v>
      </c>
      <c r="AW207" s="8"/>
    </row>
    <row r="208" spans="1:49" x14ac:dyDescent="0.15">
      <c r="A208" s="11" t="s">
        <v>86</v>
      </c>
      <c r="B208" s="12" t="s">
        <v>67</v>
      </c>
      <c r="C208" s="10" t="s">
        <v>58</v>
      </c>
      <c r="D208" s="10" t="s">
        <v>59</v>
      </c>
      <c r="E208" s="9">
        <v>150</v>
      </c>
      <c r="F208" s="9">
        <v>150</v>
      </c>
      <c r="G208" s="9">
        <v>4</v>
      </c>
      <c r="H208" s="10" t="s">
        <v>59</v>
      </c>
      <c r="I208" s="9">
        <v>1</v>
      </c>
      <c r="J208" s="9">
        <v>0.492345165999723</v>
      </c>
      <c r="K208" s="10" t="s">
        <v>51</v>
      </c>
      <c r="L208" s="9">
        <v>4</v>
      </c>
      <c r="M208" s="9">
        <v>150</v>
      </c>
      <c r="N208" s="9">
        <v>150</v>
      </c>
      <c r="O208" s="9">
        <v>34</v>
      </c>
      <c r="P208" s="9">
        <v>163.792465791994</v>
      </c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9">
        <v>163.78276120900401</v>
      </c>
      <c r="AC208" s="9">
        <v>163.792465791994</v>
      </c>
      <c r="AD208" s="9">
        <v>164.277824791992</v>
      </c>
      <c r="AE208" s="9">
        <v>164.277824791992</v>
      </c>
      <c r="AF208" s="9">
        <v>164.277824791992</v>
      </c>
      <c r="AG208" s="9">
        <v>164.776845083994</v>
      </c>
      <c r="AH208" s="10" t="s">
        <v>59</v>
      </c>
      <c r="AI208" s="9">
        <v>1</v>
      </c>
      <c r="AJ208" s="9">
        <v>0.492345165999723</v>
      </c>
      <c r="AK208" s="10" t="s">
        <v>51</v>
      </c>
      <c r="AL208" s="8"/>
      <c r="AM208" s="8"/>
      <c r="AN208" s="8"/>
      <c r="AO208" s="9">
        <v>5</v>
      </c>
      <c r="AP208" s="9">
        <v>1</v>
      </c>
      <c r="AQ208" s="10" t="s">
        <v>110</v>
      </c>
      <c r="AR208" s="10" t="s">
        <v>53</v>
      </c>
      <c r="AS208" s="8"/>
      <c r="AT208" s="10" t="s">
        <v>54</v>
      </c>
      <c r="AU208" s="9">
        <v>121.002689767825</v>
      </c>
      <c r="AV208" s="10" t="s">
        <v>111</v>
      </c>
      <c r="AW208" s="8"/>
    </row>
    <row r="209" spans="1:49" x14ac:dyDescent="0.15">
      <c r="A209" s="11" t="s">
        <v>86</v>
      </c>
      <c r="B209" s="12" t="s">
        <v>67</v>
      </c>
      <c r="C209" s="10" t="s">
        <v>62</v>
      </c>
      <c r="D209" s="10" t="s">
        <v>63</v>
      </c>
      <c r="E209" s="9">
        <v>151</v>
      </c>
      <c r="F209" s="9">
        <v>151</v>
      </c>
      <c r="G209" s="9">
        <v>2</v>
      </c>
      <c r="H209" s="10" t="s">
        <v>63</v>
      </c>
      <c r="I209" s="9">
        <v>1</v>
      </c>
      <c r="J209" s="9">
        <v>0.61970862399903104</v>
      </c>
      <c r="K209" s="10" t="s">
        <v>51</v>
      </c>
      <c r="L209" s="9">
        <v>2</v>
      </c>
      <c r="M209" s="9">
        <v>151</v>
      </c>
      <c r="N209" s="9">
        <v>151</v>
      </c>
      <c r="O209" s="9">
        <v>35</v>
      </c>
      <c r="P209" s="9">
        <v>164.787076583991</v>
      </c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9">
        <v>164.77817112499901</v>
      </c>
      <c r="AC209" s="9">
        <v>164.787076583991</v>
      </c>
      <c r="AD209" s="9">
        <v>165.277611917001</v>
      </c>
      <c r="AE209" s="9">
        <v>165.277611917001</v>
      </c>
      <c r="AF209" s="9">
        <v>165.277611917001</v>
      </c>
      <c r="AG209" s="9">
        <v>165.90423791699899</v>
      </c>
      <c r="AH209" s="10" t="s">
        <v>63</v>
      </c>
      <c r="AI209" s="9">
        <v>1</v>
      </c>
      <c r="AJ209" s="9">
        <v>0.61970862399903104</v>
      </c>
      <c r="AK209" s="10" t="s">
        <v>51</v>
      </c>
      <c r="AL209" s="8"/>
      <c r="AM209" s="8"/>
      <c r="AN209" s="8"/>
      <c r="AO209" s="9">
        <v>5</v>
      </c>
      <c r="AP209" s="9">
        <v>1</v>
      </c>
      <c r="AQ209" s="10" t="s">
        <v>110</v>
      </c>
      <c r="AR209" s="10" t="s">
        <v>53</v>
      </c>
      <c r="AS209" s="8"/>
      <c r="AT209" s="10" t="s">
        <v>54</v>
      </c>
      <c r="AU209" s="9">
        <v>121.002689767825</v>
      </c>
      <c r="AV209" s="10" t="s">
        <v>111</v>
      </c>
      <c r="AW209" s="8"/>
    </row>
    <row r="210" spans="1:49" x14ac:dyDescent="0.15">
      <c r="A210" s="11" t="s">
        <v>77</v>
      </c>
      <c r="B210" s="12" t="s">
        <v>67</v>
      </c>
      <c r="C210" s="10" t="s">
        <v>62</v>
      </c>
      <c r="D210" s="10" t="s">
        <v>63</v>
      </c>
      <c r="E210" s="9">
        <v>152</v>
      </c>
      <c r="F210" s="9">
        <v>152</v>
      </c>
      <c r="G210" s="9">
        <v>2</v>
      </c>
      <c r="H210" s="10" t="s">
        <v>63</v>
      </c>
      <c r="I210" s="9">
        <v>1</v>
      </c>
      <c r="J210" s="9">
        <v>0.594196499005193</v>
      </c>
      <c r="K210" s="10" t="s">
        <v>51</v>
      </c>
      <c r="L210" s="9">
        <v>2</v>
      </c>
      <c r="M210" s="9">
        <v>152</v>
      </c>
      <c r="N210" s="9">
        <v>152</v>
      </c>
      <c r="O210" s="9">
        <v>41</v>
      </c>
      <c r="P210" s="9">
        <v>165.918633374997</v>
      </c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9">
        <v>165.90957054200399</v>
      </c>
      <c r="AC210" s="9">
        <v>165.918633374997</v>
      </c>
      <c r="AD210" s="9">
        <v>166.40211850000199</v>
      </c>
      <c r="AE210" s="9">
        <v>166.40211850000199</v>
      </c>
      <c r="AF210" s="9">
        <v>166.40211850000199</v>
      </c>
      <c r="AG210" s="9">
        <v>167.004210375002</v>
      </c>
      <c r="AH210" s="10" t="s">
        <v>63</v>
      </c>
      <c r="AI210" s="9">
        <v>1</v>
      </c>
      <c r="AJ210" s="9">
        <v>0.594196499005193</v>
      </c>
      <c r="AK210" s="10" t="s">
        <v>51</v>
      </c>
      <c r="AL210" s="8"/>
      <c r="AM210" s="8"/>
      <c r="AN210" s="8"/>
      <c r="AO210" s="9">
        <v>5</v>
      </c>
      <c r="AP210" s="9">
        <v>1</v>
      </c>
      <c r="AQ210" s="10" t="s">
        <v>110</v>
      </c>
      <c r="AR210" s="10" t="s">
        <v>53</v>
      </c>
      <c r="AS210" s="8"/>
      <c r="AT210" s="10" t="s">
        <v>54</v>
      </c>
      <c r="AU210" s="9">
        <v>121.002689767825</v>
      </c>
      <c r="AV210" s="10" t="s">
        <v>111</v>
      </c>
      <c r="AW210" s="8"/>
    </row>
    <row r="211" spans="1:49" x14ac:dyDescent="0.15">
      <c r="A211" s="11" t="s">
        <v>82</v>
      </c>
      <c r="B211" s="12" t="s">
        <v>67</v>
      </c>
      <c r="C211" s="10" t="s">
        <v>62</v>
      </c>
      <c r="D211" s="10" t="s">
        <v>63</v>
      </c>
      <c r="E211" s="9">
        <v>155</v>
      </c>
      <c r="F211" s="9">
        <v>155</v>
      </c>
      <c r="G211" s="9">
        <v>2</v>
      </c>
      <c r="H211" s="10" t="s">
        <v>63</v>
      </c>
      <c r="I211" s="9">
        <v>1</v>
      </c>
      <c r="J211" s="9">
        <v>0.39888937500654698</v>
      </c>
      <c r="K211" s="10" t="s">
        <v>51</v>
      </c>
      <c r="L211" s="9">
        <v>2</v>
      </c>
      <c r="M211" s="9">
        <v>155</v>
      </c>
      <c r="N211" s="9">
        <v>155</v>
      </c>
      <c r="O211" s="9">
        <v>37</v>
      </c>
      <c r="P211" s="9">
        <v>168.81822716699401</v>
      </c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9">
        <v>168.80910899999401</v>
      </c>
      <c r="AC211" s="9">
        <v>168.81822716699401</v>
      </c>
      <c r="AD211" s="9">
        <v>169.30252633399499</v>
      </c>
      <c r="AE211" s="9">
        <v>169.30252633399499</v>
      </c>
      <c r="AF211" s="9">
        <v>169.30252633399499</v>
      </c>
      <c r="AG211" s="9">
        <v>169.70430758398999</v>
      </c>
      <c r="AH211" s="10" t="s">
        <v>63</v>
      </c>
      <c r="AI211" s="9">
        <v>1</v>
      </c>
      <c r="AJ211" s="9">
        <v>0.39888937500654698</v>
      </c>
      <c r="AK211" s="10" t="s">
        <v>51</v>
      </c>
      <c r="AL211" s="8"/>
      <c r="AM211" s="8"/>
      <c r="AN211" s="8"/>
      <c r="AO211" s="9">
        <v>5</v>
      </c>
      <c r="AP211" s="9">
        <v>1</v>
      </c>
      <c r="AQ211" s="10" t="s">
        <v>110</v>
      </c>
      <c r="AR211" s="10" t="s">
        <v>53</v>
      </c>
      <c r="AS211" s="8"/>
      <c r="AT211" s="10" t="s">
        <v>54</v>
      </c>
      <c r="AU211" s="9">
        <v>121.002689767825</v>
      </c>
      <c r="AV211" s="10" t="s">
        <v>111</v>
      </c>
      <c r="AW211" s="8"/>
    </row>
    <row r="212" spans="1:49" x14ac:dyDescent="0.15">
      <c r="A212" s="11" t="s">
        <v>69</v>
      </c>
      <c r="B212" s="12" t="s">
        <v>67</v>
      </c>
      <c r="C212" s="10" t="s">
        <v>58</v>
      </c>
      <c r="D212" s="10" t="s">
        <v>59</v>
      </c>
      <c r="E212" s="9">
        <v>156</v>
      </c>
      <c r="F212" s="9">
        <v>156</v>
      </c>
      <c r="G212" s="9">
        <v>2</v>
      </c>
      <c r="H212" s="10" t="s">
        <v>59</v>
      </c>
      <c r="I212" s="9">
        <v>1</v>
      </c>
      <c r="J212" s="9">
        <v>0.40718783299962502</v>
      </c>
      <c r="K212" s="10" t="s">
        <v>51</v>
      </c>
      <c r="L212" s="9">
        <v>2</v>
      </c>
      <c r="M212" s="9">
        <v>156</v>
      </c>
      <c r="N212" s="9">
        <v>156</v>
      </c>
      <c r="O212" s="9">
        <v>38</v>
      </c>
      <c r="P212" s="9">
        <v>169.718641208994</v>
      </c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9">
        <v>169.70945445899301</v>
      </c>
      <c r="AC212" s="9">
        <v>169.718641208994</v>
      </c>
      <c r="AD212" s="9">
        <v>170.199079917002</v>
      </c>
      <c r="AE212" s="9">
        <v>170.199079917002</v>
      </c>
      <c r="AF212" s="9">
        <v>170.199079917002</v>
      </c>
      <c r="AG212" s="9">
        <v>170.61015179200299</v>
      </c>
      <c r="AH212" s="10" t="s">
        <v>59</v>
      </c>
      <c r="AI212" s="9">
        <v>1</v>
      </c>
      <c r="AJ212" s="9">
        <v>0.40718783299962502</v>
      </c>
      <c r="AK212" s="10" t="s">
        <v>51</v>
      </c>
      <c r="AL212" s="8"/>
      <c r="AM212" s="8"/>
      <c r="AN212" s="8"/>
      <c r="AO212" s="9">
        <v>5</v>
      </c>
      <c r="AP212" s="9">
        <v>1</v>
      </c>
      <c r="AQ212" s="10" t="s">
        <v>110</v>
      </c>
      <c r="AR212" s="10" t="s">
        <v>53</v>
      </c>
      <c r="AS212" s="8"/>
      <c r="AT212" s="10" t="s">
        <v>54</v>
      </c>
      <c r="AU212" s="9">
        <v>121.002689767825</v>
      </c>
      <c r="AV212" s="10" t="s">
        <v>111</v>
      </c>
      <c r="AW212" s="8"/>
    </row>
    <row r="213" spans="1:49" x14ac:dyDescent="0.15">
      <c r="A213" s="11" t="s">
        <v>66</v>
      </c>
      <c r="B213" s="12" t="s">
        <v>67</v>
      </c>
      <c r="C213" s="10" t="s">
        <v>58</v>
      </c>
      <c r="D213" s="10" t="s">
        <v>59</v>
      </c>
      <c r="E213" s="9">
        <v>160</v>
      </c>
      <c r="F213" s="9">
        <v>160</v>
      </c>
      <c r="G213" s="9">
        <v>1</v>
      </c>
      <c r="H213" s="10" t="s">
        <v>59</v>
      </c>
      <c r="I213" s="9">
        <v>1</v>
      </c>
      <c r="J213" s="9">
        <v>0.33350916599738401</v>
      </c>
      <c r="K213" s="10" t="s">
        <v>51</v>
      </c>
      <c r="L213" s="9">
        <v>1</v>
      </c>
      <c r="M213" s="9">
        <v>160</v>
      </c>
      <c r="N213" s="9">
        <v>160</v>
      </c>
      <c r="O213" s="9">
        <v>46</v>
      </c>
      <c r="P213" s="9">
        <v>173.274433125</v>
      </c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9">
        <v>173.264285625002</v>
      </c>
      <c r="AC213" s="9">
        <v>173.274433125</v>
      </c>
      <c r="AD213" s="9">
        <v>173.76082345900099</v>
      </c>
      <c r="AE213" s="9">
        <v>173.76082345900099</v>
      </c>
      <c r="AF213" s="9">
        <v>173.76082345900099</v>
      </c>
      <c r="AG213" s="9">
        <v>174.10450154199501</v>
      </c>
      <c r="AH213" s="10" t="s">
        <v>59</v>
      </c>
      <c r="AI213" s="9">
        <v>1</v>
      </c>
      <c r="AJ213" s="9">
        <v>0.33350916599738401</v>
      </c>
      <c r="AK213" s="10" t="s">
        <v>51</v>
      </c>
      <c r="AL213" s="8"/>
      <c r="AM213" s="8"/>
      <c r="AN213" s="8"/>
      <c r="AO213" s="9">
        <v>5</v>
      </c>
      <c r="AP213" s="9">
        <v>1</v>
      </c>
      <c r="AQ213" s="10" t="s">
        <v>110</v>
      </c>
      <c r="AR213" s="10" t="s">
        <v>53</v>
      </c>
      <c r="AS213" s="8"/>
      <c r="AT213" s="10" t="s">
        <v>54</v>
      </c>
      <c r="AU213" s="9">
        <v>121.002689767825</v>
      </c>
      <c r="AV213" s="10" t="s">
        <v>111</v>
      </c>
      <c r="AW213" s="8"/>
    </row>
    <row r="214" spans="1:49" x14ac:dyDescent="0.15">
      <c r="A214" s="11" t="s">
        <v>82</v>
      </c>
      <c r="B214" s="12" t="s">
        <v>67</v>
      </c>
      <c r="C214" s="10" t="s">
        <v>58</v>
      </c>
      <c r="D214" s="10" t="s">
        <v>59</v>
      </c>
      <c r="E214" s="9">
        <v>165</v>
      </c>
      <c r="F214" s="9">
        <v>165</v>
      </c>
      <c r="G214" s="9">
        <v>4</v>
      </c>
      <c r="H214" s="10" t="s">
        <v>59</v>
      </c>
      <c r="I214" s="9">
        <v>1</v>
      </c>
      <c r="J214" s="9">
        <v>0.57733158300106902</v>
      </c>
      <c r="K214" s="10" t="s">
        <v>51</v>
      </c>
      <c r="L214" s="9">
        <v>4</v>
      </c>
      <c r="M214" s="9">
        <v>165</v>
      </c>
      <c r="N214" s="9">
        <v>165</v>
      </c>
      <c r="O214" s="9">
        <v>36</v>
      </c>
      <c r="P214" s="9">
        <v>177.936277667002</v>
      </c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9">
        <v>177.926941291997</v>
      </c>
      <c r="AC214" s="9">
        <v>177.936277667002</v>
      </c>
      <c r="AD214" s="9">
        <v>178.41919354199501</v>
      </c>
      <c r="AE214" s="9">
        <v>178.41919354199501</v>
      </c>
      <c r="AF214" s="9">
        <v>178.41919354199501</v>
      </c>
      <c r="AG214" s="9">
        <v>179.004681541992</v>
      </c>
      <c r="AH214" s="10" t="s">
        <v>59</v>
      </c>
      <c r="AI214" s="9">
        <v>1</v>
      </c>
      <c r="AJ214" s="9">
        <v>0.57733158300106902</v>
      </c>
      <c r="AK214" s="10" t="s">
        <v>51</v>
      </c>
      <c r="AL214" s="8"/>
      <c r="AM214" s="8"/>
      <c r="AN214" s="8"/>
      <c r="AO214" s="9">
        <v>5</v>
      </c>
      <c r="AP214" s="9">
        <v>1</v>
      </c>
      <c r="AQ214" s="10" t="s">
        <v>110</v>
      </c>
      <c r="AR214" s="10" t="s">
        <v>53</v>
      </c>
      <c r="AS214" s="8"/>
      <c r="AT214" s="10" t="s">
        <v>54</v>
      </c>
      <c r="AU214" s="9">
        <v>121.002689767825</v>
      </c>
      <c r="AV214" s="10" t="s">
        <v>111</v>
      </c>
      <c r="AW214" s="8"/>
    </row>
    <row r="215" spans="1:49" x14ac:dyDescent="0.15">
      <c r="A215" s="11" t="s">
        <v>69</v>
      </c>
      <c r="B215" s="12" t="s">
        <v>67</v>
      </c>
      <c r="C215" s="10" t="s">
        <v>58</v>
      </c>
      <c r="D215" s="10" t="s">
        <v>59</v>
      </c>
      <c r="E215" s="9">
        <v>166</v>
      </c>
      <c r="F215" s="9">
        <v>166</v>
      </c>
      <c r="G215" s="9">
        <v>3</v>
      </c>
      <c r="H215" s="10" t="s">
        <v>59</v>
      </c>
      <c r="I215" s="9">
        <v>1</v>
      </c>
      <c r="J215" s="9">
        <v>0.34185087399964698</v>
      </c>
      <c r="K215" s="10" t="s">
        <v>51</v>
      </c>
      <c r="L215" s="9">
        <v>3</v>
      </c>
      <c r="M215" s="9">
        <v>166</v>
      </c>
      <c r="N215" s="9">
        <v>166</v>
      </c>
      <c r="O215" s="9">
        <v>38</v>
      </c>
      <c r="P215" s="9">
        <v>179.01868004199099</v>
      </c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9">
        <v>179.009605917003</v>
      </c>
      <c r="AC215" s="9">
        <v>179.01868004199099</v>
      </c>
      <c r="AD215" s="9">
        <v>179.50259150000099</v>
      </c>
      <c r="AE215" s="9">
        <v>179.50259150000099</v>
      </c>
      <c r="AF215" s="9">
        <v>179.50259150000099</v>
      </c>
      <c r="AG215" s="9">
        <v>179.854779083995</v>
      </c>
      <c r="AH215" s="10" t="s">
        <v>59</v>
      </c>
      <c r="AI215" s="9">
        <v>1</v>
      </c>
      <c r="AJ215" s="9">
        <v>0.34185087399964698</v>
      </c>
      <c r="AK215" s="10" t="s">
        <v>51</v>
      </c>
      <c r="AL215" s="8"/>
      <c r="AM215" s="8"/>
      <c r="AN215" s="8"/>
      <c r="AO215" s="9">
        <v>5</v>
      </c>
      <c r="AP215" s="9">
        <v>1</v>
      </c>
      <c r="AQ215" s="10" t="s">
        <v>110</v>
      </c>
      <c r="AR215" s="10" t="s">
        <v>53</v>
      </c>
      <c r="AS215" s="8"/>
      <c r="AT215" s="10" t="s">
        <v>54</v>
      </c>
      <c r="AU215" s="9">
        <v>121.002689767825</v>
      </c>
      <c r="AV215" s="10" t="s">
        <v>111</v>
      </c>
      <c r="AW215" s="8"/>
    </row>
    <row r="216" spans="1:49" x14ac:dyDescent="0.15">
      <c r="A216" s="11" t="s">
        <v>66</v>
      </c>
      <c r="B216" s="12" t="s">
        <v>67</v>
      </c>
      <c r="C216" s="10" t="s">
        <v>62</v>
      </c>
      <c r="D216" s="10" t="s">
        <v>63</v>
      </c>
      <c r="E216" s="9">
        <v>170</v>
      </c>
      <c r="F216" s="9">
        <v>170</v>
      </c>
      <c r="G216" s="9">
        <v>3</v>
      </c>
      <c r="H216" s="10" t="s">
        <v>63</v>
      </c>
      <c r="I216" s="9">
        <v>1</v>
      </c>
      <c r="J216" s="9">
        <v>0.84091825000359699</v>
      </c>
      <c r="K216" s="10" t="s">
        <v>51</v>
      </c>
      <c r="L216" s="9">
        <v>3</v>
      </c>
      <c r="M216" s="9">
        <v>170</v>
      </c>
      <c r="N216" s="9">
        <v>170</v>
      </c>
      <c r="O216" s="9">
        <v>47</v>
      </c>
      <c r="P216" s="9">
        <v>182.784045958993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9">
        <v>182.77467504199001</v>
      </c>
      <c r="AC216" s="9">
        <v>182.784045958993</v>
      </c>
      <c r="AD216" s="9">
        <v>183.26957629199001</v>
      </c>
      <c r="AE216" s="9">
        <v>183.26957629199001</v>
      </c>
      <c r="AF216" s="9">
        <v>183.26957629199001</v>
      </c>
      <c r="AG216" s="9">
        <v>184.121464958997</v>
      </c>
      <c r="AH216" s="10" t="s">
        <v>63</v>
      </c>
      <c r="AI216" s="9">
        <v>1</v>
      </c>
      <c r="AJ216" s="9">
        <v>0.84091825000359699</v>
      </c>
      <c r="AK216" s="10" t="s">
        <v>51</v>
      </c>
      <c r="AL216" s="8"/>
      <c r="AM216" s="8"/>
      <c r="AN216" s="8"/>
      <c r="AO216" s="9">
        <v>5</v>
      </c>
      <c r="AP216" s="9">
        <v>1</v>
      </c>
      <c r="AQ216" s="10" t="s">
        <v>110</v>
      </c>
      <c r="AR216" s="10" t="s">
        <v>53</v>
      </c>
      <c r="AS216" s="8"/>
      <c r="AT216" s="10" t="s">
        <v>54</v>
      </c>
      <c r="AU216" s="9">
        <v>121.002689767825</v>
      </c>
      <c r="AV216" s="10" t="s">
        <v>111</v>
      </c>
      <c r="AW216" s="8"/>
    </row>
    <row r="217" spans="1:49" x14ac:dyDescent="0.15">
      <c r="A217" s="11" t="s">
        <v>82</v>
      </c>
      <c r="B217" s="12" t="s">
        <v>67</v>
      </c>
      <c r="C217" s="10" t="s">
        <v>62</v>
      </c>
      <c r="D217" s="10" t="s">
        <v>63</v>
      </c>
      <c r="E217" s="9">
        <v>172</v>
      </c>
      <c r="F217" s="9">
        <v>172</v>
      </c>
      <c r="G217" s="9">
        <v>3</v>
      </c>
      <c r="H217" s="10" t="s">
        <v>63</v>
      </c>
      <c r="I217" s="9">
        <v>1</v>
      </c>
      <c r="J217" s="9">
        <v>0.47457474899420099</v>
      </c>
      <c r="K217" s="10" t="s">
        <v>51</v>
      </c>
      <c r="L217" s="9">
        <v>3</v>
      </c>
      <c r="M217" s="9">
        <v>172</v>
      </c>
      <c r="N217" s="9">
        <v>172</v>
      </c>
      <c r="O217" s="9">
        <v>37</v>
      </c>
      <c r="P217" s="9">
        <v>185.131404792002</v>
      </c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9">
        <v>185.125097458993</v>
      </c>
      <c r="AC217" s="9">
        <v>185.131404792002</v>
      </c>
      <c r="AD217" s="9">
        <v>185.619977833994</v>
      </c>
      <c r="AE217" s="9">
        <v>185.619977833994</v>
      </c>
      <c r="AF217" s="9">
        <v>185.619977833994</v>
      </c>
      <c r="AG217" s="9">
        <v>186.10507491699499</v>
      </c>
      <c r="AH217" s="10" t="s">
        <v>63</v>
      </c>
      <c r="AI217" s="9">
        <v>1</v>
      </c>
      <c r="AJ217" s="9">
        <v>0.47457474899420099</v>
      </c>
      <c r="AK217" s="10" t="s">
        <v>51</v>
      </c>
      <c r="AL217" s="8"/>
      <c r="AM217" s="8"/>
      <c r="AN217" s="8"/>
      <c r="AO217" s="9">
        <v>5</v>
      </c>
      <c r="AP217" s="9">
        <v>1</v>
      </c>
      <c r="AQ217" s="10" t="s">
        <v>110</v>
      </c>
      <c r="AR217" s="10" t="s">
        <v>53</v>
      </c>
      <c r="AS217" s="8"/>
      <c r="AT217" s="10" t="s">
        <v>54</v>
      </c>
      <c r="AU217" s="9">
        <v>121.002689767825</v>
      </c>
      <c r="AV217" s="10" t="s">
        <v>111</v>
      </c>
      <c r="AW217" s="8"/>
    </row>
    <row r="218" spans="1:49" x14ac:dyDescent="0.15">
      <c r="A218" s="11" t="s">
        <v>81</v>
      </c>
      <c r="B218" s="12" t="s">
        <v>67</v>
      </c>
      <c r="C218" s="10" t="s">
        <v>62</v>
      </c>
      <c r="D218" s="10" t="s">
        <v>63</v>
      </c>
      <c r="E218" s="9">
        <v>173</v>
      </c>
      <c r="F218" s="9">
        <v>173</v>
      </c>
      <c r="G218" s="9">
        <v>1</v>
      </c>
      <c r="H218" s="10" t="s">
        <v>63</v>
      </c>
      <c r="I218" s="9">
        <v>1</v>
      </c>
      <c r="J218" s="9">
        <v>0.376814415998524</v>
      </c>
      <c r="K218" s="10" t="s">
        <v>51</v>
      </c>
      <c r="L218" s="9">
        <v>1</v>
      </c>
      <c r="M218" s="9">
        <v>173</v>
      </c>
      <c r="N218" s="9">
        <v>173</v>
      </c>
      <c r="O218" s="9">
        <v>45</v>
      </c>
      <c r="P218" s="9">
        <v>186.11967120900201</v>
      </c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9">
        <v>186.11037987499699</v>
      </c>
      <c r="AC218" s="9">
        <v>186.11967120900201</v>
      </c>
      <c r="AD218" s="9">
        <v>186.60289266699701</v>
      </c>
      <c r="AE218" s="9">
        <v>186.60289266699701</v>
      </c>
      <c r="AF218" s="9">
        <v>186.60289266699701</v>
      </c>
      <c r="AG218" s="9">
        <v>186.987813583997</v>
      </c>
      <c r="AH218" s="10" t="s">
        <v>63</v>
      </c>
      <c r="AI218" s="9">
        <v>1</v>
      </c>
      <c r="AJ218" s="9">
        <v>0.376814415998524</v>
      </c>
      <c r="AK218" s="10" t="s">
        <v>51</v>
      </c>
      <c r="AL218" s="8"/>
      <c r="AM218" s="8"/>
      <c r="AN218" s="8"/>
      <c r="AO218" s="9">
        <v>5</v>
      </c>
      <c r="AP218" s="9">
        <v>1</v>
      </c>
      <c r="AQ218" s="10" t="s">
        <v>110</v>
      </c>
      <c r="AR218" s="10" t="s">
        <v>53</v>
      </c>
      <c r="AS218" s="8"/>
      <c r="AT218" s="10" t="s">
        <v>54</v>
      </c>
      <c r="AU218" s="9">
        <v>121.002689767825</v>
      </c>
      <c r="AV218" s="10" t="s">
        <v>111</v>
      </c>
      <c r="AW218" s="8"/>
    </row>
    <row r="219" spans="1:49" x14ac:dyDescent="0.15">
      <c r="A219" s="11" t="s">
        <v>76</v>
      </c>
      <c r="B219" s="12" t="s">
        <v>67</v>
      </c>
      <c r="C219" s="10" t="s">
        <v>58</v>
      </c>
      <c r="D219" s="10" t="s">
        <v>59</v>
      </c>
      <c r="E219" s="9">
        <v>175</v>
      </c>
      <c r="F219" s="9">
        <v>175</v>
      </c>
      <c r="G219" s="9">
        <v>3</v>
      </c>
      <c r="H219" s="10" t="s">
        <v>59</v>
      </c>
      <c r="I219" s="9">
        <v>1</v>
      </c>
      <c r="J219" s="9">
        <v>0.35711820800497701</v>
      </c>
      <c r="K219" s="10" t="s">
        <v>51</v>
      </c>
      <c r="L219" s="9">
        <v>3</v>
      </c>
      <c r="M219" s="9">
        <v>175</v>
      </c>
      <c r="N219" s="9">
        <v>175</v>
      </c>
      <c r="O219" s="9">
        <v>42</v>
      </c>
      <c r="P219" s="9">
        <v>187.83683420899601</v>
      </c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9">
        <v>187.82728204199501</v>
      </c>
      <c r="AC219" s="9">
        <v>187.83683420899601</v>
      </c>
      <c r="AD219" s="9">
        <v>188.31951933399299</v>
      </c>
      <c r="AE219" s="9">
        <v>188.31951933399299</v>
      </c>
      <c r="AF219" s="9">
        <v>188.31951933399299</v>
      </c>
      <c r="AG219" s="9">
        <v>188.68840666700299</v>
      </c>
      <c r="AH219" s="10" t="s">
        <v>59</v>
      </c>
      <c r="AI219" s="9">
        <v>1</v>
      </c>
      <c r="AJ219" s="9">
        <v>0.35711820800497701</v>
      </c>
      <c r="AK219" s="10" t="s">
        <v>51</v>
      </c>
      <c r="AL219" s="8"/>
      <c r="AM219" s="8"/>
      <c r="AN219" s="8"/>
      <c r="AO219" s="9">
        <v>5</v>
      </c>
      <c r="AP219" s="9">
        <v>1</v>
      </c>
      <c r="AQ219" s="10" t="s">
        <v>110</v>
      </c>
      <c r="AR219" s="10" t="s">
        <v>53</v>
      </c>
      <c r="AS219" s="8"/>
      <c r="AT219" s="10" t="s">
        <v>54</v>
      </c>
      <c r="AU219" s="9">
        <v>121.002689767825</v>
      </c>
      <c r="AV219" s="10" t="s">
        <v>111</v>
      </c>
      <c r="AW219" s="8"/>
    </row>
    <row r="220" spans="1:49" x14ac:dyDescent="0.15">
      <c r="A220" s="11" t="s">
        <v>81</v>
      </c>
      <c r="B220" s="12" t="s">
        <v>67</v>
      </c>
      <c r="C220" s="10" t="s">
        <v>62</v>
      </c>
      <c r="D220" s="10" t="s">
        <v>63</v>
      </c>
      <c r="E220" s="9">
        <v>179</v>
      </c>
      <c r="F220" s="9">
        <v>179</v>
      </c>
      <c r="G220" s="9">
        <v>2</v>
      </c>
      <c r="H220" s="10" t="s">
        <v>63</v>
      </c>
      <c r="I220" s="9">
        <v>1</v>
      </c>
      <c r="J220" s="9">
        <v>0.39495599899964901</v>
      </c>
      <c r="K220" s="10" t="s">
        <v>51</v>
      </c>
      <c r="L220" s="9">
        <v>2</v>
      </c>
      <c r="M220" s="9">
        <v>179</v>
      </c>
      <c r="N220" s="9">
        <v>179</v>
      </c>
      <c r="O220" s="9">
        <v>45</v>
      </c>
      <c r="P220" s="9">
        <v>191.23553220900101</v>
      </c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9">
        <v>191.22645933399301</v>
      </c>
      <c r="AC220" s="9">
        <v>191.23553220900101</v>
      </c>
      <c r="AD220" s="9">
        <v>191.71977087500301</v>
      </c>
      <c r="AE220" s="9">
        <v>191.71977087500301</v>
      </c>
      <c r="AF220" s="9">
        <v>191.71977087500301</v>
      </c>
      <c r="AG220" s="9">
        <v>192.121644625004</v>
      </c>
      <c r="AH220" s="10" t="s">
        <v>63</v>
      </c>
      <c r="AI220" s="9">
        <v>1</v>
      </c>
      <c r="AJ220" s="9">
        <v>0.39495599899964901</v>
      </c>
      <c r="AK220" s="10" t="s">
        <v>51</v>
      </c>
      <c r="AL220" s="8"/>
      <c r="AM220" s="8"/>
      <c r="AN220" s="8"/>
      <c r="AO220" s="9">
        <v>5</v>
      </c>
      <c r="AP220" s="9">
        <v>1</v>
      </c>
      <c r="AQ220" s="10" t="s">
        <v>110</v>
      </c>
      <c r="AR220" s="10" t="s">
        <v>53</v>
      </c>
      <c r="AS220" s="8"/>
      <c r="AT220" s="10" t="s">
        <v>54</v>
      </c>
      <c r="AU220" s="9">
        <v>121.002689767825</v>
      </c>
      <c r="AV220" s="10" t="s">
        <v>111</v>
      </c>
      <c r="AW220" s="8"/>
    </row>
    <row r="221" spans="1:49" x14ac:dyDescent="0.15">
      <c r="A221" s="11" t="s">
        <v>66</v>
      </c>
      <c r="B221" s="12" t="s">
        <v>67</v>
      </c>
      <c r="C221" s="10" t="s">
        <v>58</v>
      </c>
      <c r="D221" s="10" t="s">
        <v>59</v>
      </c>
      <c r="E221" s="9">
        <v>183</v>
      </c>
      <c r="F221" s="9">
        <v>183</v>
      </c>
      <c r="G221" s="9">
        <v>2</v>
      </c>
      <c r="H221" s="10" t="s">
        <v>59</v>
      </c>
      <c r="I221" s="9">
        <v>1</v>
      </c>
      <c r="J221" s="9">
        <v>0.33581533200049302</v>
      </c>
      <c r="K221" s="10" t="s">
        <v>51</v>
      </c>
      <c r="L221" s="9">
        <v>2</v>
      </c>
      <c r="M221" s="9">
        <v>183</v>
      </c>
      <c r="N221" s="9">
        <v>183</v>
      </c>
      <c r="O221" s="9">
        <v>46</v>
      </c>
      <c r="P221" s="9">
        <v>194.802548666994</v>
      </c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9">
        <v>194.79338987499099</v>
      </c>
      <c r="AC221" s="9">
        <v>194.802548666994</v>
      </c>
      <c r="AD221" s="9">
        <v>195.28683466699999</v>
      </c>
      <c r="AE221" s="9">
        <v>195.28683466699999</v>
      </c>
      <c r="AF221" s="9">
        <v>195.28683466699999</v>
      </c>
      <c r="AG221" s="9">
        <v>195.627535791995</v>
      </c>
      <c r="AH221" s="10" t="s">
        <v>59</v>
      </c>
      <c r="AI221" s="9">
        <v>1</v>
      </c>
      <c r="AJ221" s="9">
        <v>0.33581533200049302</v>
      </c>
      <c r="AK221" s="10" t="s">
        <v>51</v>
      </c>
      <c r="AL221" s="8"/>
      <c r="AM221" s="8"/>
      <c r="AN221" s="8"/>
      <c r="AO221" s="9">
        <v>5</v>
      </c>
      <c r="AP221" s="9">
        <v>1</v>
      </c>
      <c r="AQ221" s="10" t="s">
        <v>110</v>
      </c>
      <c r="AR221" s="10" t="s">
        <v>53</v>
      </c>
      <c r="AS221" s="8"/>
      <c r="AT221" s="10" t="s">
        <v>54</v>
      </c>
      <c r="AU221" s="9">
        <v>121.002689767825</v>
      </c>
      <c r="AV221" s="10" t="s">
        <v>111</v>
      </c>
      <c r="AW221" s="8"/>
    </row>
    <row r="222" spans="1:49" x14ac:dyDescent="0.15">
      <c r="A222" s="11" t="s">
        <v>86</v>
      </c>
      <c r="B222" s="12" t="s">
        <v>67</v>
      </c>
      <c r="C222" s="10" t="s">
        <v>62</v>
      </c>
      <c r="D222" s="10" t="s">
        <v>63</v>
      </c>
      <c r="E222" s="9">
        <v>186</v>
      </c>
      <c r="F222" s="9">
        <v>186</v>
      </c>
      <c r="G222" s="9">
        <v>3</v>
      </c>
      <c r="H222" s="10" t="s">
        <v>63</v>
      </c>
      <c r="I222" s="9">
        <v>1</v>
      </c>
      <c r="J222" s="9">
        <v>0.39496870800212502</v>
      </c>
      <c r="K222" s="10" t="s">
        <v>51</v>
      </c>
      <c r="L222" s="9">
        <v>3</v>
      </c>
      <c r="M222" s="9">
        <v>186</v>
      </c>
      <c r="N222" s="9">
        <v>186</v>
      </c>
      <c r="O222" s="9">
        <v>35</v>
      </c>
      <c r="P222" s="9">
        <v>197.309622333996</v>
      </c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9">
        <v>197.29974620899901</v>
      </c>
      <c r="AC222" s="9">
        <v>197.309622333996</v>
      </c>
      <c r="AD222" s="9">
        <v>197.79572179198999</v>
      </c>
      <c r="AE222" s="9">
        <v>197.79572179198999</v>
      </c>
      <c r="AF222" s="9">
        <v>197.79572179198999</v>
      </c>
      <c r="AG222" s="9">
        <v>198.19446654200101</v>
      </c>
      <c r="AH222" s="10" t="s">
        <v>63</v>
      </c>
      <c r="AI222" s="9">
        <v>1</v>
      </c>
      <c r="AJ222" s="9">
        <v>0.39496870800212502</v>
      </c>
      <c r="AK222" s="10" t="s">
        <v>51</v>
      </c>
      <c r="AL222" s="8"/>
      <c r="AM222" s="8"/>
      <c r="AN222" s="8"/>
      <c r="AO222" s="9">
        <v>5</v>
      </c>
      <c r="AP222" s="9">
        <v>1</v>
      </c>
      <c r="AQ222" s="10" t="s">
        <v>110</v>
      </c>
      <c r="AR222" s="10" t="s">
        <v>53</v>
      </c>
      <c r="AS222" s="8"/>
      <c r="AT222" s="10" t="s">
        <v>54</v>
      </c>
      <c r="AU222" s="9">
        <v>121.002689767825</v>
      </c>
      <c r="AV222" s="10" t="s">
        <v>111</v>
      </c>
      <c r="AW222" s="8"/>
    </row>
    <row r="223" spans="1:49" x14ac:dyDescent="0.15">
      <c r="A223" s="11" t="s">
        <v>86</v>
      </c>
      <c r="B223" s="12" t="s">
        <v>67</v>
      </c>
      <c r="C223" s="10" t="s">
        <v>62</v>
      </c>
      <c r="D223" s="10" t="s">
        <v>63</v>
      </c>
      <c r="E223" s="9">
        <v>187</v>
      </c>
      <c r="F223" s="9">
        <v>187</v>
      </c>
      <c r="G223" s="9">
        <v>4</v>
      </c>
      <c r="H223" s="10" t="s">
        <v>63</v>
      </c>
      <c r="I223" s="9">
        <v>1</v>
      </c>
      <c r="J223" s="9">
        <v>0.29709499899763597</v>
      </c>
      <c r="K223" s="10" t="s">
        <v>51</v>
      </c>
      <c r="L223" s="9">
        <v>4</v>
      </c>
      <c r="M223" s="9">
        <v>187</v>
      </c>
      <c r="N223" s="9">
        <v>187</v>
      </c>
      <c r="O223" s="9">
        <v>35</v>
      </c>
      <c r="P223" s="9">
        <v>198.204714249994</v>
      </c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9">
        <v>198.195391166999</v>
      </c>
      <c r="AC223" s="9">
        <v>198.204714249994</v>
      </c>
      <c r="AD223" s="9">
        <v>198.695724791993</v>
      </c>
      <c r="AE223" s="9">
        <v>198.695724791993</v>
      </c>
      <c r="AF223" s="9">
        <v>198.695724791993</v>
      </c>
      <c r="AG223" s="9">
        <v>198.99474695899701</v>
      </c>
      <c r="AH223" s="10" t="s">
        <v>63</v>
      </c>
      <c r="AI223" s="9">
        <v>1</v>
      </c>
      <c r="AJ223" s="9">
        <v>0.29709499899763597</v>
      </c>
      <c r="AK223" s="10" t="s">
        <v>51</v>
      </c>
      <c r="AL223" s="8"/>
      <c r="AM223" s="8"/>
      <c r="AN223" s="8"/>
      <c r="AO223" s="9">
        <v>5</v>
      </c>
      <c r="AP223" s="9">
        <v>1</v>
      </c>
      <c r="AQ223" s="10" t="s">
        <v>110</v>
      </c>
      <c r="AR223" s="10" t="s">
        <v>53</v>
      </c>
      <c r="AS223" s="8"/>
      <c r="AT223" s="10" t="s">
        <v>54</v>
      </c>
      <c r="AU223" s="9">
        <v>121.002689767825</v>
      </c>
      <c r="AV223" s="10" t="s">
        <v>111</v>
      </c>
      <c r="AW223" s="8"/>
    </row>
    <row r="224" spans="1:49" x14ac:dyDescent="0.15">
      <c r="A224" s="11" t="s">
        <v>82</v>
      </c>
      <c r="B224" s="12" t="s">
        <v>67</v>
      </c>
      <c r="C224" s="10" t="s">
        <v>62</v>
      </c>
      <c r="D224" s="10" t="s">
        <v>63</v>
      </c>
      <c r="E224" s="9">
        <v>188</v>
      </c>
      <c r="F224" s="9">
        <v>188</v>
      </c>
      <c r="G224" s="9">
        <v>4</v>
      </c>
      <c r="H224" s="10" t="s">
        <v>63</v>
      </c>
      <c r="I224" s="9">
        <v>1</v>
      </c>
      <c r="J224" s="9">
        <v>0.609119540997199</v>
      </c>
      <c r="K224" s="10" t="s">
        <v>51</v>
      </c>
      <c r="L224" s="9">
        <v>4</v>
      </c>
      <c r="M224" s="9">
        <v>188</v>
      </c>
      <c r="N224" s="9">
        <v>188</v>
      </c>
      <c r="O224" s="9">
        <v>37</v>
      </c>
      <c r="P224" s="9">
        <v>199.00990945899699</v>
      </c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9">
        <v>198.999926666991</v>
      </c>
      <c r="AC224" s="9">
        <v>199.00990945899699</v>
      </c>
      <c r="AD224" s="9">
        <v>199.49476866699101</v>
      </c>
      <c r="AE224" s="9">
        <v>199.49476866699101</v>
      </c>
      <c r="AF224" s="9">
        <v>199.49476866699101</v>
      </c>
      <c r="AG224" s="9">
        <v>200.111546083994</v>
      </c>
      <c r="AH224" s="10" t="s">
        <v>63</v>
      </c>
      <c r="AI224" s="9">
        <v>1</v>
      </c>
      <c r="AJ224" s="9">
        <v>0.609119540997199</v>
      </c>
      <c r="AK224" s="10" t="s">
        <v>51</v>
      </c>
      <c r="AL224" s="8"/>
      <c r="AM224" s="8"/>
      <c r="AN224" s="8"/>
      <c r="AO224" s="9">
        <v>5</v>
      </c>
      <c r="AP224" s="9">
        <v>1</v>
      </c>
      <c r="AQ224" s="10" t="s">
        <v>110</v>
      </c>
      <c r="AR224" s="10" t="s">
        <v>53</v>
      </c>
      <c r="AS224" s="8"/>
      <c r="AT224" s="10" t="s">
        <v>54</v>
      </c>
      <c r="AU224" s="9">
        <v>121.002689767825</v>
      </c>
      <c r="AV224" s="10" t="s">
        <v>111</v>
      </c>
      <c r="AW224" s="8"/>
    </row>
    <row r="225" spans="1:49" x14ac:dyDescent="0.15">
      <c r="A225" s="11" t="s">
        <v>66</v>
      </c>
      <c r="B225" s="12" t="s">
        <v>67</v>
      </c>
      <c r="C225" s="10" t="s">
        <v>58</v>
      </c>
      <c r="D225" s="10" t="s">
        <v>59</v>
      </c>
      <c r="E225" s="9">
        <v>189</v>
      </c>
      <c r="F225" s="9">
        <v>189</v>
      </c>
      <c r="G225" s="9">
        <v>3</v>
      </c>
      <c r="H225" s="10" t="s">
        <v>59</v>
      </c>
      <c r="I225" s="9">
        <v>1</v>
      </c>
      <c r="J225" s="9">
        <v>0.51625529100419998</v>
      </c>
      <c r="K225" s="10" t="s">
        <v>51</v>
      </c>
      <c r="L225" s="9">
        <v>3</v>
      </c>
      <c r="M225" s="9">
        <v>189</v>
      </c>
      <c r="N225" s="9">
        <v>189</v>
      </c>
      <c r="O225" s="9">
        <v>46</v>
      </c>
      <c r="P225" s="9">
        <v>200.125955583993</v>
      </c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9">
        <v>200.115541874999</v>
      </c>
      <c r="AC225" s="9">
        <v>200.125955583993</v>
      </c>
      <c r="AD225" s="9">
        <v>200.61252858399499</v>
      </c>
      <c r="AE225" s="9">
        <v>200.61252858399499</v>
      </c>
      <c r="AF225" s="9">
        <v>200.61252858399499</v>
      </c>
      <c r="AG225" s="9">
        <v>201.13862637500301</v>
      </c>
      <c r="AH225" s="10" t="s">
        <v>59</v>
      </c>
      <c r="AI225" s="9">
        <v>1</v>
      </c>
      <c r="AJ225" s="9">
        <v>0.51625529100419998</v>
      </c>
      <c r="AK225" s="10" t="s">
        <v>51</v>
      </c>
      <c r="AL225" s="8"/>
      <c r="AM225" s="8"/>
      <c r="AN225" s="8"/>
      <c r="AO225" s="9">
        <v>5</v>
      </c>
      <c r="AP225" s="9">
        <v>1</v>
      </c>
      <c r="AQ225" s="10" t="s">
        <v>110</v>
      </c>
      <c r="AR225" s="10" t="s">
        <v>53</v>
      </c>
      <c r="AS225" s="8"/>
      <c r="AT225" s="10" t="s">
        <v>54</v>
      </c>
      <c r="AU225" s="9">
        <v>121.002689767825</v>
      </c>
      <c r="AV225" s="10" t="s">
        <v>111</v>
      </c>
      <c r="AW225" s="8"/>
    </row>
    <row r="226" spans="1:49" x14ac:dyDescent="0.15">
      <c r="A226" s="11" t="s">
        <v>77</v>
      </c>
      <c r="B226" s="12" t="s">
        <v>67</v>
      </c>
      <c r="C226" s="10" t="s">
        <v>62</v>
      </c>
      <c r="D226" s="10" t="s">
        <v>63</v>
      </c>
      <c r="E226" s="9">
        <v>196</v>
      </c>
      <c r="F226" s="9">
        <v>196</v>
      </c>
      <c r="G226" s="9">
        <v>3</v>
      </c>
      <c r="H226" s="10" t="s">
        <v>63</v>
      </c>
      <c r="I226" s="9">
        <v>1</v>
      </c>
      <c r="J226" s="9">
        <v>0.46332699999038601</v>
      </c>
      <c r="K226" s="10" t="s">
        <v>51</v>
      </c>
      <c r="L226" s="9">
        <v>3</v>
      </c>
      <c r="M226" s="9">
        <v>196</v>
      </c>
      <c r="N226" s="9">
        <v>196</v>
      </c>
      <c r="O226" s="9">
        <v>41</v>
      </c>
      <c r="P226" s="9">
        <v>207.16999524999099</v>
      </c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9">
        <v>207.16061637499701</v>
      </c>
      <c r="AC226" s="9">
        <v>207.16999524999099</v>
      </c>
      <c r="AD226" s="9">
        <v>207.65369370899899</v>
      </c>
      <c r="AE226" s="9">
        <v>207.65369370899899</v>
      </c>
      <c r="AF226" s="9">
        <v>207.65369370899899</v>
      </c>
      <c r="AG226" s="9">
        <v>208.122405041999</v>
      </c>
      <c r="AH226" s="10" t="s">
        <v>63</v>
      </c>
      <c r="AI226" s="9">
        <v>1</v>
      </c>
      <c r="AJ226" s="9">
        <v>0.46332699999038601</v>
      </c>
      <c r="AK226" s="10" t="s">
        <v>51</v>
      </c>
      <c r="AL226" s="8"/>
      <c r="AM226" s="8"/>
      <c r="AN226" s="8"/>
      <c r="AO226" s="9">
        <v>5</v>
      </c>
      <c r="AP226" s="9">
        <v>1</v>
      </c>
      <c r="AQ226" s="10" t="s">
        <v>110</v>
      </c>
      <c r="AR226" s="10" t="s">
        <v>53</v>
      </c>
      <c r="AS226" s="8"/>
      <c r="AT226" s="10" t="s">
        <v>54</v>
      </c>
      <c r="AU226" s="9">
        <v>121.002689767825</v>
      </c>
      <c r="AV226" s="10" t="s">
        <v>111</v>
      </c>
      <c r="AW226" s="8"/>
    </row>
    <row r="227" spans="1:49" x14ac:dyDescent="0.15">
      <c r="A227" s="11" t="s">
        <v>66</v>
      </c>
      <c r="B227" s="12" t="s">
        <v>67</v>
      </c>
      <c r="C227" s="10" t="s">
        <v>58</v>
      </c>
      <c r="D227" s="10" t="s">
        <v>59</v>
      </c>
      <c r="E227" s="9">
        <v>205</v>
      </c>
      <c r="F227" s="9">
        <v>205</v>
      </c>
      <c r="G227" s="9">
        <v>4</v>
      </c>
      <c r="H227" s="10" t="s">
        <v>59</v>
      </c>
      <c r="I227" s="9">
        <v>1</v>
      </c>
      <c r="J227" s="9">
        <v>0.33815491601126302</v>
      </c>
      <c r="K227" s="10" t="s">
        <v>51</v>
      </c>
      <c r="L227" s="9">
        <v>4</v>
      </c>
      <c r="M227" s="9">
        <v>205</v>
      </c>
      <c r="N227" s="9">
        <v>205</v>
      </c>
      <c r="O227" s="9">
        <v>46</v>
      </c>
      <c r="P227" s="9">
        <v>215.235742624995</v>
      </c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9">
        <v>215.22663704199701</v>
      </c>
      <c r="AC227" s="9">
        <v>215.235742624995</v>
      </c>
      <c r="AD227" s="9">
        <v>215.72095920899301</v>
      </c>
      <c r="AE227" s="9">
        <v>215.72095920899301</v>
      </c>
      <c r="AF227" s="9">
        <v>215.72095920899301</v>
      </c>
      <c r="AG227" s="9">
        <v>216.06184891700099</v>
      </c>
      <c r="AH227" s="10" t="s">
        <v>59</v>
      </c>
      <c r="AI227" s="9">
        <v>1</v>
      </c>
      <c r="AJ227" s="9">
        <v>0.33815491601126302</v>
      </c>
      <c r="AK227" s="10" t="s">
        <v>51</v>
      </c>
      <c r="AL227" s="8"/>
      <c r="AM227" s="8"/>
      <c r="AN227" s="8"/>
      <c r="AO227" s="9">
        <v>5</v>
      </c>
      <c r="AP227" s="9">
        <v>1</v>
      </c>
      <c r="AQ227" s="10" t="s">
        <v>110</v>
      </c>
      <c r="AR227" s="10" t="s">
        <v>53</v>
      </c>
      <c r="AS227" s="8"/>
      <c r="AT227" s="10" t="s">
        <v>54</v>
      </c>
      <c r="AU227" s="9">
        <v>121.002689767825</v>
      </c>
      <c r="AV227" s="10" t="s">
        <v>111</v>
      </c>
      <c r="AW227" s="8"/>
    </row>
    <row r="228" spans="1:49" x14ac:dyDescent="0.15">
      <c r="A228" s="11" t="s">
        <v>76</v>
      </c>
      <c r="B228" s="12" t="s">
        <v>67</v>
      </c>
      <c r="C228" s="10" t="s">
        <v>62</v>
      </c>
      <c r="D228" s="10" t="s">
        <v>63</v>
      </c>
      <c r="E228" s="9">
        <v>207</v>
      </c>
      <c r="F228" s="9">
        <v>207</v>
      </c>
      <c r="G228" s="9">
        <v>3</v>
      </c>
      <c r="H228" s="10" t="s">
        <v>63</v>
      </c>
      <c r="I228" s="9">
        <v>1</v>
      </c>
      <c r="J228" s="9">
        <v>0.352195833009318</v>
      </c>
      <c r="K228" s="10" t="s">
        <v>51</v>
      </c>
      <c r="L228" s="9">
        <v>3</v>
      </c>
      <c r="M228" s="9">
        <v>207</v>
      </c>
      <c r="N228" s="9">
        <v>207</v>
      </c>
      <c r="O228" s="9">
        <v>43</v>
      </c>
      <c r="P228" s="9">
        <v>217.22590666699401</v>
      </c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9">
        <v>217.216371874994</v>
      </c>
      <c r="AC228" s="9">
        <v>217.22590666699401</v>
      </c>
      <c r="AD228" s="9">
        <v>217.71313941699901</v>
      </c>
      <c r="AE228" s="9">
        <v>217.71313941699901</v>
      </c>
      <c r="AF228" s="9">
        <v>217.71313941699901</v>
      </c>
      <c r="AG228" s="9">
        <v>218.07356429200399</v>
      </c>
      <c r="AH228" s="10" t="s">
        <v>63</v>
      </c>
      <c r="AI228" s="9">
        <v>1</v>
      </c>
      <c r="AJ228" s="9">
        <v>0.352195833009318</v>
      </c>
      <c r="AK228" s="10" t="s">
        <v>51</v>
      </c>
      <c r="AL228" s="8"/>
      <c r="AM228" s="8"/>
      <c r="AN228" s="8"/>
      <c r="AO228" s="9">
        <v>5</v>
      </c>
      <c r="AP228" s="9">
        <v>1</v>
      </c>
      <c r="AQ228" s="10" t="s">
        <v>110</v>
      </c>
      <c r="AR228" s="10" t="s">
        <v>53</v>
      </c>
      <c r="AS228" s="8"/>
      <c r="AT228" s="10" t="s">
        <v>54</v>
      </c>
      <c r="AU228" s="9">
        <v>121.002689767825</v>
      </c>
      <c r="AV228" s="10" t="s">
        <v>111</v>
      </c>
      <c r="AW228" s="8"/>
    </row>
    <row r="229" spans="1:49" x14ac:dyDescent="0.15">
      <c r="A229" s="11" t="s">
        <v>81</v>
      </c>
      <c r="B229" s="12" t="s">
        <v>67</v>
      </c>
      <c r="C229" s="10" t="s">
        <v>62</v>
      </c>
      <c r="D229" s="10" t="s">
        <v>63</v>
      </c>
      <c r="E229" s="9">
        <v>211</v>
      </c>
      <c r="F229" s="9">
        <v>211</v>
      </c>
      <c r="G229" s="9">
        <v>3</v>
      </c>
      <c r="H229" s="10" t="s">
        <v>63</v>
      </c>
      <c r="I229" s="9">
        <v>1</v>
      </c>
      <c r="J229" s="9">
        <v>0.41488624899648102</v>
      </c>
      <c r="K229" s="10" t="s">
        <v>51</v>
      </c>
      <c r="L229" s="9">
        <v>3</v>
      </c>
      <c r="M229" s="9">
        <v>211</v>
      </c>
      <c r="N229" s="9">
        <v>211</v>
      </c>
      <c r="O229" s="9">
        <v>45</v>
      </c>
      <c r="P229" s="9">
        <v>220.876550375004</v>
      </c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9">
        <v>220.866121583997</v>
      </c>
      <c r="AC229" s="9">
        <v>220.876550375004</v>
      </c>
      <c r="AD229" s="9">
        <v>221.363215541991</v>
      </c>
      <c r="AE229" s="9">
        <v>221.363215541991</v>
      </c>
      <c r="AF229" s="9">
        <v>221.363215541991</v>
      </c>
      <c r="AG229" s="9">
        <v>221.78951012500301</v>
      </c>
      <c r="AH229" s="10" t="s">
        <v>63</v>
      </c>
      <c r="AI229" s="9">
        <v>1</v>
      </c>
      <c r="AJ229" s="9">
        <v>0.41488624899648102</v>
      </c>
      <c r="AK229" s="10" t="s">
        <v>51</v>
      </c>
      <c r="AL229" s="8"/>
      <c r="AM229" s="8"/>
      <c r="AN229" s="8"/>
      <c r="AO229" s="9">
        <v>5</v>
      </c>
      <c r="AP229" s="9">
        <v>1</v>
      </c>
      <c r="AQ229" s="10" t="s">
        <v>110</v>
      </c>
      <c r="AR229" s="10" t="s">
        <v>53</v>
      </c>
      <c r="AS229" s="8"/>
      <c r="AT229" s="10" t="s">
        <v>54</v>
      </c>
      <c r="AU229" s="9">
        <v>121.002689767825</v>
      </c>
      <c r="AV229" s="10" t="s">
        <v>111</v>
      </c>
      <c r="AW229" s="8"/>
    </row>
    <row r="230" spans="1:49" x14ac:dyDescent="0.15">
      <c r="A230" s="11" t="s">
        <v>80</v>
      </c>
      <c r="B230" s="12" t="s">
        <v>67</v>
      </c>
      <c r="C230" s="10" t="s">
        <v>62</v>
      </c>
      <c r="D230" s="10" t="s">
        <v>63</v>
      </c>
      <c r="E230" s="9">
        <v>214</v>
      </c>
      <c r="F230" s="9">
        <v>214</v>
      </c>
      <c r="G230" s="9">
        <v>4</v>
      </c>
      <c r="H230" s="10" t="s">
        <v>63</v>
      </c>
      <c r="I230" s="9">
        <v>1</v>
      </c>
      <c r="J230" s="9">
        <v>0.48042279099172402</v>
      </c>
      <c r="K230" s="10" t="s">
        <v>51</v>
      </c>
      <c r="L230" s="9">
        <v>4</v>
      </c>
      <c r="M230" s="9">
        <v>214</v>
      </c>
      <c r="N230" s="9">
        <v>214</v>
      </c>
      <c r="O230" s="9">
        <v>33</v>
      </c>
      <c r="P230" s="9">
        <v>223.71112362499099</v>
      </c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9">
        <v>223.701595624996</v>
      </c>
      <c r="AC230" s="9">
        <v>223.71112362499099</v>
      </c>
      <c r="AD230" s="9">
        <v>224.19690512499099</v>
      </c>
      <c r="AE230" s="9">
        <v>224.19690512499099</v>
      </c>
      <c r="AF230" s="9">
        <v>224.19690512499099</v>
      </c>
      <c r="AG230" s="9">
        <v>224.678819833993</v>
      </c>
      <c r="AH230" s="10" t="s">
        <v>63</v>
      </c>
      <c r="AI230" s="9">
        <v>1</v>
      </c>
      <c r="AJ230" s="9">
        <v>0.48042279099172402</v>
      </c>
      <c r="AK230" s="10" t="s">
        <v>51</v>
      </c>
      <c r="AL230" s="8"/>
      <c r="AM230" s="8"/>
      <c r="AN230" s="8"/>
      <c r="AO230" s="9">
        <v>5</v>
      </c>
      <c r="AP230" s="9">
        <v>1</v>
      </c>
      <c r="AQ230" s="10" t="s">
        <v>110</v>
      </c>
      <c r="AR230" s="10" t="s">
        <v>53</v>
      </c>
      <c r="AS230" s="8"/>
      <c r="AT230" s="10" t="s">
        <v>54</v>
      </c>
      <c r="AU230" s="9">
        <v>121.002689767825</v>
      </c>
      <c r="AV230" s="10" t="s">
        <v>111</v>
      </c>
      <c r="AW230" s="8"/>
    </row>
    <row r="231" spans="1:49" x14ac:dyDescent="0.15">
      <c r="A231" s="11" t="s">
        <v>80</v>
      </c>
      <c r="B231" s="12" t="s">
        <v>67</v>
      </c>
      <c r="C231" s="10" t="s">
        <v>58</v>
      </c>
      <c r="D231" s="10" t="s">
        <v>59</v>
      </c>
      <c r="E231" s="9">
        <v>216</v>
      </c>
      <c r="F231" s="9">
        <v>216</v>
      </c>
      <c r="G231" s="9">
        <v>2</v>
      </c>
      <c r="H231" s="10" t="s">
        <v>59</v>
      </c>
      <c r="I231" s="9">
        <v>1</v>
      </c>
      <c r="J231" s="9">
        <v>0.41630099999019898</v>
      </c>
      <c r="K231" s="10" t="s">
        <v>51</v>
      </c>
      <c r="L231" s="9">
        <v>2</v>
      </c>
      <c r="M231" s="9">
        <v>216</v>
      </c>
      <c r="N231" s="9">
        <v>216</v>
      </c>
      <c r="O231" s="9">
        <v>32</v>
      </c>
      <c r="P231" s="9">
        <v>225.61085233399399</v>
      </c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9">
        <v>225.600876875003</v>
      </c>
      <c r="AC231" s="9">
        <v>225.61085233399399</v>
      </c>
      <c r="AD231" s="9">
        <v>226.097007499993</v>
      </c>
      <c r="AE231" s="9">
        <v>226.097007499993</v>
      </c>
      <c r="AF231" s="9">
        <v>226.097007499993</v>
      </c>
      <c r="AG231" s="9">
        <v>226.52298816699499</v>
      </c>
      <c r="AH231" s="10" t="s">
        <v>59</v>
      </c>
      <c r="AI231" s="9">
        <v>1</v>
      </c>
      <c r="AJ231" s="9">
        <v>0.41630099999019898</v>
      </c>
      <c r="AK231" s="10" t="s">
        <v>51</v>
      </c>
      <c r="AL231" s="8"/>
      <c r="AM231" s="8"/>
      <c r="AN231" s="8"/>
      <c r="AO231" s="9">
        <v>5</v>
      </c>
      <c r="AP231" s="9">
        <v>1</v>
      </c>
      <c r="AQ231" s="10" t="s">
        <v>110</v>
      </c>
      <c r="AR231" s="10" t="s">
        <v>53</v>
      </c>
      <c r="AS231" s="8"/>
      <c r="AT231" s="10" t="s">
        <v>54</v>
      </c>
      <c r="AU231" s="9">
        <v>121.002689767825</v>
      </c>
      <c r="AV231" s="10" t="s">
        <v>111</v>
      </c>
      <c r="AW231" s="8"/>
    </row>
    <row r="232" spans="1:49" x14ac:dyDescent="0.15">
      <c r="A232" s="11" t="s">
        <v>80</v>
      </c>
      <c r="B232" s="12" t="s">
        <v>67</v>
      </c>
      <c r="C232" s="10" t="s">
        <v>58</v>
      </c>
      <c r="D232" s="10" t="s">
        <v>59</v>
      </c>
      <c r="E232" s="9">
        <v>218</v>
      </c>
      <c r="F232" s="9">
        <v>218</v>
      </c>
      <c r="G232" s="9">
        <v>3</v>
      </c>
      <c r="H232" s="10" t="s">
        <v>59</v>
      </c>
      <c r="I232" s="9">
        <v>1</v>
      </c>
      <c r="J232" s="9">
        <v>0.40533945799688798</v>
      </c>
      <c r="K232" s="10" t="s">
        <v>51</v>
      </c>
      <c r="L232" s="9">
        <v>3</v>
      </c>
      <c r="M232" s="9">
        <v>218</v>
      </c>
      <c r="N232" s="9">
        <v>218</v>
      </c>
      <c r="O232" s="9">
        <v>32</v>
      </c>
      <c r="P232" s="9">
        <v>227.753980291993</v>
      </c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9">
        <v>227.744757833992</v>
      </c>
      <c r="AC232" s="9">
        <v>227.753980291993</v>
      </c>
      <c r="AD232" s="9">
        <v>228.23812324999</v>
      </c>
      <c r="AE232" s="9">
        <v>228.23812324999</v>
      </c>
      <c r="AF232" s="9">
        <v>228.23812324999</v>
      </c>
      <c r="AG232" s="9">
        <v>228.64572183399301</v>
      </c>
      <c r="AH232" s="10" t="s">
        <v>59</v>
      </c>
      <c r="AI232" s="9">
        <v>1</v>
      </c>
      <c r="AJ232" s="9">
        <v>0.40533945799688798</v>
      </c>
      <c r="AK232" s="10" t="s">
        <v>51</v>
      </c>
      <c r="AL232" s="8"/>
      <c r="AM232" s="8"/>
      <c r="AN232" s="8"/>
      <c r="AO232" s="9">
        <v>5</v>
      </c>
      <c r="AP232" s="9">
        <v>1</v>
      </c>
      <c r="AQ232" s="10" t="s">
        <v>110</v>
      </c>
      <c r="AR232" s="10" t="s">
        <v>53</v>
      </c>
      <c r="AS232" s="8"/>
      <c r="AT232" s="10" t="s">
        <v>54</v>
      </c>
      <c r="AU232" s="9">
        <v>121.002689767825</v>
      </c>
      <c r="AV232" s="10" t="s">
        <v>111</v>
      </c>
      <c r="AW232" s="8"/>
    </row>
    <row r="233" spans="1:49" x14ac:dyDescent="0.15">
      <c r="A233" s="11" t="s">
        <v>66</v>
      </c>
      <c r="B233" s="12" t="s">
        <v>67</v>
      </c>
      <c r="C233" s="10" t="s">
        <v>62</v>
      </c>
      <c r="D233" s="10" t="s">
        <v>63</v>
      </c>
      <c r="E233" s="9">
        <v>219</v>
      </c>
      <c r="F233" s="9">
        <v>219</v>
      </c>
      <c r="G233" s="9">
        <v>4</v>
      </c>
      <c r="H233" s="10" t="s">
        <v>63</v>
      </c>
      <c r="I233" s="9">
        <v>1</v>
      </c>
      <c r="J233" s="9">
        <v>0.47495912399608597</v>
      </c>
      <c r="K233" s="10" t="s">
        <v>51</v>
      </c>
      <c r="L233" s="9">
        <v>4</v>
      </c>
      <c r="M233" s="9">
        <v>219</v>
      </c>
      <c r="N233" s="9">
        <v>219</v>
      </c>
      <c r="O233" s="9">
        <v>47</v>
      </c>
      <c r="P233" s="9">
        <v>228.659978124997</v>
      </c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9">
        <v>228.64998570899499</v>
      </c>
      <c r="AC233" s="9">
        <v>228.659978124997</v>
      </c>
      <c r="AD233" s="9">
        <v>229.14734650000199</v>
      </c>
      <c r="AE233" s="9">
        <v>229.14734650000199</v>
      </c>
      <c r="AF233" s="9">
        <v>229.14734650000199</v>
      </c>
      <c r="AG233" s="9">
        <v>229.629339374995</v>
      </c>
      <c r="AH233" s="10" t="s">
        <v>63</v>
      </c>
      <c r="AI233" s="9">
        <v>1</v>
      </c>
      <c r="AJ233" s="9">
        <v>0.47495912399608597</v>
      </c>
      <c r="AK233" s="10" t="s">
        <v>51</v>
      </c>
      <c r="AL233" s="8"/>
      <c r="AM233" s="8"/>
      <c r="AN233" s="8"/>
      <c r="AO233" s="9">
        <v>5</v>
      </c>
      <c r="AP233" s="9">
        <v>1</v>
      </c>
      <c r="AQ233" s="10" t="s">
        <v>110</v>
      </c>
      <c r="AR233" s="10" t="s">
        <v>53</v>
      </c>
      <c r="AS233" s="8"/>
      <c r="AT233" s="10" t="s">
        <v>54</v>
      </c>
      <c r="AU233" s="9">
        <v>121.002689767825</v>
      </c>
      <c r="AV233" s="10" t="s">
        <v>111</v>
      </c>
      <c r="AW233" s="8"/>
    </row>
    <row r="234" spans="1:49" x14ac:dyDescent="0.15">
      <c r="A234" s="11" t="s">
        <v>76</v>
      </c>
      <c r="B234" s="12" t="s">
        <v>67</v>
      </c>
      <c r="C234" s="10" t="s">
        <v>58</v>
      </c>
      <c r="D234" s="10" t="s">
        <v>59</v>
      </c>
      <c r="E234" s="9">
        <v>220</v>
      </c>
      <c r="F234" s="9">
        <v>220</v>
      </c>
      <c r="G234" s="9">
        <v>4</v>
      </c>
      <c r="H234" s="10" t="s">
        <v>59</v>
      </c>
      <c r="I234" s="9">
        <v>1</v>
      </c>
      <c r="J234" s="9">
        <v>0.47760766600549698</v>
      </c>
      <c r="K234" s="10" t="s">
        <v>51</v>
      </c>
      <c r="L234" s="9">
        <v>4</v>
      </c>
      <c r="M234" s="9">
        <v>220</v>
      </c>
      <c r="N234" s="9">
        <v>220</v>
      </c>
      <c r="O234" s="9">
        <v>42</v>
      </c>
      <c r="P234" s="9">
        <v>229.64427241698999</v>
      </c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9">
        <v>229.63425962500301</v>
      </c>
      <c r="AC234" s="9">
        <v>229.64427241698999</v>
      </c>
      <c r="AD234" s="9">
        <v>230.130838958998</v>
      </c>
      <c r="AE234" s="9">
        <v>230.130838958998</v>
      </c>
      <c r="AF234" s="9">
        <v>230.130838958998</v>
      </c>
      <c r="AG234" s="9">
        <v>230.62372399999001</v>
      </c>
      <c r="AH234" s="10" t="s">
        <v>59</v>
      </c>
      <c r="AI234" s="9">
        <v>1</v>
      </c>
      <c r="AJ234" s="9">
        <v>0.47760766600549698</v>
      </c>
      <c r="AK234" s="10" t="s">
        <v>51</v>
      </c>
      <c r="AL234" s="8"/>
      <c r="AM234" s="8"/>
      <c r="AN234" s="8"/>
      <c r="AO234" s="9">
        <v>5</v>
      </c>
      <c r="AP234" s="9">
        <v>1</v>
      </c>
      <c r="AQ234" s="10" t="s">
        <v>110</v>
      </c>
      <c r="AR234" s="10" t="s">
        <v>53</v>
      </c>
      <c r="AS234" s="8"/>
      <c r="AT234" s="10" t="s">
        <v>54</v>
      </c>
      <c r="AU234" s="9">
        <v>121.002689767825</v>
      </c>
      <c r="AV234" s="10" t="s">
        <v>111</v>
      </c>
      <c r="AW234" s="8"/>
    </row>
    <row r="235" spans="1:49" x14ac:dyDescent="0.15">
      <c r="A235" s="11" t="s">
        <v>77</v>
      </c>
      <c r="B235" s="12" t="s">
        <v>67</v>
      </c>
      <c r="C235" s="10" t="s">
        <v>62</v>
      </c>
      <c r="D235" s="10" t="s">
        <v>63</v>
      </c>
      <c r="E235" s="9">
        <v>222</v>
      </c>
      <c r="F235" s="9">
        <v>222</v>
      </c>
      <c r="G235" s="9">
        <v>4</v>
      </c>
      <c r="H235" s="10" t="s">
        <v>63</v>
      </c>
      <c r="I235" s="9">
        <v>1</v>
      </c>
      <c r="J235" s="9">
        <v>0.42768941599933902</v>
      </c>
      <c r="K235" s="10" t="s">
        <v>51</v>
      </c>
      <c r="L235" s="9">
        <v>4</v>
      </c>
      <c r="M235" s="9">
        <v>222</v>
      </c>
      <c r="N235" s="9">
        <v>222</v>
      </c>
      <c r="O235" s="9">
        <v>41</v>
      </c>
      <c r="P235" s="9">
        <v>231.519750916996</v>
      </c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9">
        <v>231.51109237500401</v>
      </c>
      <c r="AC235" s="9">
        <v>231.519750916996</v>
      </c>
      <c r="AD235" s="9">
        <v>232.00471412499601</v>
      </c>
      <c r="AE235" s="9">
        <v>232.00471412499601</v>
      </c>
      <c r="AF235" s="9">
        <v>232.00471412499601</v>
      </c>
      <c r="AG235" s="9">
        <v>232.439433874999</v>
      </c>
      <c r="AH235" s="10" t="s">
        <v>63</v>
      </c>
      <c r="AI235" s="9">
        <v>1</v>
      </c>
      <c r="AJ235" s="9">
        <v>0.42768941599933902</v>
      </c>
      <c r="AK235" s="10" t="s">
        <v>51</v>
      </c>
      <c r="AL235" s="8"/>
      <c r="AM235" s="8"/>
      <c r="AN235" s="8"/>
      <c r="AO235" s="9">
        <v>5</v>
      </c>
      <c r="AP235" s="9">
        <v>1</v>
      </c>
      <c r="AQ235" s="10" t="s">
        <v>110</v>
      </c>
      <c r="AR235" s="10" t="s">
        <v>53</v>
      </c>
      <c r="AS235" s="8"/>
      <c r="AT235" s="10" t="s">
        <v>54</v>
      </c>
      <c r="AU235" s="9">
        <v>121.002689767825</v>
      </c>
      <c r="AV235" s="10" t="s">
        <v>111</v>
      </c>
      <c r="AW235" s="8"/>
    </row>
    <row r="236" spans="1:49" x14ac:dyDescent="0.15">
      <c r="A236" s="11" t="s">
        <v>80</v>
      </c>
      <c r="B236" s="12" t="s">
        <v>67</v>
      </c>
      <c r="C236" s="10" t="s">
        <v>58</v>
      </c>
      <c r="D236" s="10" t="s">
        <v>59</v>
      </c>
      <c r="E236" s="9">
        <v>225</v>
      </c>
      <c r="F236" s="9">
        <v>225</v>
      </c>
      <c r="G236" s="9">
        <v>4</v>
      </c>
      <c r="H236" s="10" t="s">
        <v>59</v>
      </c>
      <c r="I236" s="9">
        <v>1</v>
      </c>
      <c r="J236" s="9">
        <v>0.36300904100062298</v>
      </c>
      <c r="K236" s="10" t="s">
        <v>51</v>
      </c>
      <c r="L236" s="9">
        <v>4</v>
      </c>
      <c r="M236" s="9">
        <v>225</v>
      </c>
      <c r="N236" s="9">
        <v>225</v>
      </c>
      <c r="O236" s="9">
        <v>32</v>
      </c>
      <c r="P236" s="9">
        <v>234.22695879200199</v>
      </c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9">
        <v>234.21663275000199</v>
      </c>
      <c r="AC236" s="9">
        <v>234.22695879200199</v>
      </c>
      <c r="AD236" s="9">
        <v>234.712406416991</v>
      </c>
      <c r="AE236" s="9">
        <v>234.712406416991</v>
      </c>
      <c r="AF236" s="9">
        <v>234.712406416991</v>
      </c>
      <c r="AG236" s="9">
        <v>235.07895441699699</v>
      </c>
      <c r="AH236" s="10" t="s">
        <v>59</v>
      </c>
      <c r="AI236" s="9">
        <v>1</v>
      </c>
      <c r="AJ236" s="9">
        <v>0.36300904100062298</v>
      </c>
      <c r="AK236" s="10" t="s">
        <v>51</v>
      </c>
      <c r="AL236" s="8"/>
      <c r="AM236" s="8"/>
      <c r="AN236" s="8"/>
      <c r="AO236" s="9">
        <v>5</v>
      </c>
      <c r="AP236" s="9">
        <v>1</v>
      </c>
      <c r="AQ236" s="10" t="s">
        <v>110</v>
      </c>
      <c r="AR236" s="10" t="s">
        <v>53</v>
      </c>
      <c r="AS236" s="8"/>
      <c r="AT236" s="10" t="s">
        <v>54</v>
      </c>
      <c r="AU236" s="9">
        <v>121.002689767825</v>
      </c>
      <c r="AV236" s="10" t="s">
        <v>111</v>
      </c>
      <c r="AW236" s="8"/>
    </row>
    <row r="237" spans="1:49" x14ac:dyDescent="0.15">
      <c r="A237" s="11" t="s">
        <v>81</v>
      </c>
      <c r="B237" s="12" t="s">
        <v>67</v>
      </c>
      <c r="C237" s="10" t="s">
        <v>62</v>
      </c>
      <c r="D237" s="10" t="s">
        <v>63</v>
      </c>
      <c r="E237" s="9">
        <v>227</v>
      </c>
      <c r="F237" s="9">
        <v>227</v>
      </c>
      <c r="G237" s="9">
        <v>4</v>
      </c>
      <c r="H237" s="10" t="s">
        <v>63</v>
      </c>
      <c r="I237" s="9">
        <v>1</v>
      </c>
      <c r="J237" s="9">
        <v>0.41032737400382802</v>
      </c>
      <c r="K237" s="10" t="s">
        <v>51</v>
      </c>
      <c r="L237" s="9">
        <v>4</v>
      </c>
      <c r="M237" s="9">
        <v>227</v>
      </c>
      <c r="N237" s="9">
        <v>227</v>
      </c>
      <c r="O237" s="9">
        <v>45</v>
      </c>
      <c r="P237" s="9">
        <v>235.89480637499901</v>
      </c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9">
        <v>235.88311075000101</v>
      </c>
      <c r="AC237" s="9">
        <v>235.89480637499901</v>
      </c>
      <c r="AD237" s="9">
        <v>236.381065833994</v>
      </c>
      <c r="AE237" s="9">
        <v>236.381065833994</v>
      </c>
      <c r="AF237" s="9">
        <v>236.381065833994</v>
      </c>
      <c r="AG237" s="9">
        <v>236.796026791999</v>
      </c>
      <c r="AH237" s="10" t="s">
        <v>63</v>
      </c>
      <c r="AI237" s="9">
        <v>1</v>
      </c>
      <c r="AJ237" s="9">
        <v>0.41032737400382802</v>
      </c>
      <c r="AK237" s="10" t="s">
        <v>51</v>
      </c>
      <c r="AL237" s="8"/>
      <c r="AM237" s="8"/>
      <c r="AN237" s="8"/>
      <c r="AO237" s="9">
        <v>5</v>
      </c>
      <c r="AP237" s="9">
        <v>1</v>
      </c>
      <c r="AQ237" s="10" t="s">
        <v>110</v>
      </c>
      <c r="AR237" s="10" t="s">
        <v>53</v>
      </c>
      <c r="AS237" s="8"/>
      <c r="AT237" s="10" t="s">
        <v>54</v>
      </c>
      <c r="AU237" s="9">
        <v>121.002689767825</v>
      </c>
      <c r="AV237" s="10" t="s">
        <v>111</v>
      </c>
      <c r="AW237" s="8"/>
    </row>
    <row r="238" spans="1:49" x14ac:dyDescent="0.15">
      <c r="A238" s="11" t="s">
        <v>69</v>
      </c>
      <c r="B238" s="12" t="s">
        <v>67</v>
      </c>
      <c r="C238" s="10" t="s">
        <v>58</v>
      </c>
      <c r="D238" s="10" t="s">
        <v>59</v>
      </c>
      <c r="E238" s="9">
        <v>231</v>
      </c>
      <c r="F238" s="9">
        <v>231</v>
      </c>
      <c r="G238" s="9">
        <v>4</v>
      </c>
      <c r="H238" s="10" t="s">
        <v>59</v>
      </c>
      <c r="I238" s="9">
        <v>1</v>
      </c>
      <c r="J238" s="9">
        <v>0.371827082999516</v>
      </c>
      <c r="K238" s="10" t="s">
        <v>51</v>
      </c>
      <c r="L238" s="9">
        <v>4</v>
      </c>
      <c r="M238" s="9">
        <v>231</v>
      </c>
      <c r="N238" s="9">
        <v>231</v>
      </c>
      <c r="O238" s="9">
        <v>38</v>
      </c>
      <c r="P238" s="9">
        <v>239.52138729199899</v>
      </c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9">
        <v>239.512182167004</v>
      </c>
      <c r="AC238" s="9">
        <v>239.52138729199899</v>
      </c>
      <c r="AD238" s="9">
        <v>240.00471208400299</v>
      </c>
      <c r="AE238" s="9">
        <v>240.00471208400299</v>
      </c>
      <c r="AF238" s="9">
        <v>240.00471208400299</v>
      </c>
      <c r="AG238" s="9">
        <v>240.379506416997</v>
      </c>
      <c r="AH238" s="10" t="s">
        <v>59</v>
      </c>
      <c r="AI238" s="9">
        <v>1</v>
      </c>
      <c r="AJ238" s="9">
        <v>0.371827082999516</v>
      </c>
      <c r="AK238" s="10" t="s">
        <v>51</v>
      </c>
      <c r="AL238" s="8"/>
      <c r="AM238" s="8"/>
      <c r="AN238" s="8"/>
      <c r="AO238" s="9">
        <v>5</v>
      </c>
      <c r="AP238" s="9">
        <v>1</v>
      </c>
      <c r="AQ238" s="10" t="s">
        <v>110</v>
      </c>
      <c r="AR238" s="10" t="s">
        <v>53</v>
      </c>
      <c r="AS238" s="8"/>
      <c r="AT238" s="10" t="s">
        <v>54</v>
      </c>
      <c r="AU238" s="9">
        <v>121.002689767825</v>
      </c>
      <c r="AV238" s="10" t="s">
        <v>111</v>
      </c>
      <c r="AW238" s="8"/>
    </row>
    <row r="239" spans="1:49" x14ac:dyDescent="0.15">
      <c r="A239" s="11" t="s">
        <v>81</v>
      </c>
      <c r="B239" s="12" t="s">
        <v>67</v>
      </c>
      <c r="C239" s="10" t="s">
        <v>58</v>
      </c>
      <c r="D239" s="10" t="s">
        <v>59</v>
      </c>
      <c r="E239" s="9">
        <v>234</v>
      </c>
      <c r="F239" s="9">
        <v>234</v>
      </c>
      <c r="G239" s="9">
        <v>4</v>
      </c>
      <c r="H239" s="10" t="s">
        <v>59</v>
      </c>
      <c r="I239" s="9">
        <v>1</v>
      </c>
      <c r="J239" s="9">
        <v>0.435800166000263</v>
      </c>
      <c r="K239" s="10" t="s">
        <v>51</v>
      </c>
      <c r="L239" s="9">
        <v>4</v>
      </c>
      <c r="M239" s="9">
        <v>234</v>
      </c>
      <c r="N239" s="9">
        <v>234</v>
      </c>
      <c r="O239" s="9">
        <v>44</v>
      </c>
      <c r="P239" s="9">
        <v>242.17735612500101</v>
      </c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9">
        <v>242.16598433400199</v>
      </c>
      <c r="AC239" s="9">
        <v>242.17735612500101</v>
      </c>
      <c r="AD239" s="9">
        <v>242.65478779199501</v>
      </c>
      <c r="AE239" s="9">
        <v>242.65478779199501</v>
      </c>
      <c r="AF239" s="9">
        <v>242.65478779199501</v>
      </c>
      <c r="AG239" s="9">
        <v>243.096241167004</v>
      </c>
      <c r="AH239" s="10" t="s">
        <v>59</v>
      </c>
      <c r="AI239" s="9">
        <v>1</v>
      </c>
      <c r="AJ239" s="9">
        <v>0.435800166000263</v>
      </c>
      <c r="AK239" s="10" t="s">
        <v>51</v>
      </c>
      <c r="AL239" s="8"/>
      <c r="AM239" s="8"/>
      <c r="AN239" s="8"/>
      <c r="AO239" s="9">
        <v>5</v>
      </c>
      <c r="AP239" s="9">
        <v>1</v>
      </c>
      <c r="AQ239" s="10" t="s">
        <v>110</v>
      </c>
      <c r="AR239" s="10" t="s">
        <v>53</v>
      </c>
      <c r="AS239" s="8"/>
      <c r="AT239" s="10" t="s">
        <v>54</v>
      </c>
      <c r="AU239" s="9">
        <v>121.002689767825</v>
      </c>
      <c r="AV239" s="10" t="s">
        <v>111</v>
      </c>
      <c r="AW239" s="8"/>
    </row>
    <row r="240" spans="1:49" x14ac:dyDescent="0.15">
      <c r="A240" s="11" t="s">
        <v>69</v>
      </c>
      <c r="B240" s="12" t="s">
        <v>67</v>
      </c>
      <c r="C240" s="10" t="s">
        <v>62</v>
      </c>
      <c r="D240" s="10" t="s">
        <v>63</v>
      </c>
      <c r="E240" s="9">
        <v>238</v>
      </c>
      <c r="F240" s="9">
        <v>238</v>
      </c>
      <c r="G240" s="9">
        <v>4</v>
      </c>
      <c r="H240" s="10" t="s">
        <v>63</v>
      </c>
      <c r="I240" s="9">
        <v>1</v>
      </c>
      <c r="J240" s="9">
        <v>0.32021758200426098</v>
      </c>
      <c r="K240" s="10" t="s">
        <v>51</v>
      </c>
      <c r="L240" s="9">
        <v>4</v>
      </c>
      <c r="M240" s="9">
        <v>238</v>
      </c>
      <c r="N240" s="9">
        <v>238</v>
      </c>
      <c r="O240" s="9">
        <v>39</v>
      </c>
      <c r="P240" s="9">
        <v>245.594404834003</v>
      </c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9">
        <v>245.584001541996</v>
      </c>
      <c r="AC240" s="9">
        <v>245.594404834003</v>
      </c>
      <c r="AD240" s="9">
        <v>246.08157837499999</v>
      </c>
      <c r="AE240" s="9">
        <v>246.08157837499999</v>
      </c>
      <c r="AF240" s="9">
        <v>246.08157837499999</v>
      </c>
      <c r="AG240" s="9">
        <v>246.40710912499301</v>
      </c>
      <c r="AH240" s="10" t="s">
        <v>63</v>
      </c>
      <c r="AI240" s="9">
        <v>1</v>
      </c>
      <c r="AJ240" s="9">
        <v>0.32021758200426098</v>
      </c>
      <c r="AK240" s="10" t="s">
        <v>51</v>
      </c>
      <c r="AL240" s="8"/>
      <c r="AM240" s="8"/>
      <c r="AN240" s="8"/>
      <c r="AO240" s="9">
        <v>5</v>
      </c>
      <c r="AP240" s="9">
        <v>1</v>
      </c>
      <c r="AQ240" s="10" t="s">
        <v>110</v>
      </c>
      <c r="AR240" s="10" t="s">
        <v>53</v>
      </c>
      <c r="AS240" s="8"/>
      <c r="AT240" s="10" t="s">
        <v>54</v>
      </c>
      <c r="AU240" s="9">
        <v>121.002689767825</v>
      </c>
      <c r="AV240" s="10" t="s">
        <v>111</v>
      </c>
      <c r="AW240" s="8"/>
    </row>
    <row r="241" spans="1:49" x14ac:dyDescent="0.15">
      <c r="A241" s="11" t="s">
        <v>76</v>
      </c>
      <c r="B241" s="12" t="s">
        <v>67</v>
      </c>
      <c r="C241" s="10" t="s">
        <v>62</v>
      </c>
      <c r="D241" s="10" t="s">
        <v>63</v>
      </c>
      <c r="E241" s="9">
        <v>239</v>
      </c>
      <c r="F241" s="9">
        <v>239</v>
      </c>
      <c r="G241" s="9">
        <v>4</v>
      </c>
      <c r="H241" s="10" t="s">
        <v>63</v>
      </c>
      <c r="I241" s="9">
        <v>1</v>
      </c>
      <c r="J241" s="9">
        <v>0.36971395798900603</v>
      </c>
      <c r="K241" s="10" t="s">
        <v>51</v>
      </c>
      <c r="L241" s="9">
        <v>4</v>
      </c>
      <c r="M241" s="9">
        <v>239</v>
      </c>
      <c r="N241" s="9">
        <v>239</v>
      </c>
      <c r="O241" s="9">
        <v>43</v>
      </c>
      <c r="P241" s="9">
        <v>246.421331791993</v>
      </c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9">
        <v>246.41188887499399</v>
      </c>
      <c r="AC241" s="9">
        <v>246.421331791993</v>
      </c>
      <c r="AD241" s="9">
        <v>246.90490129200001</v>
      </c>
      <c r="AE241" s="9">
        <v>246.90490129200001</v>
      </c>
      <c r="AF241" s="9">
        <v>246.90490129200001</v>
      </c>
      <c r="AG241" s="9">
        <v>247.27965545900199</v>
      </c>
      <c r="AH241" s="10" t="s">
        <v>63</v>
      </c>
      <c r="AI241" s="9">
        <v>1</v>
      </c>
      <c r="AJ241" s="9">
        <v>0.36971395798900603</v>
      </c>
      <c r="AK241" s="10" t="s">
        <v>51</v>
      </c>
      <c r="AL241" s="8"/>
      <c r="AM241" s="8"/>
      <c r="AN241" s="8"/>
      <c r="AO241" s="9">
        <v>5</v>
      </c>
      <c r="AP241" s="9">
        <v>1</v>
      </c>
      <c r="AQ241" s="10" t="s">
        <v>110</v>
      </c>
      <c r="AR241" s="10" t="s">
        <v>53</v>
      </c>
      <c r="AS241" s="8"/>
      <c r="AT241" s="10" t="s">
        <v>54</v>
      </c>
      <c r="AU241" s="9">
        <v>121.002689767825</v>
      </c>
      <c r="AV241" s="10" t="s">
        <v>111</v>
      </c>
      <c r="AW241" s="8"/>
    </row>
    <row r="242" spans="1:49" x14ac:dyDescent="0.15">
      <c r="A242" s="6"/>
      <c r="B242" s="7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9">
        <v>9.5204590033972601E-3</v>
      </c>
      <c r="S242" s="9">
        <v>2.92551669990644E-2</v>
      </c>
      <c r="T242" s="9">
        <v>2.92551669990644E-2</v>
      </c>
      <c r="U242" s="9">
        <v>20.622877000001601</v>
      </c>
      <c r="V242" s="10" t="s">
        <v>50</v>
      </c>
      <c r="W242" s="9">
        <v>20.254100040998299</v>
      </c>
      <c r="X242" s="10" t="s">
        <v>51</v>
      </c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9">
        <v>5</v>
      </c>
      <c r="AP242" s="9">
        <v>1</v>
      </c>
      <c r="AQ242" s="10" t="s">
        <v>110</v>
      </c>
      <c r="AR242" s="10" t="s">
        <v>53</v>
      </c>
      <c r="AS242" s="8"/>
      <c r="AT242" s="10" t="s">
        <v>54</v>
      </c>
      <c r="AU242" s="9">
        <v>121.002689767825</v>
      </c>
      <c r="AV242" s="10" t="s">
        <v>111</v>
      </c>
      <c r="AW242" s="8"/>
    </row>
    <row r="243" spans="1:49" x14ac:dyDescent="0.15">
      <c r="A243" s="6"/>
      <c r="B243" s="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9">
        <v>20.622948208998402</v>
      </c>
      <c r="Z243" s="9">
        <v>20.639352333993902</v>
      </c>
      <c r="AA243" s="9">
        <v>21.630942959003701</v>
      </c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9">
        <v>5</v>
      </c>
      <c r="AP243" s="9">
        <v>1</v>
      </c>
      <c r="AQ243" s="10" t="s">
        <v>110</v>
      </c>
      <c r="AR243" s="10" t="s">
        <v>53</v>
      </c>
      <c r="AS243" s="8"/>
      <c r="AT243" s="10" t="s">
        <v>54</v>
      </c>
      <c r="AU243" s="9">
        <v>121.002689767825</v>
      </c>
      <c r="AV243" s="10" t="s">
        <v>111</v>
      </c>
      <c r="AW243" s="8"/>
    </row>
    <row r="244" spans="1:49" x14ac:dyDescent="0.15">
      <c r="A244" s="6"/>
      <c r="B244" s="7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9">
        <v>247.27985700000099</v>
      </c>
      <c r="AM244" s="9">
        <v>247.305490083992</v>
      </c>
      <c r="AN244" s="9">
        <v>249.28028991699099</v>
      </c>
      <c r="AO244" s="9">
        <v>5</v>
      </c>
      <c r="AP244" s="9">
        <v>1</v>
      </c>
      <c r="AQ244" s="10" t="s">
        <v>110</v>
      </c>
      <c r="AR244" s="10" t="s">
        <v>53</v>
      </c>
      <c r="AS244" s="8"/>
      <c r="AT244" s="10" t="s">
        <v>54</v>
      </c>
      <c r="AU244" s="9">
        <v>121.002689767825</v>
      </c>
      <c r="AV244" s="10" t="s">
        <v>111</v>
      </c>
      <c r="AW244" s="8"/>
    </row>
    <row r="248" spans="1:49" ht="14" x14ac:dyDescent="0.15">
      <c r="E248" s="16" t="s">
        <v>87</v>
      </c>
      <c r="H248" s="16" t="s">
        <v>101</v>
      </c>
    </row>
    <row r="249" spans="1:49" ht="14" x14ac:dyDescent="0.15">
      <c r="E249" s="15" t="s">
        <v>88</v>
      </c>
      <c r="F249" s="18">
        <f>AVERAGE(J2:J81)</f>
        <v>0.44565897538759602</v>
      </c>
      <c r="H249" s="15" t="s">
        <v>92</v>
      </c>
      <c r="I249" s="18">
        <f>F249-F250</f>
        <v>2.9596967737961721E-2</v>
      </c>
    </row>
    <row r="250" spans="1:49" ht="14" x14ac:dyDescent="0.15">
      <c r="E250" s="15" t="s">
        <v>89</v>
      </c>
      <c r="F250" s="18">
        <f>AVERAGE(J82:J161)</f>
        <v>0.4160620076496343</v>
      </c>
      <c r="H250" s="15" t="s">
        <v>93</v>
      </c>
      <c r="I250" s="18">
        <f>F249-F251</f>
        <v>2.5619374635426073E-3</v>
      </c>
    </row>
    <row r="251" spans="1:49" ht="14" x14ac:dyDescent="0.15">
      <c r="E251" s="15" t="s">
        <v>90</v>
      </c>
      <c r="F251" s="18">
        <f>AVERAGE(J162:J241)</f>
        <v>0.44309703792405342</v>
      </c>
    </row>
    <row r="255" spans="1:49" ht="14" x14ac:dyDescent="0.15">
      <c r="E255" s="16" t="s">
        <v>114</v>
      </c>
    </row>
    <row r="256" spans="1:49" ht="14" x14ac:dyDescent="0.15">
      <c r="E256" s="19" t="s">
        <v>115</v>
      </c>
      <c r="F256" s="18">
        <f>AVERAGE(I2:I81)*100</f>
        <v>91.25</v>
      </c>
    </row>
    <row r="257" spans="5:6" ht="14" x14ac:dyDescent="0.15">
      <c r="E257" s="15" t="s">
        <v>116</v>
      </c>
      <c r="F257" s="40">
        <f>AVERAGE(I82:I161)*100</f>
        <v>91.25</v>
      </c>
    </row>
    <row r="258" spans="5:6" ht="14" x14ac:dyDescent="0.15">
      <c r="E258" s="15" t="s">
        <v>117</v>
      </c>
      <c r="F258" s="18">
        <f>79/80*100</f>
        <v>98.75</v>
      </c>
    </row>
  </sheetData>
  <sortState xmlns:xlrd2="http://schemas.microsoft.com/office/spreadsheetml/2017/richdata2" ref="A2:AV244">
    <sortCondition descending="1" ref="B1:B24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1D53-F88F-B247-B780-6B528B6DF4CB}">
  <dimension ref="A1:O108"/>
  <sheetViews>
    <sheetView tabSelected="1" topLeftCell="A95" zoomScale="107" workbookViewId="0">
      <selection activeCell="F83" sqref="F83"/>
    </sheetView>
  </sheetViews>
  <sheetFormatPr baseColWidth="10" defaultColWidth="10.83203125" defaultRowHeight="13" x14ac:dyDescent="0.15"/>
  <cols>
    <col min="1" max="1" width="48.33203125" customWidth="1"/>
    <col min="2" max="2" width="15.6640625" customWidth="1"/>
    <col min="3" max="3" width="22.5" customWidth="1"/>
    <col min="4" max="4" width="20.6640625" customWidth="1"/>
    <col min="5" max="5" width="22.83203125" customWidth="1"/>
  </cols>
  <sheetData>
    <row r="1" spans="1:5" ht="14" x14ac:dyDescent="0.15">
      <c r="A1" s="17" t="s">
        <v>102</v>
      </c>
      <c r="B1" s="17" t="s">
        <v>88</v>
      </c>
      <c r="C1" s="17" t="s">
        <v>89</v>
      </c>
      <c r="D1" s="17" t="s">
        <v>90</v>
      </c>
    </row>
    <row r="2" spans="1:5" ht="14" x14ac:dyDescent="0.15">
      <c r="A2" s="15" t="s">
        <v>103</v>
      </c>
      <c r="B2">
        <v>0.48465496600000002</v>
      </c>
      <c r="C2">
        <v>0.47840279899999999</v>
      </c>
      <c r="D2">
        <v>0.47450176799999999</v>
      </c>
    </row>
    <row r="3" spans="1:5" ht="14" x14ac:dyDescent="0.15">
      <c r="A3" s="15" t="s">
        <v>104</v>
      </c>
      <c r="B3">
        <v>0.56670811799999998</v>
      </c>
      <c r="C3">
        <v>0.56659332200000001</v>
      </c>
      <c r="D3">
        <v>0.56128071099999999</v>
      </c>
    </row>
    <row r="4" spans="1:5" ht="14" x14ac:dyDescent="0.15">
      <c r="A4" s="15" t="s">
        <v>105</v>
      </c>
      <c r="B4">
        <v>0.67250595000000002</v>
      </c>
      <c r="C4">
        <v>0.61602108</v>
      </c>
      <c r="D4">
        <v>0.58035552999999995</v>
      </c>
    </row>
    <row r="5" spans="1:5" ht="14" x14ac:dyDescent="0.15">
      <c r="A5" s="15" t="s">
        <v>106</v>
      </c>
      <c r="B5">
        <v>0.46930705</v>
      </c>
      <c r="C5">
        <v>0.42262254999999999</v>
      </c>
      <c r="D5">
        <v>0.42323037000000002</v>
      </c>
    </row>
    <row r="6" spans="1:5" ht="14" x14ac:dyDescent="0.15">
      <c r="A6" s="15" t="s">
        <v>107</v>
      </c>
      <c r="B6">
        <v>0.44565897999999998</v>
      </c>
      <c r="C6">
        <v>0.41606200999999998</v>
      </c>
      <c r="D6">
        <v>0.44309704</v>
      </c>
    </row>
    <row r="7" spans="1:5" ht="44" customHeight="1" x14ac:dyDescent="0.15">
      <c r="B7" s="18">
        <f>AVERAGE(B2:B6)</f>
        <v>0.52776701280000005</v>
      </c>
      <c r="C7" s="18">
        <f>AVERAGE(C2:C6)</f>
        <v>0.49994035219999999</v>
      </c>
      <c r="D7" s="18">
        <f>AVERAGE(D2:D6)</f>
        <v>0.49649308380000001</v>
      </c>
      <c r="E7" s="16" t="s">
        <v>124</v>
      </c>
    </row>
    <row r="10" spans="1:5" ht="28" x14ac:dyDescent="0.15">
      <c r="A10" s="16" t="s">
        <v>112</v>
      </c>
    </row>
    <row r="11" spans="1:5" ht="14" x14ac:dyDescent="0.15">
      <c r="A11" s="17" t="s">
        <v>102</v>
      </c>
      <c r="B11" s="17" t="s">
        <v>108</v>
      </c>
      <c r="C11" s="17" t="s">
        <v>109</v>
      </c>
    </row>
    <row r="12" spans="1:5" ht="14" x14ac:dyDescent="0.15">
      <c r="A12" s="15" t="s">
        <v>103</v>
      </c>
      <c r="B12">
        <v>6.2521699999999996E-3</v>
      </c>
      <c r="C12">
        <v>1.0153199999999999E-2</v>
      </c>
    </row>
    <row r="13" spans="1:5" ht="14" x14ac:dyDescent="0.15">
      <c r="A13" s="15" t="s">
        <v>104</v>
      </c>
      <c r="B13">
        <v>1.14796E-4</v>
      </c>
      <c r="C13">
        <v>5.4274070000000004E-3</v>
      </c>
    </row>
    <row r="14" spans="1:5" ht="14" x14ac:dyDescent="0.15">
      <c r="A14" s="15" t="s">
        <v>105</v>
      </c>
      <c r="B14">
        <v>5.6484880000000001E-2</v>
      </c>
      <c r="C14">
        <v>9.2150430000000005E-2</v>
      </c>
    </row>
    <row r="15" spans="1:5" ht="14" x14ac:dyDescent="0.15">
      <c r="A15" s="15" t="s">
        <v>106</v>
      </c>
      <c r="B15">
        <v>4.6684499999999997E-2</v>
      </c>
      <c r="C15">
        <v>4.607667E-2</v>
      </c>
    </row>
    <row r="16" spans="1:5" ht="14" x14ac:dyDescent="0.15">
      <c r="A16" s="15" t="s">
        <v>107</v>
      </c>
      <c r="B16">
        <v>2.959697E-2</v>
      </c>
      <c r="C16">
        <v>2.56194E-3</v>
      </c>
    </row>
    <row r="17" spans="1:5" ht="47" customHeight="1" x14ac:dyDescent="0.15">
      <c r="B17" s="18">
        <f>AVERAGE(B12:B16)</f>
        <v>2.7826663200000001E-2</v>
      </c>
      <c r="C17" s="18">
        <f>AVERAGE(C12:C16)</f>
        <v>3.1273929400000004E-2</v>
      </c>
      <c r="E17" s="16" t="s">
        <v>113</v>
      </c>
    </row>
    <row r="21" spans="1:5" ht="14" x14ac:dyDescent="0.15">
      <c r="A21" s="16" t="s">
        <v>119</v>
      </c>
    </row>
    <row r="22" spans="1:5" ht="14" x14ac:dyDescent="0.15">
      <c r="A22" s="16" t="s">
        <v>120</v>
      </c>
      <c r="B22" s="17" t="s">
        <v>121</v>
      </c>
      <c r="C22" s="17" t="s">
        <v>122</v>
      </c>
      <c r="D22" s="17" t="s">
        <v>123</v>
      </c>
    </row>
    <row r="23" spans="1:5" ht="14" x14ac:dyDescent="0.15">
      <c r="A23" s="15" t="s">
        <v>103</v>
      </c>
      <c r="B23">
        <v>97.5</v>
      </c>
      <c r="C23">
        <v>97.5</v>
      </c>
      <c r="D23">
        <v>93.75</v>
      </c>
    </row>
    <row r="24" spans="1:5" ht="14" x14ac:dyDescent="0.15">
      <c r="A24" s="15" t="s">
        <v>104</v>
      </c>
      <c r="B24">
        <v>93.75</v>
      </c>
      <c r="C24">
        <v>95</v>
      </c>
      <c r="D24">
        <v>97.5</v>
      </c>
    </row>
    <row r="25" spans="1:5" ht="14" x14ac:dyDescent="0.15">
      <c r="A25" s="15" t="s">
        <v>105</v>
      </c>
      <c r="B25">
        <v>98.75</v>
      </c>
      <c r="C25">
        <v>97.5</v>
      </c>
      <c r="D25">
        <v>98.75</v>
      </c>
    </row>
    <row r="26" spans="1:5" ht="14" x14ac:dyDescent="0.15">
      <c r="A26" s="15" t="s">
        <v>106</v>
      </c>
      <c r="B26">
        <v>92.5</v>
      </c>
      <c r="C26">
        <v>92.5</v>
      </c>
      <c r="D26">
        <v>95</v>
      </c>
    </row>
    <row r="27" spans="1:5" ht="14" x14ac:dyDescent="0.15">
      <c r="A27" s="15" t="s">
        <v>107</v>
      </c>
      <c r="B27">
        <v>91.25</v>
      </c>
      <c r="C27">
        <v>91.25</v>
      </c>
      <c r="D27">
        <v>98.75</v>
      </c>
    </row>
    <row r="28" spans="1:5" x14ac:dyDescent="0.15">
      <c r="B28" s="18">
        <f>AVERAGE(B23:B27)</f>
        <v>94.75</v>
      </c>
      <c r="C28" s="18">
        <f>AVERAGE(C23:C27)</f>
        <v>94.75</v>
      </c>
      <c r="D28" s="18">
        <f>AVERAGE(D23:D27)</f>
        <v>96.75</v>
      </c>
    </row>
    <row r="32" spans="1:5" ht="26" x14ac:dyDescent="0.15">
      <c r="A32" s="29" t="s">
        <v>130</v>
      </c>
      <c r="B32" s="20" t="s">
        <v>125</v>
      </c>
    </row>
    <row r="33" spans="1:13" x14ac:dyDescent="0.15">
      <c r="B33" s="37"/>
      <c r="C33" s="37"/>
      <c r="D33" s="37"/>
      <c r="E33" s="37"/>
      <c r="F33" s="37"/>
      <c r="G33" s="37"/>
      <c r="H33" s="37"/>
      <c r="I33" s="37"/>
    </row>
    <row r="34" spans="1:13" x14ac:dyDescent="0.15">
      <c r="B34" s="21"/>
      <c r="C34" s="21"/>
      <c r="D34" s="22"/>
      <c r="E34" s="21"/>
      <c r="F34" s="22"/>
      <c r="G34" s="21"/>
      <c r="H34" s="22"/>
      <c r="I34" s="21"/>
    </row>
    <row r="35" spans="1:13" x14ac:dyDescent="0.15">
      <c r="B35" s="21"/>
      <c r="C35" s="21"/>
      <c r="D35" s="22"/>
      <c r="E35" s="21"/>
      <c r="F35" s="22"/>
      <c r="G35" s="21"/>
      <c r="H35" s="22"/>
      <c r="I35" s="21"/>
    </row>
    <row r="36" spans="1:13" x14ac:dyDescent="0.15">
      <c r="B36" s="21"/>
      <c r="C36" s="21"/>
      <c r="D36" s="22"/>
      <c r="E36" s="21"/>
      <c r="F36" s="22"/>
      <c r="G36" s="21"/>
      <c r="H36" s="22"/>
      <c r="I36" s="21"/>
    </row>
    <row r="37" spans="1:13" x14ac:dyDescent="0.15">
      <c r="B37" s="21"/>
      <c r="C37" s="21"/>
      <c r="D37" s="22"/>
      <c r="E37" s="21"/>
      <c r="F37" s="22"/>
      <c r="G37" s="21"/>
      <c r="H37" s="22"/>
      <c r="I37" s="21"/>
    </row>
    <row r="38" spans="1:13" x14ac:dyDescent="0.15">
      <c r="B38" s="21"/>
      <c r="C38" s="21"/>
      <c r="D38" s="22"/>
      <c r="E38" s="21"/>
      <c r="F38" s="22"/>
      <c r="G38" s="21"/>
      <c r="H38" s="22"/>
      <c r="I38" s="21"/>
    </row>
    <row r="39" spans="1:13" x14ac:dyDescent="0.15">
      <c r="B39" s="21"/>
      <c r="C39" s="21"/>
      <c r="D39" s="22"/>
      <c r="E39" s="21"/>
      <c r="F39" s="22"/>
      <c r="G39" s="21"/>
      <c r="H39" s="22"/>
      <c r="I39" s="21"/>
    </row>
    <row r="40" spans="1:13" x14ac:dyDescent="0.15">
      <c r="B40" s="38"/>
      <c r="C40" s="38"/>
      <c r="D40" s="38"/>
      <c r="E40" s="38"/>
      <c r="F40" s="38"/>
      <c r="G40" s="38"/>
      <c r="H40" s="38"/>
      <c r="I40" s="38"/>
    </row>
    <row r="42" spans="1:13" ht="16" x14ac:dyDescent="0.15">
      <c r="A42" s="27"/>
      <c r="B42" s="31" t="s">
        <v>127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</row>
    <row r="43" spans="1:13" ht="16" x14ac:dyDescent="0.15">
      <c r="A43" s="2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</row>
    <row r="44" spans="1:13" ht="16" x14ac:dyDescent="0.15">
      <c r="A44" s="27"/>
      <c r="B44" s="21"/>
      <c r="C44" s="21"/>
      <c r="D44" s="22"/>
      <c r="E44" s="21"/>
      <c r="F44" s="22"/>
      <c r="G44" s="21"/>
      <c r="H44" s="22"/>
      <c r="I44" s="21"/>
      <c r="J44" s="22"/>
      <c r="K44" s="21"/>
      <c r="L44" s="22"/>
      <c r="M44" s="21"/>
    </row>
    <row r="45" spans="1:13" ht="16" x14ac:dyDescent="0.15">
      <c r="A45" s="27"/>
      <c r="B45" s="21"/>
      <c r="C45" s="21"/>
      <c r="D45" s="22"/>
      <c r="E45" s="21"/>
      <c r="F45" s="22"/>
      <c r="G45" s="21"/>
      <c r="H45" s="22"/>
      <c r="I45" s="21"/>
      <c r="J45" s="22"/>
      <c r="K45" s="21"/>
      <c r="L45" s="22"/>
      <c r="M45" s="21"/>
    </row>
    <row r="46" spans="1:13" ht="16" x14ac:dyDescent="0.15">
      <c r="A46" s="27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1:13" ht="16" x14ac:dyDescent="0.15">
      <c r="A47" s="27"/>
    </row>
    <row r="48" spans="1:13" ht="16" x14ac:dyDescent="0.15">
      <c r="A48" s="27"/>
    </row>
    <row r="49" spans="1:13" ht="16" x14ac:dyDescent="0.15">
      <c r="A49" s="27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</row>
    <row r="50" spans="1:13" ht="16" x14ac:dyDescent="0.15">
      <c r="A50" s="2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</row>
    <row r="51" spans="1:13" ht="16" x14ac:dyDescent="0.15">
      <c r="A51" s="27"/>
      <c r="B51" s="21"/>
      <c r="C51" s="21"/>
      <c r="D51" s="22"/>
      <c r="E51" s="21"/>
      <c r="F51" s="22"/>
      <c r="G51" s="21"/>
      <c r="H51" s="22"/>
      <c r="I51" s="21"/>
      <c r="J51" s="22"/>
      <c r="K51" s="21"/>
      <c r="L51" s="22"/>
      <c r="M51" s="21"/>
    </row>
    <row r="52" spans="1:13" ht="42" x14ac:dyDescent="0.15">
      <c r="B52" s="30" t="s">
        <v>128</v>
      </c>
      <c r="C52" s="21"/>
      <c r="D52" s="22"/>
      <c r="E52" s="21"/>
      <c r="F52" s="22"/>
      <c r="G52" s="21"/>
      <c r="H52" s="22"/>
      <c r="I52" s="21"/>
      <c r="J52" s="22"/>
      <c r="K52" s="21"/>
      <c r="L52" s="22"/>
      <c r="M52" s="21"/>
    </row>
    <row r="53" spans="1:13" x14ac:dyDescent="0.15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</row>
    <row r="54" spans="1:13" x14ac:dyDescent="0.15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</row>
    <row r="55" spans="1:13" x14ac:dyDescent="0.15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spans="1:13" x14ac:dyDescent="0.15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</row>
    <row r="57" spans="1:13" x14ac:dyDescent="0.15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</row>
    <row r="58" spans="1:13" x14ac:dyDescent="0.15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spans="1:13" x14ac:dyDescent="0.15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</row>
    <row r="60" spans="1:13" x14ac:dyDescent="0.15"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</row>
    <row r="62" spans="1:13" ht="31" customHeight="1" x14ac:dyDescent="0.15">
      <c r="B62" s="16" t="s">
        <v>132</v>
      </c>
      <c r="C62" s="23"/>
    </row>
    <row r="63" spans="1:13" ht="24" customHeight="1" x14ac:dyDescent="0.15">
      <c r="F63" s="23"/>
    </row>
    <row r="64" spans="1:13" x14ac:dyDescent="0.15">
      <c r="C64" s="24"/>
    </row>
    <row r="65" spans="1:15" x14ac:dyDescent="0.15">
      <c r="F65" s="24"/>
    </row>
    <row r="77" spans="1:15" ht="16" x14ac:dyDescent="0.15"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</row>
    <row r="78" spans="1:15" ht="20" x14ac:dyDescent="0.15">
      <c r="A78" s="29" t="s">
        <v>129</v>
      </c>
      <c r="B78" s="31" t="s">
        <v>133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26"/>
      <c r="O78" s="26"/>
    </row>
    <row r="79" spans="1:15" ht="16" x14ac:dyDescent="0.15"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</row>
    <row r="80" spans="1:15" ht="16" x14ac:dyDescent="0.15"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</row>
    <row r="81" spans="1:15" ht="16" x14ac:dyDescent="0.15"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</row>
    <row r="82" spans="1:15" ht="16" x14ac:dyDescent="0.15">
      <c r="B82" s="26"/>
    </row>
    <row r="83" spans="1:15" ht="16" x14ac:dyDescent="0.15">
      <c r="B83" s="25"/>
    </row>
    <row r="84" spans="1:15" ht="16" x14ac:dyDescent="0.15">
      <c r="B84" s="26"/>
    </row>
    <row r="85" spans="1:15" ht="16" x14ac:dyDescent="0.15">
      <c r="B85" s="26"/>
    </row>
    <row r="90" spans="1:15" ht="26" x14ac:dyDescent="0.15">
      <c r="B90" s="20" t="s">
        <v>125</v>
      </c>
    </row>
    <row r="96" spans="1:15" ht="16" x14ac:dyDescent="0.15">
      <c r="A96" s="27"/>
    </row>
    <row r="100" spans="1:2" ht="28" x14ac:dyDescent="0.15">
      <c r="B100" s="16" t="s">
        <v>131</v>
      </c>
    </row>
    <row r="106" spans="1:2" ht="14" x14ac:dyDescent="0.15">
      <c r="A106" s="15" t="s">
        <v>126</v>
      </c>
    </row>
    <row r="108" spans="1:2" ht="16" x14ac:dyDescent="0.15">
      <c r="A108" s="27"/>
    </row>
  </sheetData>
  <mergeCells count="23">
    <mergeCell ref="B40:I40"/>
    <mergeCell ref="B33:C33"/>
    <mergeCell ref="D33:E33"/>
    <mergeCell ref="F33:G33"/>
    <mergeCell ref="H33:I33"/>
    <mergeCell ref="B42:M42"/>
    <mergeCell ref="B43:C43"/>
    <mergeCell ref="D43:E43"/>
    <mergeCell ref="F43:G43"/>
    <mergeCell ref="H43:I43"/>
    <mergeCell ref="J43:K43"/>
    <mergeCell ref="L43:M43"/>
    <mergeCell ref="B78:M78"/>
    <mergeCell ref="B53:M53"/>
    <mergeCell ref="B60:M60"/>
    <mergeCell ref="B46:M46"/>
    <mergeCell ref="B49:M49"/>
    <mergeCell ref="B50:C50"/>
    <mergeCell ref="D50:E50"/>
    <mergeCell ref="F50:G50"/>
    <mergeCell ref="H50:I50"/>
    <mergeCell ref="J50:K50"/>
    <mergeCell ref="L50:M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1</vt:lpstr>
      <vt:lpstr>Participant 2</vt:lpstr>
      <vt:lpstr>Participant 3</vt:lpstr>
      <vt:lpstr>Participant 4</vt:lpstr>
      <vt:lpstr>Participant 5</vt:lpstr>
      <vt:lpstr>Combined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Anshiii</dc:creator>
  <cp:lastModifiedBy>Prisha Jain</cp:lastModifiedBy>
  <dcterms:created xsi:type="dcterms:W3CDTF">2025-11-15T18:55:40Z</dcterms:created>
  <dcterms:modified xsi:type="dcterms:W3CDTF">2025-11-22T20:23:21Z</dcterms:modified>
</cp:coreProperties>
</file>