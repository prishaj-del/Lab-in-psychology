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ocuments/Word Primimg Experiment/"/>
    </mc:Choice>
  </mc:AlternateContent>
  <xr:revisionPtr revIDLastSave="0" documentId="8_{5328E97E-9F71-354D-B203-C947ED41643A}" xr6:coauthVersionLast="47" xr6:coauthVersionMax="47" xr10:uidLastSave="{00000000-0000-0000-0000-000000000000}"/>
  <bookViews>
    <workbookView xWindow="4020" yWindow="500" windowWidth="23440" windowHeight="16340" xr2:uid="{00000000-000D-0000-FFFF-FFFF00000000}"/>
  </bookViews>
  <sheets>
    <sheet name="Participant 1 data" sheetId="2" r:id="rId1"/>
    <sheet name="Participant 2 data" sheetId="3" r:id="rId2"/>
    <sheet name="Participant 3 data" sheetId="4" r:id="rId3"/>
    <sheet name="Participant 4 data" sheetId="5" r:id="rId4"/>
  </sheets>
  <definedNames>
    <definedName name="_xlnm._FilterDatabase" localSheetId="0" hidden="1">'Participant 1 data'!$I$1:$I$36</definedName>
    <definedName name="_xlnm._FilterDatabase" localSheetId="1" hidden="1">'Participant 2 data'!$I$1:$I$43</definedName>
    <definedName name="_xlnm._FilterDatabase" localSheetId="2" hidden="1">'Participant 3 data'!$I$1:$I$43</definedName>
    <definedName name="_xlnm._FilterDatabase" localSheetId="3" hidden="1">'Participant 4 data'!$I$1:$I$42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5" l="1"/>
  <c r="I40" i="5"/>
  <c r="I39" i="5"/>
  <c r="I43" i="4"/>
  <c r="I41" i="4"/>
  <c r="I40" i="4"/>
  <c r="I43" i="3"/>
  <c r="I42" i="2"/>
  <c r="I41" i="3"/>
  <c r="I40" i="3"/>
  <c r="I44" i="2"/>
  <c r="I41" i="2"/>
</calcChain>
</file>

<file path=xl/sharedStrings.xml><?xml version="1.0" encoding="utf-8"?>
<sst xmlns="http://schemas.openxmlformats.org/spreadsheetml/2006/main" count="2372" uniqueCount="320">
  <si>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</si>
  <si>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</si>
  <si>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</si>
  <si>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</si>
  <si>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</si>
  <si>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</si>
  <si>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</si>
  <si>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</si>
  <si>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</si>
  <si>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</si>
  <si>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</si>
  <si>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</si>
  <si>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</si>
  <si>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</si>
  <si>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</si>
  <si>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</si>
  <si>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</si>
  <si>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</si>
  <si>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</si>
  <si>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</si>
  <si>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</si>
  <si>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</si>
  <si>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</si>
  <si>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</si>
  <si>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</si>
  <si>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</si>
  <si>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</si>
  <si>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</si>
  <si>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</si>
  <si>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</si>
  <si>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</si>
  <si>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</si>
  <si>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</si>
  <si>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</si>
  <si>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</si>
  <si>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</si>
  <si>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</si>
  <si>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</si>
  <si>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</si>
  <si>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</si>
  <si>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</si>
  <si>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</si>
  <si>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</si>
  <si>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</si>
  <si>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</si>
  <si>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</si>
  <si>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</si>
  <si>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</si>
  <si>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</si>
  <si>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</si>
  <si>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</si>
  <si>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</si>
  <si>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</si>
  <si>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</si>
  <si>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</si>
  <si>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book</t>
  </si>
  <si>
    <t>2025-10-14_17h55.20.490</t>
  </si>
  <si>
    <t>Word priming experiment</t>
  </si>
  <si>
    <t>2025.1.1</t>
  </si>
  <si>
    <t>2025-10-14 17h55.31.053893 +0530</t>
  </si>
  <si>
    <t>marble</t>
  </si>
  <si>
    <t>T-shirt</t>
  </si>
  <si>
    <t>Cruise</t>
  </si>
  <si>
    <t>Poster</t>
  </si>
  <si>
    <t>cushion</t>
  </si>
  <si>
    <t>Pastry</t>
  </si>
  <si>
    <t>Chart</t>
  </si>
  <si>
    <t>board</t>
  </si>
  <si>
    <t>Case</t>
  </si>
  <si>
    <t>Laptop</t>
  </si>
  <si>
    <t>phone</t>
  </si>
  <si>
    <t>mouse</t>
  </si>
  <si>
    <t>Police</t>
  </si>
  <si>
    <t>Keys</t>
  </si>
  <si>
    <t>v_s_</t>
  </si>
  <si>
    <t>Vase</t>
  </si>
  <si>
    <t>new</t>
  </si>
  <si>
    <t>vase</t>
  </si>
  <si>
    <t>[np.float64(0.015555555555555555)]</t>
  </si>
  <si>
    <t>[np.float64(-0.31444444444444447)]</t>
  </si>
  <si>
    <t>[1]</t>
  </si>
  <si>
    <t>[0]</t>
  </si>
  <si>
    <t>[3.1331464159302413]</t>
  </si>
  <si>
    <t>['submit_text']</t>
  </si>
  <si>
    <t>P_st_r</t>
  </si>
  <si>
    <t>old</t>
  </si>
  <si>
    <t>[np.float64(0.08555555555555555), np.float64(0.07555555555555556)]</t>
  </si>
  <si>
    <t>[np.float64(-0.27), np.float64(-0.31)]</t>
  </si>
  <si>
    <t>[1, 1]</t>
  </si>
  <si>
    <t>[0, 0]</t>
  </si>
  <si>
    <t>[5.1146827498450875, 5.732138541992754]</t>
  </si>
  <si>
    <t>[None, 'submit_text']</t>
  </si>
  <si>
    <t>T_hi_t</t>
  </si>
  <si>
    <t>Tshirt</t>
  </si>
  <si>
    <t>[np.float64(0.08)]</t>
  </si>
  <si>
    <t>[np.float64(-0.3022222222222222)]</t>
  </si>
  <si>
    <t>[2.7648399169556797]</t>
  </si>
  <si>
    <t>_ha_t</t>
  </si>
  <si>
    <t>chart</t>
  </si>
  <si>
    <t>[np.float64(0.05)]</t>
  </si>
  <si>
    <t>[np.float64(-0.30333333333333334)]</t>
  </si>
  <si>
    <t>[3.079953582957387]</t>
  </si>
  <si>
    <t>_o_rd</t>
  </si>
  <si>
    <t>Board</t>
  </si>
  <si>
    <t>[np.float64(0.10555555555555556)]</t>
  </si>
  <si>
    <t>[np.float64(-0.30444444444444446)]</t>
  </si>
  <si>
    <t>[4.9766645829658955]</t>
  </si>
  <si>
    <t>c_s_</t>
  </si>
  <si>
    <t>case</t>
  </si>
  <si>
    <t>[np.float64(-0.2866666666666667)]</t>
  </si>
  <si>
    <t>[2.5200115418992937]</t>
  </si>
  <si>
    <t>l_pt_p</t>
  </si>
  <si>
    <t>laptop</t>
  </si>
  <si>
    <t>[np.float64(-0.05555555555555555)]</t>
  </si>
  <si>
    <t>[np.float64(-0.3011111111111111)]</t>
  </si>
  <si>
    <t>[4.281879832968116]</t>
  </si>
  <si>
    <t>K_y_</t>
  </si>
  <si>
    <t>[np.float64(0.043333333333333335)]</t>
  </si>
  <si>
    <t>[np.float64(-0.2911111111111111)]</t>
  </si>
  <si>
    <t>[3.1307262498885393]</t>
  </si>
  <si>
    <t>_ho_e</t>
  </si>
  <si>
    <t>Phone</t>
  </si>
  <si>
    <t>[np.float64(0.08777777777777777)]</t>
  </si>
  <si>
    <t>[np.float64(-0.30666666666666664)]</t>
  </si>
  <si>
    <t>[2.6795284170657396]</t>
  </si>
  <si>
    <t>_ou_se</t>
  </si>
  <si>
    <t>Mouse</t>
  </si>
  <si>
    <t>[np.float64(0.04888888888888889)]</t>
  </si>
  <si>
    <t>[np.float64(-0.2922222222222222)]</t>
  </si>
  <si>
    <t>[2.6981449578888714]</t>
  </si>
  <si>
    <t>c_s_io_</t>
  </si>
  <si>
    <t>Cushion</t>
  </si>
  <si>
    <t>[np.float64(0.05555555555555555)]</t>
  </si>
  <si>
    <t>[np.float64(-0.29444444444444445)]</t>
  </si>
  <si>
    <t>[3.0827320830430835]</t>
  </si>
  <si>
    <t>_oo_</t>
  </si>
  <si>
    <t>Book</t>
  </si>
  <si>
    <t>[np.float64(0.09111111111111111)]</t>
  </si>
  <si>
    <t>[np.float64(-0.31777777777777777)]</t>
  </si>
  <si>
    <t>[2.9293445420917124]</t>
  </si>
  <si>
    <t>_ru_is_</t>
  </si>
  <si>
    <t>cruise</t>
  </si>
  <si>
    <t>[np.float64(0.03111111111111111)]</t>
  </si>
  <si>
    <t>[np.float64(-0.29)]</t>
  </si>
  <si>
    <t>[2.364630375057459]</t>
  </si>
  <si>
    <t>P_li_e</t>
  </si>
  <si>
    <t>[np.float64(0.05333333333333334)]</t>
  </si>
  <si>
    <t>[np.float64(-0.30777777777777776)]</t>
  </si>
  <si>
    <t>[3.1729917500633746]</t>
  </si>
  <si>
    <t>ta_l_</t>
  </si>
  <si>
    <t>Table</t>
  </si>
  <si>
    <t>table</t>
  </si>
  <si>
    <t>[np.float64(0.028888888888888888)]</t>
  </si>
  <si>
    <t>[2.2216363749466836]</t>
  </si>
  <si>
    <t>_a_bl_</t>
  </si>
  <si>
    <t>Marble</t>
  </si>
  <si>
    <t>[np.float64(0.056666666666666664)]</t>
  </si>
  <si>
    <t>[np.float64(-0.31666666666666665)]</t>
  </si>
  <si>
    <t>[2.7981458329595625]</t>
  </si>
  <si>
    <t>bo_t_e</t>
  </si>
  <si>
    <t>Bottle</t>
  </si>
  <si>
    <t>bottle</t>
  </si>
  <si>
    <t>[np.float64(0.09555555555555556)]</t>
  </si>
  <si>
    <t>[2.514904874842614]</t>
  </si>
  <si>
    <t>c_m_ra</t>
  </si>
  <si>
    <t>Camera</t>
  </si>
  <si>
    <t>camera</t>
  </si>
  <si>
    <t>[np.float64(0.04777777777777778)]</t>
  </si>
  <si>
    <t>[np.float64(-0.2877777777777778)]</t>
  </si>
  <si>
    <t>[2.980999334016815]</t>
  </si>
  <si>
    <t>P_as_tr_</t>
  </si>
  <si>
    <t>[np.float64(0.01)]</t>
  </si>
  <si>
    <t>[np.float64(-0.29888888888888887)]</t>
  </si>
  <si>
    <t>[2.879311375087127]</t>
  </si>
  <si>
    <t>p_nc_l</t>
  </si>
  <si>
    <t>Pencil</t>
  </si>
  <si>
    <t>pencil</t>
  </si>
  <si>
    <t>[np.float64(0.014444444444444444)]</t>
  </si>
  <si>
    <t>[2.5325655001215637]</t>
  </si>
  <si>
    <t>2025-10-14_17h57.23.223</t>
  </si>
  <si>
    <t>2025-10-14 17h57.41.661903 +0530</t>
  </si>
  <si>
    <t>[np.float64(0.0077777777777777776)]</t>
  </si>
  <si>
    <t>[np.float64(-0.3088888888888889)]</t>
  </si>
  <si>
    <t>[4.267965666949749]</t>
  </si>
  <si>
    <t>[np.float64(0.021111111111111112)]</t>
  </si>
  <si>
    <t>[np.float64(-0.29333333333333333)]</t>
  </si>
  <si>
    <t>[1.9819339169189334]</t>
  </si>
  <si>
    <t>[np.float64(-0.29777777777777775)]</t>
  </si>
  <si>
    <t>[1.9641413749195635]</t>
  </si>
  <si>
    <t>[np.float64(0.0811111111111111)]</t>
  </si>
  <si>
    <t>[3.5146065410226583]</t>
  </si>
  <si>
    <t>[np.float64(0.06555555555555556)]</t>
  </si>
  <si>
    <t>[2.314350332831964]</t>
  </si>
  <si>
    <t>[np.float64(0.0033333333333333335)]</t>
  </si>
  <si>
    <t>[2.2564386250451207]</t>
  </si>
  <si>
    <t>[np.float64(0.07888888888888888)]</t>
  </si>
  <si>
    <t>[3.249437249964103]</t>
  </si>
  <si>
    <t>[np.float64(0.06444444444444444)]</t>
  </si>
  <si>
    <t>[2.7184268329292536]</t>
  </si>
  <si>
    <t>[np.float64(0.056666666666666664), np.float64(0.05333333333333334)]</t>
  </si>
  <si>
    <t>[np.float64(-0.33111111111111113), np.float64(-0.31)]</t>
  </si>
  <si>
    <t>[3.0095672919414937, 3.7110108339693397]</t>
  </si>
  <si>
    <t>[np.float64(0.07333333333333333)]</t>
  </si>
  <si>
    <t>[8.235608082963154]</t>
  </si>
  <si>
    <t>[np.float64(0.09888888888888889)]</t>
  </si>
  <si>
    <t>[7.016444124979898]</t>
  </si>
  <si>
    <t>[np.float64(0.0011111111111111111)]</t>
  </si>
  <si>
    <t>[np.float64(-0.28555555555555556)]</t>
  </si>
  <si>
    <t>[2.875998499803245]</t>
  </si>
  <si>
    <t>[np.float64(0.11222222222222222)]</t>
  </si>
  <si>
    <t>[np.float64(-0.31222222222222223)]</t>
  </si>
  <si>
    <t>[2.3973715419415385]</t>
  </si>
  <si>
    <t>[np.float64(0.08888888888888889)]</t>
  </si>
  <si>
    <t>[np.float64(-0.2811111111111111)]</t>
  </si>
  <si>
    <t>[3.3318290829192847]</t>
  </si>
  <si>
    <t>[np.float64(0.12777777777777777)]</t>
  </si>
  <si>
    <t>[2.3299874579533935]</t>
  </si>
  <si>
    <t>[np.float64(-0.04)]</t>
  </si>
  <si>
    <t>[2.814727250020951]</t>
  </si>
  <si>
    <t>cook</t>
  </si>
  <si>
    <t>[np.float64(0.03333333333333333), np.float64(0.03888888888888889)]</t>
  </si>
  <si>
    <t>[np.float64(-0.33), np.float64(-0.29444444444444445)]</t>
  </si>
  <si>
    <t>[5.909699166892096, 6.466254457831383]</t>
  </si>
  <si>
    <t>[np.float64(0.09777777777777778)]</t>
  </si>
  <si>
    <t>[2.8056153340730816]</t>
  </si>
  <si>
    <t>[np.float64(0.1)]</t>
  </si>
  <si>
    <t>[3.073104874929413]</t>
  </si>
  <si>
    <t>[np.float64(0.10222222222222223)]</t>
  </si>
  <si>
    <t>[np.float64(-0.2966666666666667)]</t>
  </si>
  <si>
    <t>[2.545630417065695]</t>
  </si>
  <si>
    <t>[np.float64(-0.32)]</t>
  </si>
  <si>
    <t>2025-10-14_18h02.37.608</t>
  </si>
  <si>
    <t>2025-10-14 18h02.59.077814 +0530</t>
  </si>
  <si>
    <t>[np.float64(-0.02666666666666667)]</t>
  </si>
  <si>
    <t>[3.717912415973842]</t>
  </si>
  <si>
    <t>[np.float64(0.04666666666666667)]</t>
  </si>
  <si>
    <t>[2.815019333967939]</t>
  </si>
  <si>
    <t>[np.float64(0.08222222222222222)]</t>
  </si>
  <si>
    <t>[np.float64(-0.29555555555555557)]</t>
  </si>
  <si>
    <t>[3.0801012499723583]</t>
  </si>
  <si>
    <t>[np.float64(0.023333333333333334)]</t>
  </si>
  <si>
    <t>[np.float64(-0.3211111111111111)]</t>
  </si>
  <si>
    <t>[2.813559832982719]</t>
  </si>
  <si>
    <t>[np.float64(-0.0044444444444444444)]</t>
  </si>
  <si>
    <t>[np.float64(-0.3)]</t>
  </si>
  <si>
    <t>[2.241702792001888]</t>
  </si>
  <si>
    <t>[np.float64(0.11888888888888889)]</t>
  </si>
  <si>
    <t>[2.636041290825233]</t>
  </si>
  <si>
    <t>[np.float64(0.057777777777777775)]</t>
  </si>
  <si>
    <t>[np.float64(-0.28444444444444444)]</t>
  </si>
  <si>
    <t>[2.2739457921124995]</t>
  </si>
  <si>
    <t>[np.float64(-0.2777777777777778)]</t>
  </si>
  <si>
    <t>[3.8996873749420047]</t>
  </si>
  <si>
    <t>[np.float64(0.02)]</t>
  </si>
  <si>
    <t>[2.570265166927129]</t>
  </si>
  <si>
    <t>cable</t>
  </si>
  <si>
    <t>[np.float64(-0.28)]</t>
  </si>
  <si>
    <t>[5.561881582951173]</t>
  </si>
  <si>
    <t>[2.7815072499215603]</t>
  </si>
  <si>
    <t>[np.float64(-0.28888888888888886)]</t>
  </si>
  <si>
    <t>[2.4977115420624614]</t>
  </si>
  <si>
    <t>coord</t>
  </si>
  <si>
    <t>[np.float64(0.051111111111111114)]</t>
  </si>
  <si>
    <t>[np.float64(-0.3055555555555556)]</t>
  </si>
  <si>
    <t>[7.05903391703032]</t>
  </si>
  <si>
    <t>[np.float64(0.12222222222222222)]</t>
  </si>
  <si>
    <t>[np.float64(-0.2833333333333333)]</t>
  </si>
  <si>
    <t>[2.2196829160675406]</t>
  </si>
  <si>
    <t>[2.4982193340547383]</t>
  </si>
  <si>
    <t>[np.float64(-0.3244444444444444)]</t>
  </si>
  <si>
    <t>[1.9982925842050463]</t>
  </si>
  <si>
    <t>[np.float64(0.12111111111111111)]</t>
  </si>
  <si>
    <t>[2.0813917089253664]</t>
  </si>
  <si>
    <t>[np.float64(0.13111111111111112)]</t>
  </si>
  <si>
    <t>[5.533915667096153]</t>
  </si>
  <si>
    <t>[2.335559249855578]</t>
  </si>
  <si>
    <t>[np.float64(0.06888888888888889)]</t>
  </si>
  <si>
    <t>[2.587912208866328]</t>
  </si>
  <si>
    <t>Prop hit from study list</t>
  </si>
  <si>
    <t>Prop hit for non primed words</t>
  </si>
  <si>
    <t>Priming Score</t>
  </si>
  <si>
    <t>2025-10-16_12h16.02.712</t>
  </si>
  <si>
    <t>2025-10-16 12h16.09.143278 +0530</t>
  </si>
  <si>
    <t>[np.float64(-0.03777777777777778)]</t>
  </si>
  <si>
    <t>[2.7136992081068456]</t>
  </si>
  <si>
    <t>[4.2351339580491185]</t>
  </si>
  <si>
    <t>[np.float64(0.027777777777777776)]</t>
  </si>
  <si>
    <t>[2.293166791088879]</t>
  </si>
  <si>
    <t>[np.float64(0.035555555555555556)]</t>
  </si>
  <si>
    <t>[4.597740666940808]</t>
  </si>
  <si>
    <t>[np.float64(0.058888888888888886), np.float64(0.05)]</t>
  </si>
  <si>
    <t>[np.float64(-0.25555555555555554), np.float64(-0.28444444444444444)]</t>
  </si>
  <si>
    <t>[4.330300749978051, 5.080392583971843]</t>
  </si>
  <si>
    <t>[np.float64(0.07111111111111111)]</t>
  </si>
  <si>
    <t>[6.011868207948282]</t>
  </si>
  <si>
    <t>[np.float64(0.07444444444444444)]</t>
  </si>
  <si>
    <t>[6.068831375101581]</t>
  </si>
  <si>
    <t>[np.float64(0.1111111111111111)]</t>
  </si>
  <si>
    <t>[2.728114791912958]</t>
  </si>
  <si>
    <t>[np.float64(0.03222222222222222)]</t>
  </si>
  <si>
    <t>[8.063043791102245]</t>
  </si>
  <si>
    <t>[3.4659071669448167]</t>
  </si>
  <si>
    <t>[np.float64(0.08333333333333333)]</t>
  </si>
  <si>
    <t>[3.464398124953732]</t>
  </si>
  <si>
    <t>[np.float64(0.11666666666666667)]</t>
  </si>
  <si>
    <t>[3.0302971249911934]</t>
  </si>
  <si>
    <t>lable</t>
  </si>
  <si>
    <t>[np.float64(0.10444444444444445)]</t>
  </si>
  <si>
    <t>[4.831378084141761]</t>
  </si>
  <si>
    <t>[3.2483497499488294]</t>
  </si>
  <si>
    <t>vast</t>
  </si>
  <si>
    <t>[9.728847874794155]</t>
  </si>
  <si>
    <t>[np.float64(0.016666666666666666)]</t>
  </si>
  <si>
    <t>[3.032626959029585]</t>
  </si>
  <si>
    <t>[4.897552874870598]</t>
  </si>
  <si>
    <t>[np.float64(0.1288888888888889)]</t>
  </si>
  <si>
    <t>[4.114266040967777]</t>
  </si>
  <si>
    <t>[3.5309500829316676]</t>
  </si>
  <si>
    <t>[7.481583500048146]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</si>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</sst>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49" fontId="2" fillId="4" borderId="0" xfId="0" applyNumberFormat="1" applyFont="1" applyFill="1" applyBorder="1" applyAlignment="1">
      <alignment vertical="top"/>
    </xf>
    <xf numFmtId="0" fontId="0" fillId="4" borderId="0" xfId="0" applyFill="1">
      <alignment vertical="top" wrapText="1"/>
    </xf>
    <xf numFmtId="0" fontId="2" fillId="4" borderId="0" xfId="0" applyFont="1" applyFill="1">
      <alignment vertical="top" wrapText="1"/>
    </xf>
    <xf numFmtId="0" fontId="0" fillId="4" borderId="0" xfId="0" applyNumberFormat="1" applyFill="1">
      <alignment vertical="top" wrapText="1"/>
    </xf>
    <xf numFmtId="2" fontId="0" fillId="4" borderId="0" xfId="0" applyNumberForma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204-01AF-5D43-8223-5859025875C6}">
  <dimension ref="A1:BD44"/>
  <sheetViews>
    <sheetView tabSelected="1" workbookViewId="0">
      <selection activeCell="F38" sqref="F38"/>
    </sheetView>
  </sheetViews>
  <sheetFormatPr baseColWidth="10" defaultRowHeight="13" x14ac:dyDescent="0.15"/>
  <cols>
    <col min="5" max="5" width="10.83203125" customWidth="1"/>
    <col min="7" max="7" width="25.1640625" customWidth="1"/>
    <col min="9" max="9" width="14.5" customWidth="1"/>
    <col min="10" max="10" width="16.6640625" customWidth="1"/>
  </cols>
  <sheetData>
    <row r="1" spans="1:5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/>
    </row>
    <row r="2" spans="1:56" x14ac:dyDescent="0.15">
      <c r="A2" s="3" t="s">
        <v>55</v>
      </c>
      <c r="B2" s="4">
        <v>0</v>
      </c>
      <c r="C2" s="5">
        <v>0</v>
      </c>
      <c r="D2" s="5">
        <v>0</v>
      </c>
      <c r="E2" s="5">
        <v>1.0844444444444401</v>
      </c>
      <c r="F2" s="5">
        <v>2.4538219999522002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5">
        <v>0</v>
      </c>
      <c r="S2" s="5">
        <v>0</v>
      </c>
      <c r="T2" s="5">
        <v>0</v>
      </c>
      <c r="U2" s="5">
        <v>0</v>
      </c>
      <c r="V2" s="6"/>
      <c r="W2" s="6"/>
      <c r="X2" s="6"/>
      <c r="Y2" s="6"/>
      <c r="Z2" s="5">
        <v>5.4316834080964299E-2</v>
      </c>
      <c r="AA2" s="6"/>
      <c r="AB2" s="5">
        <v>2.8536041965708098E-2</v>
      </c>
      <c r="AC2" s="5">
        <v>5.4316834080964299E-2</v>
      </c>
      <c r="AD2" s="5">
        <v>5.4316834080964299E-2</v>
      </c>
      <c r="AE2" s="5">
        <v>2.4916124590672601</v>
      </c>
      <c r="AF2" s="5">
        <v>1.0844444444444401</v>
      </c>
      <c r="AG2" s="5">
        <v>2.4538219999522002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5">
        <v>1</v>
      </c>
      <c r="AW2" s="5">
        <v>1</v>
      </c>
      <c r="AX2" s="7" t="s">
        <v>56</v>
      </c>
      <c r="AY2" s="7" t="s">
        <v>57</v>
      </c>
      <c r="AZ2" s="6"/>
      <c r="BA2" s="7" t="s">
        <v>58</v>
      </c>
      <c r="BB2" s="5">
        <v>119.674187372156</v>
      </c>
      <c r="BC2" s="7" t="s">
        <v>59</v>
      </c>
      <c r="BD2" s="6"/>
    </row>
    <row r="3" spans="1:56" x14ac:dyDescent="0.15">
      <c r="A3" s="8" t="s">
        <v>60</v>
      </c>
      <c r="B3" s="9">
        <v>1</v>
      </c>
      <c r="C3" s="10">
        <v>1</v>
      </c>
      <c r="D3" s="10">
        <v>0</v>
      </c>
      <c r="E3" s="10">
        <v>1.0888888888888899</v>
      </c>
      <c r="F3" s="10">
        <v>0.61938399984501302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>
        <v>0</v>
      </c>
      <c r="S3" s="10">
        <v>1</v>
      </c>
      <c r="T3" s="10">
        <v>1</v>
      </c>
      <c r="U3" s="10">
        <v>3</v>
      </c>
      <c r="V3" s="11"/>
      <c r="W3" s="11"/>
      <c r="X3" s="11"/>
      <c r="Y3" s="11"/>
      <c r="Z3" s="10">
        <v>2.5057658751029499</v>
      </c>
      <c r="AA3" s="11"/>
      <c r="AB3" s="10">
        <v>2.4960050419904301</v>
      </c>
      <c r="AC3" s="10">
        <v>2.5057658751029499</v>
      </c>
      <c r="AD3" s="10">
        <v>2.5057658751029499</v>
      </c>
      <c r="AE3" s="10">
        <v>3.12460966710933</v>
      </c>
      <c r="AF3" s="10">
        <v>1.0888888888888899</v>
      </c>
      <c r="AG3" s="10">
        <v>0.61938399984501302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0">
        <v>1</v>
      </c>
      <c r="AW3" s="10">
        <v>1</v>
      </c>
      <c r="AX3" s="12" t="s">
        <v>56</v>
      </c>
      <c r="AY3" s="12" t="s">
        <v>57</v>
      </c>
      <c r="AZ3" s="11"/>
      <c r="BA3" s="12" t="s">
        <v>58</v>
      </c>
      <c r="BB3" s="10">
        <v>119.674187372156</v>
      </c>
      <c r="BC3" s="12" t="s">
        <v>59</v>
      </c>
      <c r="BD3" s="11"/>
    </row>
    <row r="4" spans="1:56" x14ac:dyDescent="0.15">
      <c r="A4" s="8" t="s">
        <v>61</v>
      </c>
      <c r="B4" s="9">
        <v>2</v>
      </c>
      <c r="C4" s="10">
        <v>2</v>
      </c>
      <c r="D4" s="10">
        <v>0</v>
      </c>
      <c r="E4" s="10">
        <v>1.0888888888888899</v>
      </c>
      <c r="F4" s="10">
        <v>0.64384870813228201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0">
        <v>0</v>
      </c>
      <c r="S4" s="10">
        <v>2</v>
      </c>
      <c r="T4" s="10">
        <v>2</v>
      </c>
      <c r="U4" s="10">
        <v>7</v>
      </c>
      <c r="V4" s="11"/>
      <c r="W4" s="11"/>
      <c r="X4" s="11"/>
      <c r="Y4" s="11"/>
      <c r="Z4" s="10">
        <v>3.1387960419524501</v>
      </c>
      <c r="AA4" s="11"/>
      <c r="AB4" s="10">
        <v>3.1291245000902599</v>
      </c>
      <c r="AC4" s="10">
        <v>3.1387960419524501</v>
      </c>
      <c r="AD4" s="10">
        <v>3.1387960419524501</v>
      </c>
      <c r="AE4" s="10">
        <v>3.78913129214197</v>
      </c>
      <c r="AF4" s="10">
        <v>1.0888888888888899</v>
      </c>
      <c r="AG4" s="10">
        <v>0.64384870813228201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0">
        <v>1</v>
      </c>
      <c r="AW4" s="10">
        <v>1</v>
      </c>
      <c r="AX4" s="12" t="s">
        <v>56</v>
      </c>
      <c r="AY4" s="12" t="s">
        <v>57</v>
      </c>
      <c r="AZ4" s="11"/>
      <c r="BA4" s="12" t="s">
        <v>58</v>
      </c>
      <c r="BB4" s="10">
        <v>119.674187372156</v>
      </c>
      <c r="BC4" s="12" t="s">
        <v>59</v>
      </c>
      <c r="BD4" s="11"/>
    </row>
    <row r="5" spans="1:56" x14ac:dyDescent="0.15">
      <c r="A5" s="8" t="s">
        <v>62</v>
      </c>
      <c r="B5" s="9">
        <v>3</v>
      </c>
      <c r="C5" s="10">
        <v>3</v>
      </c>
      <c r="D5" s="10">
        <v>0</v>
      </c>
      <c r="E5" s="10">
        <v>1.9911111111111099</v>
      </c>
      <c r="F5" s="10">
        <v>1.73283179081045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0">
        <v>0</v>
      </c>
      <c r="S5" s="10">
        <v>3</v>
      </c>
      <c r="T5" s="10">
        <v>3</v>
      </c>
      <c r="U5" s="10">
        <v>11</v>
      </c>
      <c r="V5" s="11"/>
      <c r="W5" s="11"/>
      <c r="X5" s="11"/>
      <c r="Y5" s="11"/>
      <c r="Z5" s="10">
        <v>3.80142404208891</v>
      </c>
      <c r="AA5" s="11"/>
      <c r="AB5" s="10">
        <v>3.7917462501209198</v>
      </c>
      <c r="AC5" s="10">
        <v>3.80142404208891</v>
      </c>
      <c r="AD5" s="10">
        <v>3.80142404208891</v>
      </c>
      <c r="AE5" s="10">
        <v>5.5338169171009204</v>
      </c>
      <c r="AF5" s="10">
        <v>1.9911111111111099</v>
      </c>
      <c r="AG5" s="10">
        <v>1.73283179081045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0">
        <v>1</v>
      </c>
      <c r="AW5" s="10">
        <v>1</v>
      </c>
      <c r="AX5" s="12" t="s">
        <v>56</v>
      </c>
      <c r="AY5" s="12" t="s">
        <v>57</v>
      </c>
      <c r="AZ5" s="11"/>
      <c r="BA5" s="12" t="s">
        <v>58</v>
      </c>
      <c r="BB5" s="10">
        <v>119.674187372156</v>
      </c>
      <c r="BC5" s="12" t="s">
        <v>59</v>
      </c>
      <c r="BD5" s="11"/>
    </row>
    <row r="6" spans="1:56" x14ac:dyDescent="0.15">
      <c r="A6" s="8" t="s">
        <v>63</v>
      </c>
      <c r="B6" s="9">
        <v>4</v>
      </c>
      <c r="C6" s="10">
        <v>4</v>
      </c>
      <c r="D6" s="10">
        <v>0</v>
      </c>
      <c r="E6" s="10">
        <v>1</v>
      </c>
      <c r="F6" s="10">
        <v>1.1281619172077599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0">
        <v>0</v>
      </c>
      <c r="S6" s="10">
        <v>4</v>
      </c>
      <c r="T6" s="10">
        <v>4</v>
      </c>
      <c r="U6" s="10">
        <v>14</v>
      </c>
      <c r="V6" s="11"/>
      <c r="W6" s="11"/>
      <c r="X6" s="11"/>
      <c r="Y6" s="11"/>
      <c r="Z6" s="10">
        <v>5.5467235420364904</v>
      </c>
      <c r="AA6" s="11"/>
      <c r="AB6" s="10">
        <v>5.5373558339197197</v>
      </c>
      <c r="AC6" s="10">
        <v>5.5467235420364904</v>
      </c>
      <c r="AD6" s="10">
        <v>5.5467235420364904</v>
      </c>
      <c r="AE6" s="10">
        <v>6.6747201669495597</v>
      </c>
      <c r="AF6" s="10">
        <v>1</v>
      </c>
      <c r="AG6" s="10">
        <v>1.1281619172077599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0">
        <v>1</v>
      </c>
      <c r="AW6" s="10">
        <v>1</v>
      </c>
      <c r="AX6" s="12" t="s">
        <v>56</v>
      </c>
      <c r="AY6" s="12" t="s">
        <v>57</v>
      </c>
      <c r="AZ6" s="11"/>
      <c r="BA6" s="12" t="s">
        <v>58</v>
      </c>
      <c r="BB6" s="10">
        <v>119.674187372156</v>
      </c>
      <c r="BC6" s="12" t="s">
        <v>59</v>
      </c>
      <c r="BD6" s="11"/>
    </row>
    <row r="7" spans="1:56" x14ac:dyDescent="0.15">
      <c r="A7" s="8" t="s">
        <v>64</v>
      </c>
      <c r="B7" s="9">
        <v>5</v>
      </c>
      <c r="C7" s="10">
        <v>5</v>
      </c>
      <c r="D7" s="10">
        <v>0</v>
      </c>
      <c r="E7" s="10">
        <v>1.0222222222222199</v>
      </c>
      <c r="F7" s="10">
        <v>2.5217123329639399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0">
        <v>0</v>
      </c>
      <c r="S7" s="10">
        <v>5</v>
      </c>
      <c r="T7" s="10">
        <v>5</v>
      </c>
      <c r="U7" s="10">
        <v>1</v>
      </c>
      <c r="V7" s="11"/>
      <c r="W7" s="11"/>
      <c r="X7" s="11"/>
      <c r="Y7" s="11"/>
      <c r="Z7" s="10">
        <v>6.6880457501392803</v>
      </c>
      <c r="AA7" s="11"/>
      <c r="AB7" s="10">
        <v>6.67784783407114</v>
      </c>
      <c r="AC7" s="10">
        <v>6.6880457501392803</v>
      </c>
      <c r="AD7" s="10">
        <v>6.6880457501392803</v>
      </c>
      <c r="AE7" s="10">
        <v>9.2091376250609809</v>
      </c>
      <c r="AF7" s="10">
        <v>1.0222222222222199</v>
      </c>
      <c r="AG7" s="10">
        <v>2.5217123329639399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0">
        <v>1</v>
      </c>
      <c r="AW7" s="10">
        <v>1</v>
      </c>
      <c r="AX7" s="12" t="s">
        <v>56</v>
      </c>
      <c r="AY7" s="12" t="s">
        <v>57</v>
      </c>
      <c r="AZ7" s="11"/>
      <c r="BA7" s="12" t="s">
        <v>58</v>
      </c>
      <c r="BB7" s="10">
        <v>119.674187372156</v>
      </c>
      <c r="BC7" s="12" t="s">
        <v>59</v>
      </c>
      <c r="BD7" s="11"/>
    </row>
    <row r="8" spans="1:56" x14ac:dyDescent="0.15">
      <c r="A8" s="8" t="s">
        <v>65</v>
      </c>
      <c r="B8" s="9">
        <v>6</v>
      </c>
      <c r="C8" s="10">
        <v>6</v>
      </c>
      <c r="D8" s="10">
        <v>0</v>
      </c>
      <c r="E8" s="10">
        <v>1.0266666666666699</v>
      </c>
      <c r="F8" s="10">
        <v>0.49736183299683001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0">
        <v>0</v>
      </c>
      <c r="S8" s="10">
        <v>6</v>
      </c>
      <c r="T8" s="10">
        <v>6</v>
      </c>
      <c r="U8" s="10">
        <v>9</v>
      </c>
      <c r="V8" s="11"/>
      <c r="W8" s="11"/>
      <c r="X8" s="11"/>
      <c r="Y8" s="11"/>
      <c r="Z8" s="10">
        <v>9.2223710841499305</v>
      </c>
      <c r="AA8" s="11"/>
      <c r="AB8" s="10">
        <v>9.2127203340642208</v>
      </c>
      <c r="AC8" s="10">
        <v>9.2223710841499305</v>
      </c>
      <c r="AD8" s="10">
        <v>9.2223710841499305</v>
      </c>
      <c r="AE8" s="10">
        <v>9.7221557500306499</v>
      </c>
      <c r="AF8" s="10">
        <v>1.0266666666666699</v>
      </c>
      <c r="AG8" s="10">
        <v>0.49736183299683001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0">
        <v>1</v>
      </c>
      <c r="AW8" s="10">
        <v>1</v>
      </c>
      <c r="AX8" s="12" t="s">
        <v>56</v>
      </c>
      <c r="AY8" s="12" t="s">
        <v>57</v>
      </c>
      <c r="AZ8" s="11"/>
      <c r="BA8" s="12" t="s">
        <v>58</v>
      </c>
      <c r="BB8" s="10">
        <v>119.674187372156</v>
      </c>
      <c r="BC8" s="12" t="s">
        <v>59</v>
      </c>
      <c r="BD8" s="11"/>
    </row>
    <row r="9" spans="1:56" x14ac:dyDescent="0.15">
      <c r="A9" s="8" t="s">
        <v>66</v>
      </c>
      <c r="B9" s="9">
        <v>7</v>
      </c>
      <c r="C9" s="10">
        <v>7</v>
      </c>
      <c r="D9" s="10">
        <v>0</v>
      </c>
      <c r="E9" s="10">
        <v>1.0266666666666699</v>
      </c>
      <c r="F9" s="10">
        <v>0.63548725005239304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>
        <v>0</v>
      </c>
      <c r="S9" s="10">
        <v>7</v>
      </c>
      <c r="T9" s="10">
        <v>7</v>
      </c>
      <c r="U9" s="10">
        <v>6</v>
      </c>
      <c r="V9" s="11"/>
      <c r="W9" s="11"/>
      <c r="X9" s="11"/>
      <c r="Y9" s="11"/>
      <c r="Z9" s="10">
        <v>9.7326451251283306</v>
      </c>
      <c r="AA9" s="11"/>
      <c r="AB9" s="10">
        <v>9.7246175420004892</v>
      </c>
      <c r="AC9" s="10">
        <v>9.7326451251283306</v>
      </c>
      <c r="AD9" s="10">
        <v>9.7326451251283306</v>
      </c>
      <c r="AE9" s="10">
        <v>10.372395084006699</v>
      </c>
      <c r="AF9" s="10">
        <v>1.0266666666666699</v>
      </c>
      <c r="AG9" s="10">
        <v>0.63548725005239304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0">
        <v>1</v>
      </c>
      <c r="AW9" s="10">
        <v>1</v>
      </c>
      <c r="AX9" s="12" t="s">
        <v>56</v>
      </c>
      <c r="AY9" s="12" t="s">
        <v>57</v>
      </c>
      <c r="AZ9" s="11"/>
      <c r="BA9" s="12" t="s">
        <v>58</v>
      </c>
      <c r="BB9" s="10">
        <v>119.674187372156</v>
      </c>
      <c r="BC9" s="12" t="s">
        <v>59</v>
      </c>
      <c r="BD9" s="11"/>
    </row>
    <row r="10" spans="1:56" x14ac:dyDescent="0.15">
      <c r="A10" s="8" t="s">
        <v>67</v>
      </c>
      <c r="B10" s="9">
        <v>8</v>
      </c>
      <c r="C10" s="10">
        <v>8</v>
      </c>
      <c r="D10" s="10">
        <v>0</v>
      </c>
      <c r="E10" s="10">
        <v>1.03555555555556</v>
      </c>
      <c r="F10" s="10">
        <v>0.57390383305028103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0">
        <v>0</v>
      </c>
      <c r="S10" s="10">
        <v>8</v>
      </c>
      <c r="T10" s="10">
        <v>8</v>
      </c>
      <c r="U10" s="10">
        <v>4</v>
      </c>
      <c r="V10" s="11"/>
      <c r="W10" s="11"/>
      <c r="X10" s="11"/>
      <c r="Y10" s="11"/>
      <c r="Z10" s="10">
        <v>10.3848655840848</v>
      </c>
      <c r="AA10" s="11"/>
      <c r="AB10" s="10">
        <v>10.375548708951101</v>
      </c>
      <c r="AC10" s="10">
        <v>10.3848655840848</v>
      </c>
      <c r="AD10" s="10">
        <v>10.3848655840848</v>
      </c>
      <c r="AE10" s="10">
        <v>10.9589035839308</v>
      </c>
      <c r="AF10" s="10">
        <v>1.03555555555556</v>
      </c>
      <c r="AG10" s="10">
        <v>0.57390383305028103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0">
        <v>1</v>
      </c>
      <c r="AW10" s="10">
        <v>1</v>
      </c>
      <c r="AX10" s="12" t="s">
        <v>56</v>
      </c>
      <c r="AY10" s="12" t="s">
        <v>57</v>
      </c>
      <c r="AZ10" s="11"/>
      <c r="BA10" s="12" t="s">
        <v>58</v>
      </c>
      <c r="BB10" s="10">
        <v>119.674187372156</v>
      </c>
      <c r="BC10" s="12" t="s">
        <v>59</v>
      </c>
      <c r="BD10" s="11"/>
    </row>
    <row r="11" spans="1:56" x14ac:dyDescent="0.15">
      <c r="A11" s="8" t="s">
        <v>68</v>
      </c>
      <c r="B11" s="9">
        <v>9</v>
      </c>
      <c r="C11" s="10">
        <v>9</v>
      </c>
      <c r="D11" s="10">
        <v>0</v>
      </c>
      <c r="E11" s="10">
        <v>1.0444444444444401</v>
      </c>
      <c r="F11" s="10">
        <v>0.56507087498903297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>
        <v>0</v>
      </c>
      <c r="S11" s="10">
        <v>9</v>
      </c>
      <c r="T11" s="10">
        <v>9</v>
      </c>
      <c r="U11" s="10">
        <v>10</v>
      </c>
      <c r="V11" s="11"/>
      <c r="W11" s="11"/>
      <c r="X11" s="11"/>
      <c r="Y11" s="11"/>
      <c r="Z11" s="10">
        <v>10.971481458982501</v>
      </c>
      <c r="AA11" s="11"/>
      <c r="AB11" s="10">
        <v>10.961090834112801</v>
      </c>
      <c r="AC11" s="10">
        <v>10.971481458982501</v>
      </c>
      <c r="AD11" s="10">
        <v>10.971481458982501</v>
      </c>
      <c r="AE11" s="10">
        <v>11.5389553341083</v>
      </c>
      <c r="AF11" s="10">
        <v>1.0444444444444401</v>
      </c>
      <c r="AG11" s="10">
        <v>0.56507087498903297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0">
        <v>1</v>
      </c>
      <c r="AW11" s="10">
        <v>1</v>
      </c>
      <c r="AX11" s="12" t="s">
        <v>56</v>
      </c>
      <c r="AY11" s="12" t="s">
        <v>57</v>
      </c>
      <c r="AZ11" s="11"/>
      <c r="BA11" s="12" t="s">
        <v>58</v>
      </c>
      <c r="BB11" s="10">
        <v>119.674187372156</v>
      </c>
      <c r="BC11" s="12" t="s">
        <v>59</v>
      </c>
      <c r="BD11" s="11"/>
    </row>
    <row r="12" spans="1:56" x14ac:dyDescent="0.15">
      <c r="A12" s="8" t="s">
        <v>69</v>
      </c>
      <c r="B12" s="9">
        <v>10</v>
      </c>
      <c r="C12" s="10">
        <v>10</v>
      </c>
      <c r="D12" s="10">
        <v>0</v>
      </c>
      <c r="E12" s="10">
        <v>1.0488888888888901</v>
      </c>
      <c r="F12" s="10">
        <v>0.58057329198345498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0">
        <v>0</v>
      </c>
      <c r="S12" s="10">
        <v>10</v>
      </c>
      <c r="T12" s="10">
        <v>10</v>
      </c>
      <c r="U12" s="10">
        <v>5</v>
      </c>
      <c r="V12" s="11"/>
      <c r="W12" s="11"/>
      <c r="X12" s="11"/>
      <c r="Y12" s="11"/>
      <c r="Z12" s="10">
        <v>11.5515777501278</v>
      </c>
      <c r="AA12" s="11"/>
      <c r="AB12" s="10">
        <v>11.5426414171234</v>
      </c>
      <c r="AC12" s="10">
        <v>11.5515777501278</v>
      </c>
      <c r="AD12" s="10">
        <v>11.5515777501278</v>
      </c>
      <c r="AE12" s="10">
        <v>12.132861708989401</v>
      </c>
      <c r="AF12" s="10">
        <v>1.0488888888888901</v>
      </c>
      <c r="AG12" s="10">
        <v>0.58057329198345498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0">
        <v>1</v>
      </c>
      <c r="AW12" s="10">
        <v>1</v>
      </c>
      <c r="AX12" s="12" t="s">
        <v>56</v>
      </c>
      <c r="AY12" s="12" t="s">
        <v>57</v>
      </c>
      <c r="AZ12" s="11"/>
      <c r="BA12" s="12" t="s">
        <v>58</v>
      </c>
      <c r="BB12" s="10">
        <v>119.674187372156</v>
      </c>
      <c r="BC12" s="12" t="s">
        <v>59</v>
      </c>
      <c r="BD12" s="11"/>
    </row>
    <row r="13" spans="1:56" x14ac:dyDescent="0.15">
      <c r="A13" s="8" t="s">
        <v>70</v>
      </c>
      <c r="B13" s="9">
        <v>11</v>
      </c>
      <c r="C13" s="10">
        <v>11</v>
      </c>
      <c r="D13" s="10">
        <v>0</v>
      </c>
      <c r="E13" s="10">
        <v>1.0488888888888901</v>
      </c>
      <c r="F13" s="10">
        <v>0.55820587510243103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">
        <v>0</v>
      </c>
      <c r="S13" s="10">
        <v>11</v>
      </c>
      <c r="T13" s="10">
        <v>11</v>
      </c>
      <c r="U13" s="10">
        <v>2</v>
      </c>
      <c r="V13" s="11"/>
      <c r="W13" s="11"/>
      <c r="X13" s="11"/>
      <c r="Y13" s="11"/>
      <c r="Z13" s="10">
        <v>12.143992708995899</v>
      </c>
      <c r="AA13" s="11"/>
      <c r="AB13" s="10">
        <v>12.135251375148099</v>
      </c>
      <c r="AC13" s="10">
        <v>12.143992708995899</v>
      </c>
      <c r="AD13" s="10">
        <v>12.143992708995899</v>
      </c>
      <c r="AE13" s="10">
        <v>12.7060211249627</v>
      </c>
      <c r="AF13" s="10">
        <v>1.0488888888888901</v>
      </c>
      <c r="AG13" s="10">
        <v>0.55820587510243103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0">
        <v>1</v>
      </c>
      <c r="AW13" s="10">
        <v>1</v>
      </c>
      <c r="AX13" s="12" t="s">
        <v>56</v>
      </c>
      <c r="AY13" s="12" t="s">
        <v>57</v>
      </c>
      <c r="AZ13" s="11"/>
      <c r="BA13" s="12" t="s">
        <v>58</v>
      </c>
      <c r="BB13" s="10">
        <v>119.674187372156</v>
      </c>
      <c r="BC13" s="12" t="s">
        <v>59</v>
      </c>
      <c r="BD13" s="11"/>
    </row>
    <row r="14" spans="1:56" x14ac:dyDescent="0.15">
      <c r="A14" s="8" t="s">
        <v>71</v>
      </c>
      <c r="B14" s="9">
        <v>12</v>
      </c>
      <c r="C14" s="10">
        <v>12</v>
      </c>
      <c r="D14" s="10">
        <v>0</v>
      </c>
      <c r="E14" s="10">
        <v>1.0488888888888901</v>
      </c>
      <c r="F14" s="10">
        <v>0.91897716582752798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0">
        <v>0</v>
      </c>
      <c r="S14" s="10">
        <v>12</v>
      </c>
      <c r="T14" s="10">
        <v>12</v>
      </c>
      <c r="U14" s="10">
        <v>8</v>
      </c>
      <c r="V14" s="11"/>
      <c r="W14" s="11"/>
      <c r="X14" s="11"/>
      <c r="Y14" s="11"/>
      <c r="Z14" s="10">
        <v>12.7166917920113</v>
      </c>
      <c r="AA14" s="11"/>
      <c r="AB14" s="10">
        <v>12.708209000062199</v>
      </c>
      <c r="AC14" s="10">
        <v>12.7166917920113</v>
      </c>
      <c r="AD14" s="10">
        <v>12.7166917920113</v>
      </c>
      <c r="AE14" s="10">
        <v>13.6392973340116</v>
      </c>
      <c r="AF14" s="10">
        <v>1.0488888888888901</v>
      </c>
      <c r="AG14" s="10">
        <v>0.91897716582752798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0">
        <v>1</v>
      </c>
      <c r="AW14" s="10">
        <v>1</v>
      </c>
      <c r="AX14" s="12" t="s">
        <v>56</v>
      </c>
      <c r="AY14" s="12" t="s">
        <v>57</v>
      </c>
      <c r="AZ14" s="11"/>
      <c r="BA14" s="12" t="s">
        <v>58</v>
      </c>
      <c r="BB14" s="10">
        <v>119.674187372156</v>
      </c>
      <c r="BC14" s="12" t="s">
        <v>59</v>
      </c>
      <c r="BD14" s="11"/>
    </row>
    <row r="15" spans="1:56" x14ac:dyDescent="0.15">
      <c r="A15" s="8" t="s">
        <v>72</v>
      </c>
      <c r="B15" s="9">
        <v>13</v>
      </c>
      <c r="C15" s="10">
        <v>13</v>
      </c>
      <c r="D15" s="10">
        <v>0</v>
      </c>
      <c r="E15" s="10">
        <v>1.0488888888888901</v>
      </c>
      <c r="F15" s="10">
        <v>0.714814333012328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>
        <v>0</v>
      </c>
      <c r="S15" s="10">
        <v>13</v>
      </c>
      <c r="T15" s="10">
        <v>13</v>
      </c>
      <c r="U15" s="10">
        <v>12</v>
      </c>
      <c r="V15" s="11"/>
      <c r="W15" s="11"/>
      <c r="X15" s="11"/>
      <c r="Y15" s="11"/>
      <c r="Z15" s="10">
        <v>13.6502954589669</v>
      </c>
      <c r="AA15" s="11"/>
      <c r="AB15" s="10">
        <v>13.641674041980901</v>
      </c>
      <c r="AC15" s="10">
        <v>13.6502954589669</v>
      </c>
      <c r="AD15" s="10">
        <v>13.6502954589669</v>
      </c>
      <c r="AE15" s="10">
        <v>14.372722750064</v>
      </c>
      <c r="AF15" s="10">
        <v>1.0488888888888901</v>
      </c>
      <c r="AG15" s="10">
        <v>0.714814333012328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0">
        <v>1</v>
      </c>
      <c r="AW15" s="10">
        <v>1</v>
      </c>
      <c r="AX15" s="12" t="s">
        <v>56</v>
      </c>
      <c r="AY15" s="12" t="s">
        <v>57</v>
      </c>
      <c r="AZ15" s="11"/>
      <c r="BA15" s="12" t="s">
        <v>58</v>
      </c>
      <c r="BB15" s="10">
        <v>119.674187372156</v>
      </c>
      <c r="BC15" s="12" t="s">
        <v>59</v>
      </c>
      <c r="BD15" s="11"/>
    </row>
    <row r="16" spans="1:56" x14ac:dyDescent="0.15">
      <c r="A16" s="8" t="s">
        <v>73</v>
      </c>
      <c r="B16" s="9">
        <v>14</v>
      </c>
      <c r="C16" s="10">
        <v>14</v>
      </c>
      <c r="D16" s="10">
        <v>0</v>
      </c>
      <c r="E16" s="10">
        <v>1.0488888888888901</v>
      </c>
      <c r="F16" s="10">
        <v>0.56930620898492601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">
        <v>0</v>
      </c>
      <c r="S16" s="10">
        <v>14</v>
      </c>
      <c r="T16" s="10">
        <v>14</v>
      </c>
      <c r="U16" s="10">
        <v>13</v>
      </c>
      <c r="V16" s="11"/>
      <c r="W16" s="11"/>
      <c r="X16" s="11"/>
      <c r="Y16" s="11"/>
      <c r="Z16" s="10">
        <v>14.384406334022099</v>
      </c>
      <c r="AA16" s="11"/>
      <c r="AB16" s="10">
        <v>14.3757118750364</v>
      </c>
      <c r="AC16" s="10">
        <v>14.384406334022099</v>
      </c>
      <c r="AD16" s="10">
        <v>14.384406334022099</v>
      </c>
      <c r="AE16" s="10">
        <v>14.9556192921009</v>
      </c>
      <c r="AF16" s="10">
        <v>1.0488888888888901</v>
      </c>
      <c r="AG16" s="10">
        <v>0.56930620898492601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0">
        <v>1</v>
      </c>
      <c r="AW16" s="10">
        <v>1</v>
      </c>
      <c r="AX16" s="12" t="s">
        <v>56</v>
      </c>
      <c r="AY16" s="12" t="s">
        <v>57</v>
      </c>
      <c r="AZ16" s="11"/>
      <c r="BA16" s="12" t="s">
        <v>58</v>
      </c>
      <c r="BB16" s="10">
        <v>119.674187372156</v>
      </c>
      <c r="BC16" s="12" t="s">
        <v>59</v>
      </c>
      <c r="BD16" s="11"/>
    </row>
    <row r="17" spans="1:56" x14ac:dyDescent="0.15">
      <c r="A17" s="13"/>
      <c r="B17" s="9">
        <v>0</v>
      </c>
      <c r="C17" s="10">
        <v>0</v>
      </c>
      <c r="D17" s="10">
        <v>0</v>
      </c>
      <c r="E17" s="11"/>
      <c r="F17" s="11"/>
      <c r="G17" s="12" t="s">
        <v>74</v>
      </c>
      <c r="H17" s="12" t="s">
        <v>75</v>
      </c>
      <c r="I17" s="12" t="s">
        <v>76</v>
      </c>
      <c r="J17" s="12" t="s">
        <v>77</v>
      </c>
      <c r="K17" s="12" t="s">
        <v>78</v>
      </c>
      <c r="L17" s="12" t="s">
        <v>79</v>
      </c>
      <c r="M17" s="12" t="s">
        <v>80</v>
      </c>
      <c r="N17" s="12" t="s">
        <v>81</v>
      </c>
      <c r="O17" s="12" t="s">
        <v>81</v>
      </c>
      <c r="P17" s="12" t="s">
        <v>82</v>
      </c>
      <c r="Q17" s="12" t="s">
        <v>83</v>
      </c>
      <c r="R17" s="11"/>
      <c r="S17" s="11"/>
      <c r="T17" s="11"/>
      <c r="U17" s="11"/>
      <c r="V17" s="10">
        <v>0</v>
      </c>
      <c r="W17" s="10">
        <v>0</v>
      </c>
      <c r="X17" s="10">
        <v>0</v>
      </c>
      <c r="Y17" s="10">
        <v>17</v>
      </c>
      <c r="Z17" s="10">
        <v>14.9763806669507</v>
      </c>
      <c r="AA17" s="11"/>
      <c r="AB17" s="11"/>
      <c r="AC17" s="11"/>
      <c r="AD17" s="11"/>
      <c r="AE17" s="11"/>
      <c r="AF17" s="11"/>
      <c r="AG17" s="11"/>
      <c r="AH17" s="10">
        <v>14.963284583995099</v>
      </c>
      <c r="AI17" s="10">
        <v>14.9763806669507</v>
      </c>
      <c r="AJ17" s="10">
        <v>14.9763806669507</v>
      </c>
      <c r="AK17" s="10">
        <v>14.9763806669507</v>
      </c>
      <c r="AL17" s="10">
        <v>7.66820786520839E-3</v>
      </c>
      <c r="AM17" s="10">
        <v>18.0966295839753</v>
      </c>
      <c r="AN17" s="12" t="s">
        <v>77</v>
      </c>
      <c r="AO17" s="12" t="s">
        <v>78</v>
      </c>
      <c r="AP17" s="12" t="s">
        <v>79</v>
      </c>
      <c r="AQ17" s="12" t="s">
        <v>80</v>
      </c>
      <c r="AR17" s="12" t="s">
        <v>81</v>
      </c>
      <c r="AS17" s="12" t="s">
        <v>81</v>
      </c>
      <c r="AT17" s="12" t="s">
        <v>82</v>
      </c>
      <c r="AU17" s="12" t="s">
        <v>83</v>
      </c>
      <c r="AV17" s="10">
        <v>1</v>
      </c>
      <c r="AW17" s="10">
        <v>1</v>
      </c>
      <c r="AX17" s="12" t="s">
        <v>56</v>
      </c>
      <c r="AY17" s="12" t="s">
        <v>57</v>
      </c>
      <c r="AZ17" s="11"/>
      <c r="BA17" s="12" t="s">
        <v>58</v>
      </c>
      <c r="BB17" s="10">
        <v>119.674187372156</v>
      </c>
      <c r="BC17" s="12" t="s">
        <v>59</v>
      </c>
      <c r="BD17" s="11"/>
    </row>
    <row r="18" spans="1:56" x14ac:dyDescent="0.15">
      <c r="A18" s="13"/>
      <c r="B18" s="9">
        <v>1</v>
      </c>
      <c r="C18" s="10">
        <v>1</v>
      </c>
      <c r="D18" s="10">
        <v>0</v>
      </c>
      <c r="E18" s="11"/>
      <c r="F18" s="11"/>
      <c r="G18" s="12" t="s">
        <v>84</v>
      </c>
      <c r="H18" s="12" t="s">
        <v>63</v>
      </c>
      <c r="I18" s="12" t="s">
        <v>85</v>
      </c>
      <c r="J18" s="12" t="s">
        <v>63</v>
      </c>
      <c r="K18" s="12" t="s">
        <v>86</v>
      </c>
      <c r="L18" s="12" t="s">
        <v>87</v>
      </c>
      <c r="M18" s="12" t="s">
        <v>88</v>
      </c>
      <c r="N18" s="12" t="s">
        <v>89</v>
      </c>
      <c r="O18" s="12" t="s">
        <v>89</v>
      </c>
      <c r="P18" s="12" t="s">
        <v>90</v>
      </c>
      <c r="Q18" s="12" t="s">
        <v>91</v>
      </c>
      <c r="R18" s="11"/>
      <c r="S18" s="11"/>
      <c r="T18" s="11"/>
      <c r="U18" s="11"/>
      <c r="V18" s="10">
        <v>0</v>
      </c>
      <c r="W18" s="10">
        <v>1</v>
      </c>
      <c r="X18" s="10">
        <v>1</v>
      </c>
      <c r="Y18" s="10">
        <v>9</v>
      </c>
      <c r="Z18" s="10">
        <v>18.1089853339363</v>
      </c>
      <c r="AA18" s="11"/>
      <c r="AB18" s="11"/>
      <c r="AC18" s="11"/>
      <c r="AD18" s="11"/>
      <c r="AE18" s="11"/>
      <c r="AF18" s="11"/>
      <c r="AG18" s="11"/>
      <c r="AH18" s="10">
        <v>18.098747959127699</v>
      </c>
      <c r="AI18" s="10">
        <v>18.1089853339363</v>
      </c>
      <c r="AJ18" s="10">
        <v>18.1089853339363</v>
      </c>
      <c r="AK18" s="10">
        <v>18.1089853339363</v>
      </c>
      <c r="AL18" s="10">
        <v>1.9867920782417098E-3</v>
      </c>
      <c r="AM18" s="10">
        <v>23.831065166974401</v>
      </c>
      <c r="AN18" s="12" t="s">
        <v>63</v>
      </c>
      <c r="AO18" s="12" t="s">
        <v>86</v>
      </c>
      <c r="AP18" s="12" t="s">
        <v>87</v>
      </c>
      <c r="AQ18" s="12" t="s">
        <v>88</v>
      </c>
      <c r="AR18" s="12" t="s">
        <v>89</v>
      </c>
      <c r="AS18" s="12" t="s">
        <v>89</v>
      </c>
      <c r="AT18" s="12" t="s">
        <v>90</v>
      </c>
      <c r="AU18" s="12" t="s">
        <v>91</v>
      </c>
      <c r="AV18" s="10">
        <v>1</v>
      </c>
      <c r="AW18" s="10">
        <v>1</v>
      </c>
      <c r="AX18" s="12" t="s">
        <v>56</v>
      </c>
      <c r="AY18" s="12" t="s">
        <v>57</v>
      </c>
      <c r="AZ18" s="11"/>
      <c r="BA18" s="12" t="s">
        <v>58</v>
      </c>
      <c r="BB18" s="10">
        <v>119.674187372156</v>
      </c>
      <c r="BC18" s="12" t="s">
        <v>59</v>
      </c>
      <c r="BD18" s="11"/>
    </row>
    <row r="19" spans="1:56" x14ac:dyDescent="0.15">
      <c r="A19" s="13"/>
      <c r="B19" s="9">
        <v>2</v>
      </c>
      <c r="C19" s="10">
        <v>2</v>
      </c>
      <c r="D19" s="10">
        <v>0</v>
      </c>
      <c r="E19" s="11"/>
      <c r="F19" s="11"/>
      <c r="G19" s="12" t="s">
        <v>92</v>
      </c>
      <c r="H19" s="12" t="s">
        <v>93</v>
      </c>
      <c r="I19" s="12" t="s">
        <v>85</v>
      </c>
      <c r="J19" s="12" t="s">
        <v>93</v>
      </c>
      <c r="K19" s="12" t="s">
        <v>94</v>
      </c>
      <c r="L19" s="12" t="s">
        <v>95</v>
      </c>
      <c r="M19" s="12" t="s">
        <v>80</v>
      </c>
      <c r="N19" s="12" t="s">
        <v>81</v>
      </c>
      <c r="O19" s="12" t="s">
        <v>81</v>
      </c>
      <c r="P19" s="12" t="s">
        <v>96</v>
      </c>
      <c r="Q19" s="12" t="s">
        <v>83</v>
      </c>
      <c r="R19" s="11"/>
      <c r="S19" s="11"/>
      <c r="T19" s="11"/>
      <c r="U19" s="11"/>
      <c r="V19" s="10">
        <v>0</v>
      </c>
      <c r="W19" s="10">
        <v>2</v>
      </c>
      <c r="X19" s="10">
        <v>2</v>
      </c>
      <c r="Y19" s="10">
        <v>2</v>
      </c>
      <c r="Z19" s="10">
        <v>23.842993624974</v>
      </c>
      <c r="AA19" s="11"/>
      <c r="AB19" s="11"/>
      <c r="AC19" s="11"/>
      <c r="AD19" s="11"/>
      <c r="AE19" s="11"/>
      <c r="AF19" s="11"/>
      <c r="AG19" s="11"/>
      <c r="AH19" s="10">
        <v>23.833459625020598</v>
      </c>
      <c r="AI19" s="10">
        <v>23.842993624974</v>
      </c>
      <c r="AJ19" s="10">
        <v>23.842993624974</v>
      </c>
      <c r="AK19" s="10">
        <v>23.842993624974</v>
      </c>
      <c r="AL19" s="10">
        <v>2.2601669188588901E-3</v>
      </c>
      <c r="AM19" s="10">
        <v>26.5984850840177</v>
      </c>
      <c r="AN19" s="12" t="s">
        <v>93</v>
      </c>
      <c r="AO19" s="12" t="s">
        <v>94</v>
      </c>
      <c r="AP19" s="12" t="s">
        <v>95</v>
      </c>
      <c r="AQ19" s="12" t="s">
        <v>80</v>
      </c>
      <c r="AR19" s="12" t="s">
        <v>81</v>
      </c>
      <c r="AS19" s="12" t="s">
        <v>81</v>
      </c>
      <c r="AT19" s="12" t="s">
        <v>96</v>
      </c>
      <c r="AU19" s="12" t="s">
        <v>83</v>
      </c>
      <c r="AV19" s="10">
        <v>1</v>
      </c>
      <c r="AW19" s="10">
        <v>1</v>
      </c>
      <c r="AX19" s="12" t="s">
        <v>56</v>
      </c>
      <c r="AY19" s="12" t="s">
        <v>57</v>
      </c>
      <c r="AZ19" s="11"/>
      <c r="BA19" s="12" t="s">
        <v>58</v>
      </c>
      <c r="BB19" s="10">
        <v>119.674187372156</v>
      </c>
      <c r="BC19" s="12" t="s">
        <v>59</v>
      </c>
      <c r="BD19" s="11"/>
    </row>
    <row r="20" spans="1:56" x14ac:dyDescent="0.15">
      <c r="A20" s="13"/>
      <c r="B20" s="9">
        <v>3</v>
      </c>
      <c r="C20" s="10">
        <v>3</v>
      </c>
      <c r="D20" s="10">
        <v>0</v>
      </c>
      <c r="E20" s="11"/>
      <c r="F20" s="11"/>
      <c r="G20" s="12" t="s">
        <v>97</v>
      </c>
      <c r="H20" s="12" t="s">
        <v>66</v>
      </c>
      <c r="I20" s="12" t="s">
        <v>85</v>
      </c>
      <c r="J20" s="12" t="s">
        <v>98</v>
      </c>
      <c r="K20" s="12" t="s">
        <v>99</v>
      </c>
      <c r="L20" s="12" t="s">
        <v>100</v>
      </c>
      <c r="M20" s="12" t="s">
        <v>80</v>
      </c>
      <c r="N20" s="12" t="s">
        <v>81</v>
      </c>
      <c r="O20" s="12" t="s">
        <v>81</v>
      </c>
      <c r="P20" s="12" t="s">
        <v>101</v>
      </c>
      <c r="Q20" s="12" t="s">
        <v>83</v>
      </c>
      <c r="R20" s="11"/>
      <c r="S20" s="11"/>
      <c r="T20" s="11"/>
      <c r="U20" s="11"/>
      <c r="V20" s="10">
        <v>0</v>
      </c>
      <c r="W20" s="10">
        <v>3</v>
      </c>
      <c r="X20" s="10">
        <v>3</v>
      </c>
      <c r="Y20" s="10">
        <v>1</v>
      </c>
      <c r="Z20" s="10">
        <v>26.610322459135201</v>
      </c>
      <c r="AA20" s="11"/>
      <c r="AB20" s="11"/>
      <c r="AC20" s="11"/>
      <c r="AD20" s="11"/>
      <c r="AE20" s="11"/>
      <c r="AF20" s="11"/>
      <c r="AG20" s="11"/>
      <c r="AH20" s="10">
        <v>26.6006492089946</v>
      </c>
      <c r="AI20" s="10">
        <v>26.610322459135201</v>
      </c>
      <c r="AJ20" s="10">
        <v>26.610322459135201</v>
      </c>
      <c r="AK20" s="10">
        <v>26.610322459135201</v>
      </c>
      <c r="AL20" s="10">
        <v>2.0624578464776299E-3</v>
      </c>
      <c r="AM20" s="10">
        <v>29.680810375139099</v>
      </c>
      <c r="AN20" s="12" t="s">
        <v>98</v>
      </c>
      <c r="AO20" s="12" t="s">
        <v>99</v>
      </c>
      <c r="AP20" s="12" t="s">
        <v>100</v>
      </c>
      <c r="AQ20" s="12" t="s">
        <v>80</v>
      </c>
      <c r="AR20" s="12" t="s">
        <v>81</v>
      </c>
      <c r="AS20" s="12" t="s">
        <v>81</v>
      </c>
      <c r="AT20" s="12" t="s">
        <v>101</v>
      </c>
      <c r="AU20" s="12" t="s">
        <v>83</v>
      </c>
      <c r="AV20" s="10">
        <v>1</v>
      </c>
      <c r="AW20" s="10">
        <v>1</v>
      </c>
      <c r="AX20" s="12" t="s">
        <v>56</v>
      </c>
      <c r="AY20" s="12" t="s">
        <v>57</v>
      </c>
      <c r="AZ20" s="11"/>
      <c r="BA20" s="12" t="s">
        <v>58</v>
      </c>
      <c r="BB20" s="10">
        <v>119.674187372156</v>
      </c>
      <c r="BC20" s="12" t="s">
        <v>59</v>
      </c>
      <c r="BD20" s="11"/>
    </row>
    <row r="21" spans="1:56" x14ac:dyDescent="0.15">
      <c r="A21" s="13"/>
      <c r="B21" s="9">
        <v>4</v>
      </c>
      <c r="C21" s="10">
        <v>4</v>
      </c>
      <c r="D21" s="10">
        <v>0</v>
      </c>
      <c r="E21" s="11"/>
      <c r="F21" s="11"/>
      <c r="G21" s="12" t="s">
        <v>102</v>
      </c>
      <c r="H21" s="12" t="s">
        <v>103</v>
      </c>
      <c r="I21" s="12" t="s">
        <v>85</v>
      </c>
      <c r="J21" s="12" t="s">
        <v>67</v>
      </c>
      <c r="K21" s="12" t="s">
        <v>104</v>
      </c>
      <c r="L21" s="12" t="s">
        <v>105</v>
      </c>
      <c r="M21" s="12" t="s">
        <v>80</v>
      </c>
      <c r="N21" s="12" t="s">
        <v>81</v>
      </c>
      <c r="O21" s="12" t="s">
        <v>81</v>
      </c>
      <c r="P21" s="12" t="s">
        <v>106</v>
      </c>
      <c r="Q21" s="12" t="s">
        <v>83</v>
      </c>
      <c r="R21" s="11"/>
      <c r="S21" s="11"/>
      <c r="T21" s="11"/>
      <c r="U21" s="11"/>
      <c r="V21" s="10">
        <v>0</v>
      </c>
      <c r="W21" s="10">
        <v>4</v>
      </c>
      <c r="X21" s="10">
        <v>4</v>
      </c>
      <c r="Y21" s="10">
        <v>10</v>
      </c>
      <c r="Z21" s="10">
        <v>29.6931551250163</v>
      </c>
      <c r="AA21" s="11"/>
      <c r="AB21" s="11"/>
      <c r="AC21" s="11"/>
      <c r="AD21" s="11"/>
      <c r="AE21" s="11"/>
      <c r="AF21" s="11"/>
      <c r="AG21" s="11"/>
      <c r="AH21" s="10">
        <v>29.682818749919502</v>
      </c>
      <c r="AI21" s="10">
        <v>29.6931551250163</v>
      </c>
      <c r="AJ21" s="10">
        <v>29.6931551250163</v>
      </c>
      <c r="AK21" s="10">
        <v>29.6931551250163</v>
      </c>
      <c r="AL21" s="10">
        <v>1.9196670036763001E-3</v>
      </c>
      <c r="AM21" s="10">
        <v>34.659673042129697</v>
      </c>
      <c r="AN21" s="12" t="s">
        <v>67</v>
      </c>
      <c r="AO21" s="12" t="s">
        <v>104</v>
      </c>
      <c r="AP21" s="12" t="s">
        <v>105</v>
      </c>
      <c r="AQ21" s="12" t="s">
        <v>80</v>
      </c>
      <c r="AR21" s="12" t="s">
        <v>81</v>
      </c>
      <c r="AS21" s="12" t="s">
        <v>81</v>
      </c>
      <c r="AT21" s="12" t="s">
        <v>106</v>
      </c>
      <c r="AU21" s="12" t="s">
        <v>83</v>
      </c>
      <c r="AV21" s="10">
        <v>1</v>
      </c>
      <c r="AW21" s="10">
        <v>1</v>
      </c>
      <c r="AX21" s="12" t="s">
        <v>56</v>
      </c>
      <c r="AY21" s="12" t="s">
        <v>57</v>
      </c>
      <c r="AZ21" s="11"/>
      <c r="BA21" s="12" t="s">
        <v>58</v>
      </c>
      <c r="BB21" s="10">
        <v>119.674187372156</v>
      </c>
      <c r="BC21" s="12" t="s">
        <v>59</v>
      </c>
      <c r="BD21" s="11"/>
    </row>
    <row r="22" spans="1:56" x14ac:dyDescent="0.15">
      <c r="A22" s="13"/>
      <c r="B22" s="9">
        <v>5</v>
      </c>
      <c r="C22" s="10">
        <v>5</v>
      </c>
      <c r="D22" s="10">
        <v>0</v>
      </c>
      <c r="E22" s="11"/>
      <c r="F22" s="11"/>
      <c r="G22" s="12" t="s">
        <v>107</v>
      </c>
      <c r="H22" s="12" t="s">
        <v>68</v>
      </c>
      <c r="I22" s="12" t="s">
        <v>85</v>
      </c>
      <c r="J22" s="12" t="s">
        <v>108</v>
      </c>
      <c r="K22" s="12" t="s">
        <v>94</v>
      </c>
      <c r="L22" s="12" t="s">
        <v>109</v>
      </c>
      <c r="M22" s="12" t="s">
        <v>80</v>
      </c>
      <c r="N22" s="12" t="s">
        <v>81</v>
      </c>
      <c r="O22" s="12" t="s">
        <v>81</v>
      </c>
      <c r="P22" s="12" t="s">
        <v>110</v>
      </c>
      <c r="Q22" s="12" t="s">
        <v>83</v>
      </c>
      <c r="R22" s="11"/>
      <c r="S22" s="11"/>
      <c r="T22" s="11"/>
      <c r="U22" s="11"/>
      <c r="V22" s="10">
        <v>0</v>
      </c>
      <c r="W22" s="10">
        <v>5</v>
      </c>
      <c r="X22" s="10">
        <v>5</v>
      </c>
      <c r="Y22" s="10">
        <v>5</v>
      </c>
      <c r="Z22" s="10">
        <v>34.673647959018098</v>
      </c>
      <c r="AA22" s="11"/>
      <c r="AB22" s="11"/>
      <c r="AC22" s="11"/>
      <c r="AD22" s="11"/>
      <c r="AE22" s="11"/>
      <c r="AF22" s="11"/>
      <c r="AG22" s="11"/>
      <c r="AH22" s="10">
        <v>34.661855584010503</v>
      </c>
      <c r="AI22" s="10">
        <v>34.673647959018098</v>
      </c>
      <c r="AJ22" s="10">
        <v>34.673647959018098</v>
      </c>
      <c r="AK22" s="10">
        <v>34.673647959018098</v>
      </c>
      <c r="AL22" s="10">
        <v>2.0598340779542901E-3</v>
      </c>
      <c r="AM22" s="10">
        <v>37.182076584082097</v>
      </c>
      <c r="AN22" s="12" t="s">
        <v>108</v>
      </c>
      <c r="AO22" s="12" t="s">
        <v>94</v>
      </c>
      <c r="AP22" s="12" t="s">
        <v>109</v>
      </c>
      <c r="AQ22" s="12" t="s">
        <v>80</v>
      </c>
      <c r="AR22" s="12" t="s">
        <v>81</v>
      </c>
      <c r="AS22" s="12" t="s">
        <v>81</v>
      </c>
      <c r="AT22" s="12" t="s">
        <v>110</v>
      </c>
      <c r="AU22" s="12" t="s">
        <v>83</v>
      </c>
      <c r="AV22" s="10">
        <v>1</v>
      </c>
      <c r="AW22" s="10">
        <v>1</v>
      </c>
      <c r="AX22" s="12" t="s">
        <v>56</v>
      </c>
      <c r="AY22" s="12" t="s">
        <v>57</v>
      </c>
      <c r="AZ22" s="11"/>
      <c r="BA22" s="12" t="s">
        <v>58</v>
      </c>
      <c r="BB22" s="10">
        <v>119.674187372156</v>
      </c>
      <c r="BC22" s="12" t="s">
        <v>59</v>
      </c>
      <c r="BD22" s="11"/>
    </row>
    <row r="23" spans="1:56" x14ac:dyDescent="0.15">
      <c r="A23" s="13"/>
      <c r="B23" s="9">
        <v>6</v>
      </c>
      <c r="C23" s="10">
        <v>6</v>
      </c>
      <c r="D23" s="10">
        <v>0</v>
      </c>
      <c r="E23" s="11"/>
      <c r="F23" s="11"/>
      <c r="G23" s="12" t="s">
        <v>111</v>
      </c>
      <c r="H23" s="12" t="s">
        <v>69</v>
      </c>
      <c r="I23" s="12" t="s">
        <v>85</v>
      </c>
      <c r="J23" s="12" t="s">
        <v>112</v>
      </c>
      <c r="K23" s="12" t="s">
        <v>113</v>
      </c>
      <c r="L23" s="12" t="s">
        <v>114</v>
      </c>
      <c r="M23" s="12" t="s">
        <v>80</v>
      </c>
      <c r="N23" s="12" t="s">
        <v>81</v>
      </c>
      <c r="O23" s="12" t="s">
        <v>81</v>
      </c>
      <c r="P23" s="12" t="s">
        <v>115</v>
      </c>
      <c r="Q23" s="12" t="s">
        <v>83</v>
      </c>
      <c r="R23" s="11"/>
      <c r="S23" s="11"/>
      <c r="T23" s="11"/>
      <c r="U23" s="11"/>
      <c r="V23" s="10">
        <v>0</v>
      </c>
      <c r="W23" s="10">
        <v>6</v>
      </c>
      <c r="X23" s="10">
        <v>6</v>
      </c>
      <c r="Y23" s="10">
        <v>0</v>
      </c>
      <c r="Z23" s="10">
        <v>37.193786834133803</v>
      </c>
      <c r="AA23" s="11"/>
      <c r="AB23" s="11"/>
      <c r="AC23" s="11"/>
      <c r="AD23" s="11"/>
      <c r="AE23" s="11"/>
      <c r="AF23" s="11"/>
      <c r="AG23" s="11"/>
      <c r="AH23" s="10">
        <v>37.184328125091298</v>
      </c>
      <c r="AI23" s="10">
        <v>37.193786834133803</v>
      </c>
      <c r="AJ23" s="10">
        <v>37.193786834133803</v>
      </c>
      <c r="AK23" s="10">
        <v>37.193786834133803</v>
      </c>
      <c r="AL23" s="10">
        <v>2.14504101313651E-3</v>
      </c>
      <c r="AM23" s="10">
        <v>41.466415500035502</v>
      </c>
      <c r="AN23" s="12" t="s">
        <v>112</v>
      </c>
      <c r="AO23" s="12" t="s">
        <v>113</v>
      </c>
      <c r="AP23" s="12" t="s">
        <v>114</v>
      </c>
      <c r="AQ23" s="12" t="s">
        <v>80</v>
      </c>
      <c r="AR23" s="12" t="s">
        <v>81</v>
      </c>
      <c r="AS23" s="12" t="s">
        <v>81</v>
      </c>
      <c r="AT23" s="12" t="s">
        <v>115</v>
      </c>
      <c r="AU23" s="12" t="s">
        <v>83</v>
      </c>
      <c r="AV23" s="10">
        <v>1</v>
      </c>
      <c r="AW23" s="10">
        <v>1</v>
      </c>
      <c r="AX23" s="12" t="s">
        <v>56</v>
      </c>
      <c r="AY23" s="12" t="s">
        <v>57</v>
      </c>
      <c r="AZ23" s="11"/>
      <c r="BA23" s="12" t="s">
        <v>58</v>
      </c>
      <c r="BB23" s="10">
        <v>119.674187372156</v>
      </c>
      <c r="BC23" s="12" t="s">
        <v>59</v>
      </c>
      <c r="BD23" s="11"/>
    </row>
    <row r="24" spans="1:56" x14ac:dyDescent="0.15">
      <c r="A24" s="13"/>
      <c r="B24" s="9">
        <v>7</v>
      </c>
      <c r="C24" s="10">
        <v>7</v>
      </c>
      <c r="D24" s="10">
        <v>0</v>
      </c>
      <c r="E24" s="11"/>
      <c r="F24" s="11"/>
      <c r="G24" s="12" t="s">
        <v>116</v>
      </c>
      <c r="H24" s="12" t="s">
        <v>73</v>
      </c>
      <c r="I24" s="12" t="s">
        <v>85</v>
      </c>
      <c r="J24" s="12" t="s">
        <v>73</v>
      </c>
      <c r="K24" s="12" t="s">
        <v>117</v>
      </c>
      <c r="L24" s="12" t="s">
        <v>118</v>
      </c>
      <c r="M24" s="12" t="s">
        <v>80</v>
      </c>
      <c r="N24" s="12" t="s">
        <v>81</v>
      </c>
      <c r="O24" s="12" t="s">
        <v>81</v>
      </c>
      <c r="P24" s="12" t="s">
        <v>119</v>
      </c>
      <c r="Q24" s="12" t="s">
        <v>83</v>
      </c>
      <c r="R24" s="11"/>
      <c r="S24" s="11"/>
      <c r="T24" s="11"/>
      <c r="U24" s="11"/>
      <c r="V24" s="10">
        <v>0</v>
      </c>
      <c r="W24" s="10">
        <v>7</v>
      </c>
      <c r="X24" s="10">
        <v>7</v>
      </c>
      <c r="Y24" s="10">
        <v>8</v>
      </c>
      <c r="Z24" s="10">
        <v>41.478850542102002</v>
      </c>
      <c r="AA24" s="11"/>
      <c r="AB24" s="11"/>
      <c r="AC24" s="11"/>
      <c r="AD24" s="11"/>
      <c r="AE24" s="11"/>
      <c r="AF24" s="11"/>
      <c r="AG24" s="11"/>
      <c r="AH24" s="10">
        <v>41.468577624997103</v>
      </c>
      <c r="AI24" s="10">
        <v>41.478850542102002</v>
      </c>
      <c r="AJ24" s="10">
        <v>41.478850542102002</v>
      </c>
      <c r="AK24" s="10">
        <v>41.478850542102002</v>
      </c>
      <c r="AL24" s="10">
        <v>2.0534999202936901E-3</v>
      </c>
      <c r="AM24" s="10">
        <v>44.599502834025799</v>
      </c>
      <c r="AN24" s="12" t="s">
        <v>73</v>
      </c>
      <c r="AO24" s="12" t="s">
        <v>117</v>
      </c>
      <c r="AP24" s="12" t="s">
        <v>118</v>
      </c>
      <c r="AQ24" s="12" t="s">
        <v>80</v>
      </c>
      <c r="AR24" s="12" t="s">
        <v>81</v>
      </c>
      <c r="AS24" s="12" t="s">
        <v>81</v>
      </c>
      <c r="AT24" s="12" t="s">
        <v>119</v>
      </c>
      <c r="AU24" s="12" t="s">
        <v>83</v>
      </c>
      <c r="AV24" s="10">
        <v>1</v>
      </c>
      <c r="AW24" s="10">
        <v>1</v>
      </c>
      <c r="AX24" s="12" t="s">
        <v>56</v>
      </c>
      <c r="AY24" s="12" t="s">
        <v>57</v>
      </c>
      <c r="AZ24" s="11"/>
      <c r="BA24" s="12" t="s">
        <v>58</v>
      </c>
      <c r="BB24" s="10">
        <v>119.674187372156</v>
      </c>
      <c r="BC24" s="12" t="s">
        <v>59</v>
      </c>
      <c r="BD24" s="11"/>
    </row>
    <row r="25" spans="1:56" x14ac:dyDescent="0.15">
      <c r="A25" s="13"/>
      <c r="B25" s="9">
        <v>8</v>
      </c>
      <c r="C25" s="10">
        <v>8</v>
      </c>
      <c r="D25" s="10">
        <v>0</v>
      </c>
      <c r="E25" s="11"/>
      <c r="F25" s="11"/>
      <c r="G25" s="12" t="s">
        <v>120</v>
      </c>
      <c r="H25" s="12" t="s">
        <v>121</v>
      </c>
      <c r="I25" s="12" t="s">
        <v>85</v>
      </c>
      <c r="J25" s="12" t="s">
        <v>70</v>
      </c>
      <c r="K25" s="12" t="s">
        <v>122</v>
      </c>
      <c r="L25" s="12" t="s">
        <v>123</v>
      </c>
      <c r="M25" s="12" t="s">
        <v>80</v>
      </c>
      <c r="N25" s="12" t="s">
        <v>81</v>
      </c>
      <c r="O25" s="12" t="s">
        <v>81</v>
      </c>
      <c r="P25" s="12" t="s">
        <v>124</v>
      </c>
      <c r="Q25" s="12" t="s">
        <v>83</v>
      </c>
      <c r="R25" s="11"/>
      <c r="S25" s="11"/>
      <c r="T25" s="11"/>
      <c r="U25" s="11"/>
      <c r="V25" s="10">
        <v>0</v>
      </c>
      <c r="W25" s="10">
        <v>8</v>
      </c>
      <c r="X25" s="10">
        <v>8</v>
      </c>
      <c r="Y25" s="10">
        <v>12</v>
      </c>
      <c r="Z25" s="10">
        <v>44.611801208928199</v>
      </c>
      <c r="AA25" s="11"/>
      <c r="AB25" s="11"/>
      <c r="AC25" s="11"/>
      <c r="AD25" s="11"/>
      <c r="AE25" s="11"/>
      <c r="AF25" s="11"/>
      <c r="AG25" s="11"/>
      <c r="AH25" s="10">
        <v>44.601714249933103</v>
      </c>
      <c r="AI25" s="10">
        <v>44.611801208928199</v>
      </c>
      <c r="AJ25" s="10">
        <v>44.611801208928199</v>
      </c>
      <c r="AK25" s="10">
        <v>44.611801208928199</v>
      </c>
      <c r="AL25" s="10">
        <v>2.09154188632965E-3</v>
      </c>
      <c r="AM25" s="10">
        <v>47.281454875133903</v>
      </c>
      <c r="AN25" s="12" t="s">
        <v>70</v>
      </c>
      <c r="AO25" s="12" t="s">
        <v>122</v>
      </c>
      <c r="AP25" s="12" t="s">
        <v>123</v>
      </c>
      <c r="AQ25" s="12" t="s">
        <v>80</v>
      </c>
      <c r="AR25" s="12" t="s">
        <v>81</v>
      </c>
      <c r="AS25" s="12" t="s">
        <v>81</v>
      </c>
      <c r="AT25" s="12" t="s">
        <v>124</v>
      </c>
      <c r="AU25" s="12" t="s">
        <v>83</v>
      </c>
      <c r="AV25" s="10">
        <v>1</v>
      </c>
      <c r="AW25" s="10">
        <v>1</v>
      </c>
      <c r="AX25" s="12" t="s">
        <v>56</v>
      </c>
      <c r="AY25" s="12" t="s">
        <v>57</v>
      </c>
      <c r="AZ25" s="11"/>
      <c r="BA25" s="12" t="s">
        <v>58</v>
      </c>
      <c r="BB25" s="10">
        <v>119.674187372156</v>
      </c>
      <c r="BC25" s="12" t="s">
        <v>59</v>
      </c>
      <c r="BD25" s="11"/>
    </row>
    <row r="26" spans="1:56" x14ac:dyDescent="0.15">
      <c r="A26" s="13"/>
      <c r="B26" s="9">
        <v>9</v>
      </c>
      <c r="C26" s="10">
        <v>9</v>
      </c>
      <c r="D26" s="10">
        <v>0</v>
      </c>
      <c r="E26" s="11"/>
      <c r="F26" s="11"/>
      <c r="G26" s="12" t="s">
        <v>125</v>
      </c>
      <c r="H26" s="12" t="s">
        <v>126</v>
      </c>
      <c r="I26" s="12" t="s">
        <v>85</v>
      </c>
      <c r="J26" s="12" t="s">
        <v>71</v>
      </c>
      <c r="K26" s="12" t="s">
        <v>127</v>
      </c>
      <c r="L26" s="12" t="s">
        <v>128</v>
      </c>
      <c r="M26" s="12" t="s">
        <v>80</v>
      </c>
      <c r="N26" s="12" t="s">
        <v>81</v>
      </c>
      <c r="O26" s="12" t="s">
        <v>81</v>
      </c>
      <c r="P26" s="12" t="s">
        <v>129</v>
      </c>
      <c r="Q26" s="12" t="s">
        <v>83</v>
      </c>
      <c r="R26" s="11"/>
      <c r="S26" s="11"/>
      <c r="T26" s="11"/>
      <c r="U26" s="11"/>
      <c r="V26" s="10">
        <v>0</v>
      </c>
      <c r="W26" s="10">
        <v>9</v>
      </c>
      <c r="X26" s="10">
        <v>9</v>
      </c>
      <c r="Y26" s="10">
        <v>3</v>
      </c>
      <c r="Z26" s="10">
        <v>47.294042875058999</v>
      </c>
      <c r="AA26" s="11"/>
      <c r="AB26" s="11"/>
      <c r="AC26" s="11"/>
      <c r="AD26" s="11"/>
      <c r="AE26" s="11"/>
      <c r="AF26" s="11"/>
      <c r="AG26" s="11"/>
      <c r="AH26" s="10">
        <v>47.283744917018304</v>
      </c>
      <c r="AI26" s="10">
        <v>47.294042875058999</v>
      </c>
      <c r="AJ26" s="10">
        <v>47.294042875058999</v>
      </c>
      <c r="AK26" s="10">
        <v>47.294042875058999</v>
      </c>
      <c r="AL26" s="10">
        <v>2.1826671436429002E-3</v>
      </c>
      <c r="AM26" s="10">
        <v>49.982106500072398</v>
      </c>
      <c r="AN26" s="12" t="s">
        <v>71</v>
      </c>
      <c r="AO26" s="12" t="s">
        <v>127</v>
      </c>
      <c r="AP26" s="12" t="s">
        <v>128</v>
      </c>
      <c r="AQ26" s="12" t="s">
        <v>80</v>
      </c>
      <c r="AR26" s="12" t="s">
        <v>81</v>
      </c>
      <c r="AS26" s="12" t="s">
        <v>81</v>
      </c>
      <c r="AT26" s="12" t="s">
        <v>129</v>
      </c>
      <c r="AU26" s="12" t="s">
        <v>83</v>
      </c>
      <c r="AV26" s="10">
        <v>1</v>
      </c>
      <c r="AW26" s="10">
        <v>1</v>
      </c>
      <c r="AX26" s="12" t="s">
        <v>56</v>
      </c>
      <c r="AY26" s="12" t="s">
        <v>57</v>
      </c>
      <c r="AZ26" s="11"/>
      <c r="BA26" s="12" t="s">
        <v>58</v>
      </c>
      <c r="BB26" s="10">
        <v>119.674187372156</v>
      </c>
      <c r="BC26" s="12" t="s">
        <v>59</v>
      </c>
      <c r="BD26" s="11"/>
    </row>
    <row r="27" spans="1:56" x14ac:dyDescent="0.15">
      <c r="A27" s="13"/>
      <c r="B27" s="9">
        <v>10</v>
      </c>
      <c r="C27" s="10">
        <v>10</v>
      </c>
      <c r="D27" s="10">
        <v>0</v>
      </c>
      <c r="E27" s="11"/>
      <c r="F27" s="11"/>
      <c r="G27" s="12" t="s">
        <v>130</v>
      </c>
      <c r="H27" s="12" t="s">
        <v>131</v>
      </c>
      <c r="I27" s="12" t="s">
        <v>85</v>
      </c>
      <c r="J27" s="12" t="s">
        <v>64</v>
      </c>
      <c r="K27" s="12" t="s">
        <v>132</v>
      </c>
      <c r="L27" s="12" t="s">
        <v>133</v>
      </c>
      <c r="M27" s="12" t="s">
        <v>80</v>
      </c>
      <c r="N27" s="12" t="s">
        <v>81</v>
      </c>
      <c r="O27" s="12" t="s">
        <v>81</v>
      </c>
      <c r="P27" s="12" t="s">
        <v>134</v>
      </c>
      <c r="Q27" s="12" t="s">
        <v>83</v>
      </c>
      <c r="R27" s="11"/>
      <c r="S27" s="11"/>
      <c r="T27" s="11"/>
      <c r="U27" s="11"/>
      <c r="V27" s="10">
        <v>0</v>
      </c>
      <c r="W27" s="10">
        <v>10</v>
      </c>
      <c r="X27" s="10">
        <v>10</v>
      </c>
      <c r="Y27" s="10">
        <v>14</v>
      </c>
      <c r="Z27" s="10">
        <v>49.994475624989697</v>
      </c>
      <c r="AA27" s="11"/>
      <c r="AB27" s="11"/>
      <c r="AC27" s="11"/>
      <c r="AD27" s="11"/>
      <c r="AE27" s="11"/>
      <c r="AF27" s="11"/>
      <c r="AG27" s="11"/>
      <c r="AH27" s="10">
        <v>49.984350250102601</v>
      </c>
      <c r="AI27" s="10">
        <v>49.994475624989697</v>
      </c>
      <c r="AJ27" s="10">
        <v>49.994475624989697</v>
      </c>
      <c r="AK27" s="10">
        <v>49.994475624989697</v>
      </c>
      <c r="AL27" s="10">
        <v>2.1446670871228001E-3</v>
      </c>
      <c r="AM27" s="10">
        <v>53.067314333980903</v>
      </c>
      <c r="AN27" s="12" t="s">
        <v>64</v>
      </c>
      <c r="AO27" s="12" t="s">
        <v>132</v>
      </c>
      <c r="AP27" s="12" t="s">
        <v>133</v>
      </c>
      <c r="AQ27" s="12" t="s">
        <v>80</v>
      </c>
      <c r="AR27" s="12" t="s">
        <v>81</v>
      </c>
      <c r="AS27" s="12" t="s">
        <v>81</v>
      </c>
      <c r="AT27" s="12" t="s">
        <v>134</v>
      </c>
      <c r="AU27" s="12" t="s">
        <v>83</v>
      </c>
      <c r="AV27" s="10">
        <v>1</v>
      </c>
      <c r="AW27" s="10">
        <v>1</v>
      </c>
      <c r="AX27" s="12" t="s">
        <v>56</v>
      </c>
      <c r="AY27" s="12" t="s">
        <v>57</v>
      </c>
      <c r="AZ27" s="11"/>
      <c r="BA27" s="12" t="s">
        <v>58</v>
      </c>
      <c r="BB27" s="10">
        <v>119.674187372156</v>
      </c>
      <c r="BC27" s="12" t="s">
        <v>59</v>
      </c>
      <c r="BD27" s="11"/>
    </row>
    <row r="28" spans="1:56" x14ac:dyDescent="0.15">
      <c r="A28" s="13"/>
      <c r="B28" s="9">
        <v>11</v>
      </c>
      <c r="C28" s="10">
        <v>11</v>
      </c>
      <c r="D28" s="10">
        <v>0</v>
      </c>
      <c r="E28" s="11"/>
      <c r="F28" s="11"/>
      <c r="G28" s="12" t="s">
        <v>135</v>
      </c>
      <c r="H28" s="12" t="s">
        <v>136</v>
      </c>
      <c r="I28" s="12" t="s">
        <v>85</v>
      </c>
      <c r="J28" s="12" t="s">
        <v>55</v>
      </c>
      <c r="K28" s="12" t="s">
        <v>137</v>
      </c>
      <c r="L28" s="12" t="s">
        <v>138</v>
      </c>
      <c r="M28" s="12" t="s">
        <v>80</v>
      </c>
      <c r="N28" s="12" t="s">
        <v>81</v>
      </c>
      <c r="O28" s="12" t="s">
        <v>81</v>
      </c>
      <c r="P28" s="12" t="s">
        <v>139</v>
      </c>
      <c r="Q28" s="12" t="s">
        <v>83</v>
      </c>
      <c r="R28" s="11"/>
      <c r="S28" s="11"/>
      <c r="T28" s="11"/>
      <c r="U28" s="11"/>
      <c r="V28" s="10">
        <v>0</v>
      </c>
      <c r="W28" s="10">
        <v>11</v>
      </c>
      <c r="X28" s="10">
        <v>11</v>
      </c>
      <c r="Y28" s="10">
        <v>13</v>
      </c>
      <c r="Z28" s="10">
        <v>53.079496917081997</v>
      </c>
      <c r="AA28" s="11"/>
      <c r="AB28" s="11"/>
      <c r="AC28" s="11"/>
      <c r="AD28" s="11"/>
      <c r="AE28" s="11"/>
      <c r="AF28" s="11"/>
      <c r="AG28" s="11"/>
      <c r="AH28" s="10">
        <v>53.069463999941902</v>
      </c>
      <c r="AI28" s="10">
        <v>53.079496917081997</v>
      </c>
      <c r="AJ28" s="10">
        <v>53.079496917081997</v>
      </c>
      <c r="AK28" s="10">
        <v>53.079496917081997</v>
      </c>
      <c r="AL28" s="10">
        <v>2.0224170293659002E-3</v>
      </c>
      <c r="AM28" s="10">
        <v>55.999018209055102</v>
      </c>
      <c r="AN28" s="12" t="s">
        <v>55</v>
      </c>
      <c r="AO28" s="12" t="s">
        <v>137</v>
      </c>
      <c r="AP28" s="12" t="s">
        <v>138</v>
      </c>
      <c r="AQ28" s="12" t="s">
        <v>80</v>
      </c>
      <c r="AR28" s="12" t="s">
        <v>81</v>
      </c>
      <c r="AS28" s="12" t="s">
        <v>81</v>
      </c>
      <c r="AT28" s="12" t="s">
        <v>139</v>
      </c>
      <c r="AU28" s="12" t="s">
        <v>83</v>
      </c>
      <c r="AV28" s="10">
        <v>1</v>
      </c>
      <c r="AW28" s="10">
        <v>1</v>
      </c>
      <c r="AX28" s="12" t="s">
        <v>56</v>
      </c>
      <c r="AY28" s="12" t="s">
        <v>57</v>
      </c>
      <c r="AZ28" s="11"/>
      <c r="BA28" s="12" t="s">
        <v>58</v>
      </c>
      <c r="BB28" s="10">
        <v>119.674187372156</v>
      </c>
      <c r="BC28" s="12" t="s">
        <v>59</v>
      </c>
      <c r="BD28" s="11"/>
    </row>
    <row r="29" spans="1:56" x14ac:dyDescent="0.15">
      <c r="A29" s="13"/>
      <c r="B29" s="9">
        <v>12</v>
      </c>
      <c r="C29" s="10">
        <v>12</v>
      </c>
      <c r="D29" s="10">
        <v>0</v>
      </c>
      <c r="E29" s="11"/>
      <c r="F29" s="11"/>
      <c r="G29" s="12" t="s">
        <v>140</v>
      </c>
      <c r="H29" s="12" t="s">
        <v>62</v>
      </c>
      <c r="I29" s="12" t="s">
        <v>85</v>
      </c>
      <c r="J29" s="12" t="s">
        <v>141</v>
      </c>
      <c r="K29" s="12" t="s">
        <v>142</v>
      </c>
      <c r="L29" s="12" t="s">
        <v>143</v>
      </c>
      <c r="M29" s="12" t="s">
        <v>80</v>
      </c>
      <c r="N29" s="12" t="s">
        <v>81</v>
      </c>
      <c r="O29" s="12" t="s">
        <v>81</v>
      </c>
      <c r="P29" s="12" t="s">
        <v>144</v>
      </c>
      <c r="Q29" s="12" t="s">
        <v>83</v>
      </c>
      <c r="R29" s="11"/>
      <c r="S29" s="11"/>
      <c r="T29" s="11"/>
      <c r="U29" s="11"/>
      <c r="V29" s="10">
        <v>0</v>
      </c>
      <c r="W29" s="10">
        <v>12</v>
      </c>
      <c r="X29" s="10">
        <v>12</v>
      </c>
      <c r="Y29" s="10">
        <v>6</v>
      </c>
      <c r="Z29" s="10">
        <v>56.010559167014399</v>
      </c>
      <c r="AA29" s="11"/>
      <c r="AB29" s="11"/>
      <c r="AC29" s="11"/>
      <c r="AD29" s="11"/>
      <c r="AE29" s="11"/>
      <c r="AF29" s="11"/>
      <c r="AG29" s="11"/>
      <c r="AH29" s="10">
        <v>56.001093375030898</v>
      </c>
      <c r="AI29" s="10">
        <v>56.010559167014399</v>
      </c>
      <c r="AJ29" s="10">
        <v>56.010559167014399</v>
      </c>
      <c r="AK29" s="10">
        <v>56.010559167014399</v>
      </c>
      <c r="AL29" s="10">
        <v>1.9826670177280899E-3</v>
      </c>
      <c r="AM29" s="10">
        <v>58.365936958929503</v>
      </c>
      <c r="AN29" s="12" t="s">
        <v>141</v>
      </c>
      <c r="AO29" s="12" t="s">
        <v>142</v>
      </c>
      <c r="AP29" s="12" t="s">
        <v>143</v>
      </c>
      <c r="AQ29" s="12" t="s">
        <v>80</v>
      </c>
      <c r="AR29" s="12" t="s">
        <v>81</v>
      </c>
      <c r="AS29" s="12" t="s">
        <v>81</v>
      </c>
      <c r="AT29" s="12" t="s">
        <v>144</v>
      </c>
      <c r="AU29" s="12" t="s">
        <v>83</v>
      </c>
      <c r="AV29" s="10">
        <v>1</v>
      </c>
      <c r="AW29" s="10">
        <v>1</v>
      </c>
      <c r="AX29" s="12" t="s">
        <v>56</v>
      </c>
      <c r="AY29" s="12" t="s">
        <v>57</v>
      </c>
      <c r="AZ29" s="11"/>
      <c r="BA29" s="12" t="s">
        <v>58</v>
      </c>
      <c r="BB29" s="10">
        <v>119.674187372156</v>
      </c>
      <c r="BC29" s="12" t="s">
        <v>59</v>
      </c>
      <c r="BD29" s="11"/>
    </row>
    <row r="30" spans="1:56" x14ac:dyDescent="0.15">
      <c r="A30" s="13"/>
      <c r="B30" s="9">
        <v>13</v>
      </c>
      <c r="C30" s="10">
        <v>13</v>
      </c>
      <c r="D30" s="10">
        <v>0</v>
      </c>
      <c r="E30" s="11"/>
      <c r="F30" s="11"/>
      <c r="G30" s="12" t="s">
        <v>145</v>
      </c>
      <c r="H30" s="12" t="s">
        <v>72</v>
      </c>
      <c r="I30" s="12" t="s">
        <v>85</v>
      </c>
      <c r="J30" s="12" t="s">
        <v>72</v>
      </c>
      <c r="K30" s="12" t="s">
        <v>146</v>
      </c>
      <c r="L30" s="12" t="s">
        <v>147</v>
      </c>
      <c r="M30" s="12" t="s">
        <v>80</v>
      </c>
      <c r="N30" s="12" t="s">
        <v>81</v>
      </c>
      <c r="O30" s="12" t="s">
        <v>81</v>
      </c>
      <c r="P30" s="12" t="s">
        <v>148</v>
      </c>
      <c r="Q30" s="12" t="s">
        <v>83</v>
      </c>
      <c r="R30" s="11"/>
      <c r="S30" s="11"/>
      <c r="T30" s="11"/>
      <c r="U30" s="11"/>
      <c r="V30" s="10">
        <v>0</v>
      </c>
      <c r="W30" s="10">
        <v>13</v>
      </c>
      <c r="X30" s="10">
        <v>13</v>
      </c>
      <c r="Y30" s="10">
        <v>7</v>
      </c>
      <c r="Z30" s="10">
        <v>58.378809374989899</v>
      </c>
      <c r="AA30" s="11"/>
      <c r="AB30" s="11"/>
      <c r="AC30" s="11"/>
      <c r="AD30" s="11"/>
      <c r="AE30" s="11"/>
      <c r="AF30" s="11"/>
      <c r="AG30" s="11"/>
      <c r="AH30" s="10">
        <v>58.368162208935203</v>
      </c>
      <c r="AI30" s="10">
        <v>58.378809374989899</v>
      </c>
      <c r="AJ30" s="10">
        <v>58.378809374989899</v>
      </c>
      <c r="AK30" s="10">
        <v>58.378809374989899</v>
      </c>
      <c r="AL30" s="10">
        <v>2.1263328380882701E-3</v>
      </c>
      <c r="AM30" s="10">
        <v>61.541387334000298</v>
      </c>
      <c r="AN30" s="12" t="s">
        <v>72</v>
      </c>
      <c r="AO30" s="12" t="s">
        <v>146</v>
      </c>
      <c r="AP30" s="12" t="s">
        <v>147</v>
      </c>
      <c r="AQ30" s="12" t="s">
        <v>80</v>
      </c>
      <c r="AR30" s="12" t="s">
        <v>81</v>
      </c>
      <c r="AS30" s="12" t="s">
        <v>81</v>
      </c>
      <c r="AT30" s="12" t="s">
        <v>148</v>
      </c>
      <c r="AU30" s="12" t="s">
        <v>83</v>
      </c>
      <c r="AV30" s="10">
        <v>1</v>
      </c>
      <c r="AW30" s="10">
        <v>1</v>
      </c>
      <c r="AX30" s="12" t="s">
        <v>56</v>
      </c>
      <c r="AY30" s="12" t="s">
        <v>57</v>
      </c>
      <c r="AZ30" s="11"/>
      <c r="BA30" s="12" t="s">
        <v>58</v>
      </c>
      <c r="BB30" s="10">
        <v>119.674187372156</v>
      </c>
      <c r="BC30" s="12" t="s">
        <v>59</v>
      </c>
      <c r="BD30" s="11"/>
    </row>
    <row r="31" spans="1:56" x14ac:dyDescent="0.15">
      <c r="A31" s="13"/>
      <c r="B31" s="9">
        <v>14</v>
      </c>
      <c r="C31" s="10">
        <v>14</v>
      </c>
      <c r="D31" s="10">
        <v>0</v>
      </c>
      <c r="E31" s="11"/>
      <c r="F31" s="11"/>
      <c r="G31" s="12" t="s">
        <v>149</v>
      </c>
      <c r="H31" s="12" t="s">
        <v>150</v>
      </c>
      <c r="I31" s="12" t="s">
        <v>76</v>
      </c>
      <c r="J31" s="12" t="s">
        <v>151</v>
      </c>
      <c r="K31" s="12" t="s">
        <v>152</v>
      </c>
      <c r="L31" s="12" t="s">
        <v>133</v>
      </c>
      <c r="M31" s="12" t="s">
        <v>80</v>
      </c>
      <c r="N31" s="12" t="s">
        <v>81</v>
      </c>
      <c r="O31" s="12" t="s">
        <v>81</v>
      </c>
      <c r="P31" s="12" t="s">
        <v>153</v>
      </c>
      <c r="Q31" s="12" t="s">
        <v>83</v>
      </c>
      <c r="R31" s="11"/>
      <c r="S31" s="11"/>
      <c r="T31" s="11"/>
      <c r="U31" s="11"/>
      <c r="V31" s="10">
        <v>0</v>
      </c>
      <c r="W31" s="10">
        <v>14</v>
      </c>
      <c r="X31" s="10">
        <v>14</v>
      </c>
      <c r="Y31" s="10">
        <v>15</v>
      </c>
      <c r="Z31" s="10">
        <v>61.554469084134297</v>
      </c>
      <c r="AA31" s="11"/>
      <c r="AB31" s="11"/>
      <c r="AC31" s="11"/>
      <c r="AD31" s="11"/>
      <c r="AE31" s="11"/>
      <c r="AF31" s="11"/>
      <c r="AG31" s="11"/>
      <c r="AH31" s="10">
        <v>61.543597416952302</v>
      </c>
      <c r="AI31" s="10">
        <v>61.554469084134297</v>
      </c>
      <c r="AJ31" s="10">
        <v>61.554469084134297</v>
      </c>
      <c r="AK31" s="10">
        <v>61.554469084134297</v>
      </c>
      <c r="AL31" s="10">
        <v>2.1099168807268099E-3</v>
      </c>
      <c r="AM31" s="10">
        <v>63.765454750042402</v>
      </c>
      <c r="AN31" s="12" t="s">
        <v>151</v>
      </c>
      <c r="AO31" s="12" t="s">
        <v>152</v>
      </c>
      <c r="AP31" s="12" t="s">
        <v>133</v>
      </c>
      <c r="AQ31" s="12" t="s">
        <v>80</v>
      </c>
      <c r="AR31" s="12" t="s">
        <v>81</v>
      </c>
      <c r="AS31" s="12" t="s">
        <v>81</v>
      </c>
      <c r="AT31" s="12" t="s">
        <v>153</v>
      </c>
      <c r="AU31" s="12" t="s">
        <v>83</v>
      </c>
      <c r="AV31" s="10">
        <v>1</v>
      </c>
      <c r="AW31" s="10">
        <v>1</v>
      </c>
      <c r="AX31" s="12" t="s">
        <v>56</v>
      </c>
      <c r="AY31" s="12" t="s">
        <v>57</v>
      </c>
      <c r="AZ31" s="11"/>
      <c r="BA31" s="12" t="s">
        <v>58</v>
      </c>
      <c r="BB31" s="10">
        <v>119.674187372156</v>
      </c>
      <c r="BC31" s="12" t="s">
        <v>59</v>
      </c>
      <c r="BD31" s="11"/>
    </row>
    <row r="32" spans="1:56" x14ac:dyDescent="0.15">
      <c r="A32" s="13"/>
      <c r="B32" s="9">
        <v>15</v>
      </c>
      <c r="C32" s="10">
        <v>15</v>
      </c>
      <c r="D32" s="10">
        <v>0</v>
      </c>
      <c r="E32" s="11"/>
      <c r="F32" s="11"/>
      <c r="G32" s="12" t="s">
        <v>154</v>
      </c>
      <c r="H32" s="12" t="s">
        <v>155</v>
      </c>
      <c r="I32" s="12" t="s">
        <v>85</v>
      </c>
      <c r="J32" s="12" t="s">
        <v>151</v>
      </c>
      <c r="K32" s="12" t="s">
        <v>156</v>
      </c>
      <c r="L32" s="12" t="s">
        <v>157</v>
      </c>
      <c r="M32" s="12" t="s">
        <v>80</v>
      </c>
      <c r="N32" s="12" t="s">
        <v>81</v>
      </c>
      <c r="O32" s="12" t="s">
        <v>81</v>
      </c>
      <c r="P32" s="12" t="s">
        <v>158</v>
      </c>
      <c r="Q32" s="12" t="s">
        <v>83</v>
      </c>
      <c r="R32" s="11"/>
      <c r="S32" s="11"/>
      <c r="T32" s="11"/>
      <c r="U32" s="11"/>
      <c r="V32" s="10">
        <v>0</v>
      </c>
      <c r="W32" s="10">
        <v>15</v>
      </c>
      <c r="X32" s="10">
        <v>15</v>
      </c>
      <c r="Y32" s="10">
        <v>11</v>
      </c>
      <c r="Z32" s="10">
        <v>63.7779820000287</v>
      </c>
      <c r="AA32" s="11"/>
      <c r="AB32" s="11"/>
      <c r="AC32" s="11"/>
      <c r="AD32" s="11"/>
      <c r="AE32" s="11"/>
      <c r="AF32" s="11"/>
      <c r="AG32" s="11"/>
      <c r="AH32" s="10">
        <v>63.767632917035399</v>
      </c>
      <c r="AI32" s="10">
        <v>63.7779820000287</v>
      </c>
      <c r="AJ32" s="10">
        <v>63.7779820000287</v>
      </c>
      <c r="AK32" s="10">
        <v>63.7779820000287</v>
      </c>
      <c r="AL32" s="10">
        <v>2.0903749391436599E-3</v>
      </c>
      <c r="AM32" s="10">
        <v>66.565991458948702</v>
      </c>
      <c r="AN32" s="12" t="s">
        <v>151</v>
      </c>
      <c r="AO32" s="12" t="s">
        <v>156</v>
      </c>
      <c r="AP32" s="12" t="s">
        <v>157</v>
      </c>
      <c r="AQ32" s="12" t="s">
        <v>80</v>
      </c>
      <c r="AR32" s="12" t="s">
        <v>81</v>
      </c>
      <c r="AS32" s="12" t="s">
        <v>81</v>
      </c>
      <c r="AT32" s="12" t="s">
        <v>158</v>
      </c>
      <c r="AU32" s="12" t="s">
        <v>83</v>
      </c>
      <c r="AV32" s="10">
        <v>1</v>
      </c>
      <c r="AW32" s="10">
        <v>1</v>
      </c>
      <c r="AX32" s="12" t="s">
        <v>56</v>
      </c>
      <c r="AY32" s="12" t="s">
        <v>57</v>
      </c>
      <c r="AZ32" s="11"/>
      <c r="BA32" s="12" t="s">
        <v>58</v>
      </c>
      <c r="BB32" s="10">
        <v>119.674187372156</v>
      </c>
      <c r="BC32" s="12" t="s">
        <v>59</v>
      </c>
      <c r="BD32" s="11"/>
    </row>
    <row r="33" spans="1:56" x14ac:dyDescent="0.15">
      <c r="A33" s="13"/>
      <c r="B33" s="9">
        <v>16</v>
      </c>
      <c r="C33" s="10">
        <v>16</v>
      </c>
      <c r="D33" s="10">
        <v>0</v>
      </c>
      <c r="E33" s="11"/>
      <c r="F33" s="11"/>
      <c r="G33" s="12" t="s">
        <v>159</v>
      </c>
      <c r="H33" s="12" t="s">
        <v>160</v>
      </c>
      <c r="I33" s="12" t="s">
        <v>76</v>
      </c>
      <c r="J33" s="12" t="s">
        <v>161</v>
      </c>
      <c r="K33" s="12" t="s">
        <v>162</v>
      </c>
      <c r="L33" s="12" t="s">
        <v>100</v>
      </c>
      <c r="M33" s="12" t="s">
        <v>80</v>
      </c>
      <c r="N33" s="12" t="s">
        <v>81</v>
      </c>
      <c r="O33" s="12" t="s">
        <v>81</v>
      </c>
      <c r="P33" s="12" t="s">
        <v>163</v>
      </c>
      <c r="Q33" s="12" t="s">
        <v>83</v>
      </c>
      <c r="R33" s="11"/>
      <c r="S33" s="11"/>
      <c r="T33" s="11"/>
      <c r="U33" s="11"/>
      <c r="V33" s="10">
        <v>0</v>
      </c>
      <c r="W33" s="10">
        <v>16</v>
      </c>
      <c r="X33" s="10">
        <v>16</v>
      </c>
      <c r="Y33" s="10">
        <v>18</v>
      </c>
      <c r="Z33" s="10">
        <v>66.577567750122398</v>
      </c>
      <c r="AA33" s="11"/>
      <c r="AB33" s="11"/>
      <c r="AC33" s="11"/>
      <c r="AD33" s="11"/>
      <c r="AE33" s="11"/>
      <c r="AF33" s="11"/>
      <c r="AG33" s="11"/>
      <c r="AH33" s="10">
        <v>66.567966083995998</v>
      </c>
      <c r="AI33" s="10">
        <v>66.577567750122398</v>
      </c>
      <c r="AJ33" s="10">
        <v>66.577567750122398</v>
      </c>
      <c r="AK33" s="10">
        <v>66.577567750122398</v>
      </c>
      <c r="AL33" s="10">
        <v>1.88350002281368E-3</v>
      </c>
      <c r="AM33" s="10">
        <v>69.083099958952502</v>
      </c>
      <c r="AN33" s="12" t="s">
        <v>161</v>
      </c>
      <c r="AO33" s="12" t="s">
        <v>162</v>
      </c>
      <c r="AP33" s="12" t="s">
        <v>100</v>
      </c>
      <c r="AQ33" s="12" t="s">
        <v>80</v>
      </c>
      <c r="AR33" s="12" t="s">
        <v>81</v>
      </c>
      <c r="AS33" s="12" t="s">
        <v>81</v>
      </c>
      <c r="AT33" s="12" t="s">
        <v>163</v>
      </c>
      <c r="AU33" s="12" t="s">
        <v>83</v>
      </c>
      <c r="AV33" s="10">
        <v>1</v>
      </c>
      <c r="AW33" s="10">
        <v>1</v>
      </c>
      <c r="AX33" s="12" t="s">
        <v>56</v>
      </c>
      <c r="AY33" s="12" t="s">
        <v>57</v>
      </c>
      <c r="AZ33" s="11"/>
      <c r="BA33" s="12" t="s">
        <v>58</v>
      </c>
      <c r="BB33" s="10">
        <v>119.674187372156</v>
      </c>
      <c r="BC33" s="12" t="s">
        <v>59</v>
      </c>
      <c r="BD33" s="11"/>
    </row>
    <row r="34" spans="1:56" x14ac:dyDescent="0.15">
      <c r="A34" s="13"/>
      <c r="B34" s="9">
        <v>17</v>
      </c>
      <c r="C34" s="10">
        <v>17</v>
      </c>
      <c r="D34" s="10">
        <v>0</v>
      </c>
      <c r="E34" s="11"/>
      <c r="F34" s="11"/>
      <c r="G34" s="12" t="s">
        <v>164</v>
      </c>
      <c r="H34" s="12" t="s">
        <v>165</v>
      </c>
      <c r="I34" s="12" t="s">
        <v>76</v>
      </c>
      <c r="J34" s="12" t="s">
        <v>166</v>
      </c>
      <c r="K34" s="12" t="s">
        <v>167</v>
      </c>
      <c r="L34" s="12" t="s">
        <v>168</v>
      </c>
      <c r="M34" s="12" t="s">
        <v>80</v>
      </c>
      <c r="N34" s="12" t="s">
        <v>81</v>
      </c>
      <c r="O34" s="12" t="s">
        <v>81</v>
      </c>
      <c r="P34" s="12" t="s">
        <v>169</v>
      </c>
      <c r="Q34" s="12" t="s">
        <v>83</v>
      </c>
      <c r="R34" s="11"/>
      <c r="S34" s="11"/>
      <c r="T34" s="11"/>
      <c r="U34" s="11"/>
      <c r="V34" s="10">
        <v>0</v>
      </c>
      <c r="W34" s="10">
        <v>17</v>
      </c>
      <c r="X34" s="10">
        <v>17</v>
      </c>
      <c r="Y34" s="10">
        <v>19</v>
      </c>
      <c r="Z34" s="10">
        <v>69.094958625035403</v>
      </c>
      <c r="AA34" s="11"/>
      <c r="AB34" s="11"/>
      <c r="AC34" s="11"/>
      <c r="AD34" s="11"/>
      <c r="AE34" s="11"/>
      <c r="AF34" s="11"/>
      <c r="AG34" s="11"/>
      <c r="AH34" s="10">
        <v>69.085306459106505</v>
      </c>
      <c r="AI34" s="10">
        <v>69.094958625035403</v>
      </c>
      <c r="AJ34" s="10">
        <v>69.094958625035403</v>
      </c>
      <c r="AK34" s="10">
        <v>69.094958625035403</v>
      </c>
      <c r="AL34" s="10">
        <v>2.10383301600814E-3</v>
      </c>
      <c r="AM34" s="10">
        <v>72.0665367920883</v>
      </c>
      <c r="AN34" s="12" t="s">
        <v>166</v>
      </c>
      <c r="AO34" s="12" t="s">
        <v>167</v>
      </c>
      <c r="AP34" s="12" t="s">
        <v>168</v>
      </c>
      <c r="AQ34" s="12" t="s">
        <v>80</v>
      </c>
      <c r="AR34" s="12" t="s">
        <v>81</v>
      </c>
      <c r="AS34" s="12" t="s">
        <v>81</v>
      </c>
      <c r="AT34" s="12" t="s">
        <v>169</v>
      </c>
      <c r="AU34" s="12" t="s">
        <v>83</v>
      </c>
      <c r="AV34" s="10">
        <v>1</v>
      </c>
      <c r="AW34" s="10">
        <v>1</v>
      </c>
      <c r="AX34" s="12" t="s">
        <v>56</v>
      </c>
      <c r="AY34" s="12" t="s">
        <v>57</v>
      </c>
      <c r="AZ34" s="11"/>
      <c r="BA34" s="12" t="s">
        <v>58</v>
      </c>
      <c r="BB34" s="10">
        <v>119.674187372156</v>
      </c>
      <c r="BC34" s="12" t="s">
        <v>59</v>
      </c>
      <c r="BD34" s="11"/>
    </row>
    <row r="35" spans="1:56" x14ac:dyDescent="0.15">
      <c r="A35" s="13"/>
      <c r="B35" s="9">
        <v>18</v>
      </c>
      <c r="C35" s="10">
        <v>18</v>
      </c>
      <c r="D35" s="10">
        <v>0</v>
      </c>
      <c r="E35" s="11"/>
      <c r="F35" s="11"/>
      <c r="G35" s="12" t="s">
        <v>170</v>
      </c>
      <c r="H35" s="12" t="s">
        <v>65</v>
      </c>
      <c r="I35" s="12" t="s">
        <v>85</v>
      </c>
      <c r="J35" s="12" t="s">
        <v>65</v>
      </c>
      <c r="K35" s="12" t="s">
        <v>171</v>
      </c>
      <c r="L35" s="12" t="s">
        <v>172</v>
      </c>
      <c r="M35" s="12" t="s">
        <v>80</v>
      </c>
      <c r="N35" s="12" t="s">
        <v>81</v>
      </c>
      <c r="O35" s="12" t="s">
        <v>81</v>
      </c>
      <c r="P35" s="12" t="s">
        <v>173</v>
      </c>
      <c r="Q35" s="12" t="s">
        <v>83</v>
      </c>
      <c r="R35" s="11"/>
      <c r="S35" s="11"/>
      <c r="T35" s="11"/>
      <c r="U35" s="11"/>
      <c r="V35" s="10">
        <v>0</v>
      </c>
      <c r="W35" s="10">
        <v>18</v>
      </c>
      <c r="X35" s="10">
        <v>18</v>
      </c>
      <c r="Y35" s="10">
        <v>4</v>
      </c>
      <c r="Z35" s="10">
        <v>72.078573917038696</v>
      </c>
      <c r="AA35" s="11"/>
      <c r="AB35" s="11"/>
      <c r="AC35" s="11"/>
      <c r="AD35" s="11"/>
      <c r="AE35" s="11"/>
      <c r="AF35" s="11"/>
      <c r="AG35" s="11"/>
      <c r="AH35" s="10">
        <v>72.069015084067402</v>
      </c>
      <c r="AI35" s="10">
        <v>72.078573917038696</v>
      </c>
      <c r="AJ35" s="10">
        <v>72.078573917038696</v>
      </c>
      <c r="AK35" s="10">
        <v>72.078573917038696</v>
      </c>
      <c r="AL35" s="10">
        <v>2.3795829620212299E-3</v>
      </c>
      <c r="AM35" s="10">
        <v>74.948580959113301</v>
      </c>
      <c r="AN35" s="12" t="s">
        <v>65</v>
      </c>
      <c r="AO35" s="12" t="s">
        <v>171</v>
      </c>
      <c r="AP35" s="12" t="s">
        <v>172</v>
      </c>
      <c r="AQ35" s="12" t="s">
        <v>80</v>
      </c>
      <c r="AR35" s="12" t="s">
        <v>81</v>
      </c>
      <c r="AS35" s="12" t="s">
        <v>81</v>
      </c>
      <c r="AT35" s="12" t="s">
        <v>173</v>
      </c>
      <c r="AU35" s="12" t="s">
        <v>83</v>
      </c>
      <c r="AV35" s="10">
        <v>1</v>
      </c>
      <c r="AW35" s="10">
        <v>1</v>
      </c>
      <c r="AX35" s="12" t="s">
        <v>56</v>
      </c>
      <c r="AY35" s="12" t="s">
        <v>57</v>
      </c>
      <c r="AZ35" s="11"/>
      <c r="BA35" s="12" t="s">
        <v>58</v>
      </c>
      <c r="BB35" s="10">
        <v>119.674187372156</v>
      </c>
      <c r="BC35" s="12" t="s">
        <v>59</v>
      </c>
      <c r="BD35" s="11"/>
    </row>
    <row r="36" spans="1:56" x14ac:dyDescent="0.15">
      <c r="A36" s="13"/>
      <c r="B36" s="9">
        <v>19</v>
      </c>
      <c r="C36" s="10">
        <v>19</v>
      </c>
      <c r="D36" s="10">
        <v>0</v>
      </c>
      <c r="E36" s="11"/>
      <c r="F36" s="11"/>
      <c r="G36" s="12" t="s">
        <v>174</v>
      </c>
      <c r="H36" s="12" t="s">
        <v>175</v>
      </c>
      <c r="I36" s="12" t="s">
        <v>76</v>
      </c>
      <c r="J36" s="12" t="s">
        <v>176</v>
      </c>
      <c r="K36" s="12" t="s">
        <v>177</v>
      </c>
      <c r="L36" s="12" t="s">
        <v>105</v>
      </c>
      <c r="M36" s="12" t="s">
        <v>80</v>
      </c>
      <c r="N36" s="12" t="s">
        <v>81</v>
      </c>
      <c r="O36" s="12" t="s">
        <v>81</v>
      </c>
      <c r="P36" s="12" t="s">
        <v>178</v>
      </c>
      <c r="Q36" s="12" t="s">
        <v>83</v>
      </c>
      <c r="R36" s="11"/>
      <c r="S36" s="11"/>
      <c r="T36" s="11"/>
      <c r="U36" s="11"/>
      <c r="V36" s="10">
        <v>0</v>
      </c>
      <c r="W36" s="10">
        <v>19</v>
      </c>
      <c r="X36" s="10">
        <v>19</v>
      </c>
      <c r="Y36" s="10">
        <v>16</v>
      </c>
      <c r="Z36" s="10">
        <v>74.961473417002694</v>
      </c>
      <c r="AA36" s="11"/>
      <c r="AB36" s="11"/>
      <c r="AC36" s="11"/>
      <c r="AD36" s="11"/>
      <c r="AE36" s="11"/>
      <c r="AF36" s="11"/>
      <c r="AG36" s="11"/>
      <c r="AH36" s="10">
        <v>74.950778292026399</v>
      </c>
      <c r="AI36" s="10">
        <v>74.961473417002694</v>
      </c>
      <c r="AJ36" s="10">
        <v>74.961473417002694</v>
      </c>
      <c r="AK36" s="10">
        <v>74.961473417002694</v>
      </c>
      <c r="AL36" s="10">
        <v>2.1075000986456901E-3</v>
      </c>
      <c r="AM36" s="10">
        <v>77.483568958938093</v>
      </c>
      <c r="AN36" s="12" t="s">
        <v>176</v>
      </c>
      <c r="AO36" s="12" t="s">
        <v>177</v>
      </c>
      <c r="AP36" s="12" t="s">
        <v>105</v>
      </c>
      <c r="AQ36" s="12" t="s">
        <v>80</v>
      </c>
      <c r="AR36" s="12" t="s">
        <v>81</v>
      </c>
      <c r="AS36" s="12" t="s">
        <v>81</v>
      </c>
      <c r="AT36" s="12" t="s">
        <v>178</v>
      </c>
      <c r="AU36" s="12" t="s">
        <v>83</v>
      </c>
      <c r="AV36" s="10">
        <v>1</v>
      </c>
      <c r="AW36" s="10">
        <v>1</v>
      </c>
      <c r="AX36" s="12" t="s">
        <v>56</v>
      </c>
      <c r="AY36" s="12" t="s">
        <v>57</v>
      </c>
      <c r="AZ36" s="11"/>
      <c r="BA36" s="12" t="s">
        <v>58</v>
      </c>
      <c r="BB36" s="10">
        <v>119.674187372156</v>
      </c>
      <c r="BC36" s="12" t="s">
        <v>59</v>
      </c>
      <c r="BD36" s="11"/>
    </row>
    <row r="41" spans="1:56" ht="14" x14ac:dyDescent="0.15">
      <c r="G41" s="16" t="s">
        <v>278</v>
      </c>
      <c r="H41" s="15">
        <v>14</v>
      </c>
      <c r="I41" s="15">
        <f>14/15</f>
        <v>0.93333333333333335</v>
      </c>
    </row>
    <row r="42" spans="1:56" ht="14" x14ac:dyDescent="0.15">
      <c r="G42" s="16" t="s">
        <v>279</v>
      </c>
      <c r="H42" s="15">
        <v>5</v>
      </c>
      <c r="I42" s="17">
        <f>5/5</f>
        <v>1</v>
      </c>
    </row>
    <row r="43" spans="1:56" x14ac:dyDescent="0.15">
      <c r="G43" s="16"/>
      <c r="H43" s="15"/>
      <c r="I43" s="15"/>
    </row>
    <row r="44" spans="1:56" ht="14" x14ac:dyDescent="0.15">
      <c r="G44" s="16" t="s">
        <v>280</v>
      </c>
      <c r="H44" s="15"/>
      <c r="I44" s="15">
        <f>I41-I42</f>
        <v>-6.6666666666666652E-2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6E19-E279-6E40-A7F8-A39068FE367C}">
  <dimension ref="A1:BD43"/>
  <sheetViews>
    <sheetView workbookViewId="0">
      <selection activeCell="K20" sqref="K20"/>
    </sheetView>
  </sheetViews>
  <sheetFormatPr baseColWidth="10" defaultRowHeight="13" x14ac:dyDescent="0.15"/>
  <cols>
    <col min="7" max="7" width="28.83203125" customWidth="1"/>
    <col min="8" max="8" width="11" customWidth="1"/>
  </cols>
  <sheetData>
    <row r="1" spans="1:5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/>
    </row>
    <row r="2" spans="1:56" x14ac:dyDescent="0.15">
      <c r="A2" s="3" t="s">
        <v>71</v>
      </c>
      <c r="B2" s="4">
        <v>0</v>
      </c>
      <c r="C2" s="5">
        <v>0</v>
      </c>
      <c r="D2" s="5">
        <v>0</v>
      </c>
      <c r="E2" s="5">
        <v>1.99555555555556</v>
      </c>
      <c r="F2" s="5">
        <v>2.0881465419661298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5">
        <v>0</v>
      </c>
      <c r="S2" s="5">
        <v>0</v>
      </c>
      <c r="T2" s="5">
        <v>0</v>
      </c>
      <c r="U2" s="5">
        <v>8</v>
      </c>
      <c r="V2" s="6"/>
      <c r="W2" s="6"/>
      <c r="X2" s="6"/>
      <c r="Y2" s="6"/>
      <c r="Z2" s="5">
        <v>6.1644250061363003E-2</v>
      </c>
      <c r="AA2" s="6"/>
      <c r="AB2" s="5">
        <v>3.7745082983747097E-2</v>
      </c>
      <c r="AC2" s="5">
        <v>6.1644250061363003E-2</v>
      </c>
      <c r="AD2" s="5">
        <v>6.1644250061363003E-2</v>
      </c>
      <c r="AE2" s="5">
        <v>2.1353442920371899</v>
      </c>
      <c r="AF2" s="5">
        <v>1.99555555555556</v>
      </c>
      <c r="AG2" s="5">
        <v>2.0881465419661298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5">
        <v>2</v>
      </c>
      <c r="AW2" s="5">
        <v>1</v>
      </c>
      <c r="AX2" s="7" t="s">
        <v>179</v>
      </c>
      <c r="AY2" s="7" t="s">
        <v>57</v>
      </c>
      <c r="AZ2" s="6"/>
      <c r="BA2" s="7" t="s">
        <v>58</v>
      </c>
      <c r="BB2" s="5">
        <v>120.393203665287</v>
      </c>
      <c r="BC2" s="7" t="s">
        <v>180</v>
      </c>
      <c r="BD2" s="6"/>
    </row>
    <row r="3" spans="1:56" x14ac:dyDescent="0.15">
      <c r="A3" s="8" t="s">
        <v>60</v>
      </c>
      <c r="B3" s="9">
        <v>1</v>
      </c>
      <c r="C3" s="10">
        <v>1</v>
      </c>
      <c r="D3" s="10">
        <v>0</v>
      </c>
      <c r="E3" s="10">
        <v>1.99555555555556</v>
      </c>
      <c r="F3" s="10">
        <v>0.98060312494635604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>
        <v>0</v>
      </c>
      <c r="S3" s="10">
        <v>1</v>
      </c>
      <c r="T3" s="10">
        <v>1</v>
      </c>
      <c r="U3" s="10">
        <v>3</v>
      </c>
      <c r="V3" s="11"/>
      <c r="W3" s="11"/>
      <c r="X3" s="11"/>
      <c r="Y3" s="11"/>
      <c r="Z3" s="10">
        <v>2.14888112503104</v>
      </c>
      <c r="AA3" s="11"/>
      <c r="AB3" s="10">
        <v>2.1391264579724498</v>
      </c>
      <c r="AC3" s="10">
        <v>2.14888112503104</v>
      </c>
      <c r="AD3" s="10">
        <v>2.14888112503104</v>
      </c>
      <c r="AE3" s="10">
        <v>3.1328617080580399</v>
      </c>
      <c r="AF3" s="10">
        <v>1.99555555555556</v>
      </c>
      <c r="AG3" s="10">
        <v>0.98060312494635604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0">
        <v>2</v>
      </c>
      <c r="AW3" s="10">
        <v>1</v>
      </c>
      <c r="AX3" s="12" t="s">
        <v>179</v>
      </c>
      <c r="AY3" s="12" t="s">
        <v>57</v>
      </c>
      <c r="AZ3" s="11"/>
      <c r="BA3" s="12" t="s">
        <v>58</v>
      </c>
      <c r="BB3" s="10">
        <v>120.393203665287</v>
      </c>
      <c r="BC3" s="12" t="s">
        <v>180</v>
      </c>
      <c r="BD3" s="11"/>
    </row>
    <row r="4" spans="1:56" x14ac:dyDescent="0.15">
      <c r="A4" s="8" t="s">
        <v>69</v>
      </c>
      <c r="B4" s="9">
        <v>2</v>
      </c>
      <c r="C4" s="10">
        <v>2</v>
      </c>
      <c r="D4" s="10">
        <v>0</v>
      </c>
      <c r="E4" s="10">
        <v>1.06222222222222</v>
      </c>
      <c r="F4" s="10">
        <v>1.05044024996459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0">
        <v>0</v>
      </c>
      <c r="S4" s="10">
        <v>2</v>
      </c>
      <c r="T4" s="10">
        <v>2</v>
      </c>
      <c r="U4" s="10">
        <v>5</v>
      </c>
      <c r="V4" s="11"/>
      <c r="W4" s="11"/>
      <c r="X4" s="11"/>
      <c r="Y4" s="11"/>
      <c r="Z4" s="10">
        <v>3.14512004214339</v>
      </c>
      <c r="AA4" s="11"/>
      <c r="AB4" s="10">
        <v>3.1365125000011198</v>
      </c>
      <c r="AC4" s="10">
        <v>3.14512004214339</v>
      </c>
      <c r="AD4" s="10">
        <v>3.14512004214339</v>
      </c>
      <c r="AE4" s="10">
        <v>4.1992022080812603</v>
      </c>
      <c r="AF4" s="10">
        <v>1.06222222222222</v>
      </c>
      <c r="AG4" s="10">
        <v>1.05044024996459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0">
        <v>2</v>
      </c>
      <c r="AW4" s="10">
        <v>1</v>
      </c>
      <c r="AX4" s="12" t="s">
        <v>179</v>
      </c>
      <c r="AY4" s="12" t="s">
        <v>57</v>
      </c>
      <c r="AZ4" s="11"/>
      <c r="BA4" s="12" t="s">
        <v>58</v>
      </c>
      <c r="BB4" s="10">
        <v>120.393203665287</v>
      </c>
      <c r="BC4" s="12" t="s">
        <v>180</v>
      </c>
      <c r="BD4" s="11"/>
    </row>
    <row r="5" spans="1:56" x14ac:dyDescent="0.15">
      <c r="A5" s="8" t="s">
        <v>64</v>
      </c>
      <c r="B5" s="9">
        <v>3</v>
      </c>
      <c r="C5" s="10">
        <v>3</v>
      </c>
      <c r="D5" s="10">
        <v>0</v>
      </c>
      <c r="E5" s="10">
        <v>1.06222222222222</v>
      </c>
      <c r="F5" s="10">
        <v>1.6059265830554099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0">
        <v>0</v>
      </c>
      <c r="S5" s="10">
        <v>3</v>
      </c>
      <c r="T5" s="10">
        <v>3</v>
      </c>
      <c r="U5" s="10">
        <v>1</v>
      </c>
      <c r="V5" s="11"/>
      <c r="W5" s="11"/>
      <c r="X5" s="11"/>
      <c r="Y5" s="11"/>
      <c r="Z5" s="10">
        <v>4.21208904217929</v>
      </c>
      <c r="AA5" s="11"/>
      <c r="AB5" s="10">
        <v>4.2030585000757101</v>
      </c>
      <c r="AC5" s="10">
        <v>4.21208904217929</v>
      </c>
      <c r="AD5" s="10">
        <v>4.21208904217929</v>
      </c>
      <c r="AE5" s="10">
        <v>5.8183473751414603</v>
      </c>
      <c r="AF5" s="10">
        <v>1.06222222222222</v>
      </c>
      <c r="AG5" s="10">
        <v>1.6059265830554099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0">
        <v>2</v>
      </c>
      <c r="AW5" s="10">
        <v>1</v>
      </c>
      <c r="AX5" s="12" t="s">
        <v>179</v>
      </c>
      <c r="AY5" s="12" t="s">
        <v>57</v>
      </c>
      <c r="AZ5" s="11"/>
      <c r="BA5" s="12" t="s">
        <v>58</v>
      </c>
      <c r="BB5" s="10">
        <v>120.393203665287</v>
      </c>
      <c r="BC5" s="12" t="s">
        <v>180</v>
      </c>
      <c r="BD5" s="11"/>
    </row>
    <row r="6" spans="1:56" x14ac:dyDescent="0.15">
      <c r="A6" s="8" t="s">
        <v>68</v>
      </c>
      <c r="B6" s="9">
        <v>4</v>
      </c>
      <c r="C6" s="10">
        <v>4</v>
      </c>
      <c r="D6" s="10">
        <v>0</v>
      </c>
      <c r="E6" s="10">
        <v>1.06222222222222</v>
      </c>
      <c r="F6" s="10">
        <v>0.55613925005309295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0">
        <v>0</v>
      </c>
      <c r="S6" s="10">
        <v>4</v>
      </c>
      <c r="T6" s="10">
        <v>4</v>
      </c>
      <c r="U6" s="10">
        <v>10</v>
      </c>
      <c r="V6" s="11"/>
      <c r="W6" s="11"/>
      <c r="X6" s="11"/>
      <c r="Y6" s="11"/>
      <c r="Z6" s="10">
        <v>5.8320962500292799</v>
      </c>
      <c r="AA6" s="11"/>
      <c r="AB6" s="10">
        <v>5.8205828331410903</v>
      </c>
      <c r="AC6" s="10">
        <v>5.8320962500292799</v>
      </c>
      <c r="AD6" s="10">
        <v>5.8320962500292799</v>
      </c>
      <c r="AE6" s="10">
        <v>6.3863033330999297</v>
      </c>
      <c r="AF6" s="10">
        <v>1.06222222222222</v>
      </c>
      <c r="AG6" s="10">
        <v>0.55613925005309295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0">
        <v>2</v>
      </c>
      <c r="AW6" s="10">
        <v>1</v>
      </c>
      <c r="AX6" s="12" t="s">
        <v>179</v>
      </c>
      <c r="AY6" s="12" t="s">
        <v>57</v>
      </c>
      <c r="AZ6" s="11"/>
      <c r="BA6" s="12" t="s">
        <v>58</v>
      </c>
      <c r="BB6" s="10">
        <v>120.393203665287</v>
      </c>
      <c r="BC6" s="12" t="s">
        <v>180</v>
      </c>
      <c r="BD6" s="11"/>
    </row>
    <row r="7" spans="1:56" x14ac:dyDescent="0.15">
      <c r="A7" s="8" t="s">
        <v>65</v>
      </c>
      <c r="B7" s="9">
        <v>5</v>
      </c>
      <c r="C7" s="10">
        <v>5</v>
      </c>
      <c r="D7" s="10">
        <v>0</v>
      </c>
      <c r="E7" s="10">
        <v>1.06222222222222</v>
      </c>
      <c r="F7" s="10">
        <v>0.51526500005275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0">
        <v>0</v>
      </c>
      <c r="S7" s="10">
        <v>5</v>
      </c>
      <c r="T7" s="10">
        <v>5</v>
      </c>
      <c r="U7" s="10">
        <v>9</v>
      </c>
      <c r="V7" s="11"/>
      <c r="W7" s="11"/>
      <c r="X7" s="11"/>
      <c r="Y7" s="11"/>
      <c r="Z7" s="10">
        <v>6.3998691251035797</v>
      </c>
      <c r="AA7" s="11"/>
      <c r="AB7" s="10">
        <v>6.3899194169789597</v>
      </c>
      <c r="AC7" s="10">
        <v>6.3998691251035797</v>
      </c>
      <c r="AD7" s="10">
        <v>6.3998691251035797</v>
      </c>
      <c r="AE7" s="10">
        <v>6.9152180000673997</v>
      </c>
      <c r="AF7" s="10">
        <v>1.06222222222222</v>
      </c>
      <c r="AG7" s="10">
        <v>0.51526500005275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0">
        <v>2</v>
      </c>
      <c r="AW7" s="10">
        <v>1</v>
      </c>
      <c r="AX7" s="12" t="s">
        <v>179</v>
      </c>
      <c r="AY7" s="12" t="s">
        <v>57</v>
      </c>
      <c r="AZ7" s="11"/>
      <c r="BA7" s="12" t="s">
        <v>58</v>
      </c>
      <c r="BB7" s="10">
        <v>120.393203665287</v>
      </c>
      <c r="BC7" s="12" t="s">
        <v>180</v>
      </c>
      <c r="BD7" s="11"/>
    </row>
    <row r="8" spans="1:56" x14ac:dyDescent="0.15">
      <c r="A8" s="8" t="s">
        <v>66</v>
      </c>
      <c r="B8" s="9">
        <v>6</v>
      </c>
      <c r="C8" s="10">
        <v>6</v>
      </c>
      <c r="D8" s="10">
        <v>0</v>
      </c>
      <c r="E8" s="10">
        <v>1.06222222222222</v>
      </c>
      <c r="F8" s="10">
        <v>0.51608149986714102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0">
        <v>0</v>
      </c>
      <c r="S8" s="10">
        <v>6</v>
      </c>
      <c r="T8" s="10">
        <v>6</v>
      </c>
      <c r="U8" s="10">
        <v>6</v>
      </c>
      <c r="V8" s="11"/>
      <c r="W8" s="11"/>
      <c r="X8" s="11"/>
      <c r="Y8" s="11"/>
      <c r="Z8" s="10">
        <v>6.9258229171391603</v>
      </c>
      <c r="AA8" s="11"/>
      <c r="AB8" s="10">
        <v>6.9174037920311102</v>
      </c>
      <c r="AC8" s="10">
        <v>6.9258229171391603</v>
      </c>
      <c r="AD8" s="10">
        <v>6.9258229171391603</v>
      </c>
      <c r="AE8" s="10">
        <v>7.4426390421576798</v>
      </c>
      <c r="AF8" s="10">
        <v>1.06222222222222</v>
      </c>
      <c r="AG8" s="10">
        <v>0.51608149986714102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0">
        <v>2</v>
      </c>
      <c r="AW8" s="10">
        <v>1</v>
      </c>
      <c r="AX8" s="12" t="s">
        <v>179</v>
      </c>
      <c r="AY8" s="12" t="s">
        <v>57</v>
      </c>
      <c r="AZ8" s="11"/>
      <c r="BA8" s="12" t="s">
        <v>58</v>
      </c>
      <c r="BB8" s="10">
        <v>120.393203665287</v>
      </c>
      <c r="BC8" s="12" t="s">
        <v>180</v>
      </c>
      <c r="BD8" s="11"/>
    </row>
    <row r="9" spans="1:56" x14ac:dyDescent="0.15">
      <c r="A9" s="8" t="s">
        <v>55</v>
      </c>
      <c r="B9" s="9">
        <v>7</v>
      </c>
      <c r="C9" s="10">
        <v>7</v>
      </c>
      <c r="D9" s="10">
        <v>0</v>
      </c>
      <c r="E9" s="10">
        <v>1.06222222222222</v>
      </c>
      <c r="F9" s="10">
        <v>0.54356637503951799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>
        <v>0</v>
      </c>
      <c r="S9" s="10">
        <v>7</v>
      </c>
      <c r="T9" s="10">
        <v>7</v>
      </c>
      <c r="U9" s="10">
        <v>0</v>
      </c>
      <c r="V9" s="11"/>
      <c r="W9" s="11"/>
      <c r="X9" s="11"/>
      <c r="Y9" s="11"/>
      <c r="Z9" s="10">
        <v>7.4538086671382198</v>
      </c>
      <c r="AA9" s="11"/>
      <c r="AB9" s="10">
        <v>7.4446847501676503</v>
      </c>
      <c r="AC9" s="10">
        <v>7.4538086671382198</v>
      </c>
      <c r="AD9" s="10">
        <v>7.4538086671382198</v>
      </c>
      <c r="AE9" s="10">
        <v>7.9991886250209099</v>
      </c>
      <c r="AF9" s="10">
        <v>1.06222222222222</v>
      </c>
      <c r="AG9" s="10">
        <v>0.54356637503951799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0">
        <v>2</v>
      </c>
      <c r="AW9" s="10">
        <v>1</v>
      </c>
      <c r="AX9" s="12" t="s">
        <v>179</v>
      </c>
      <c r="AY9" s="12" t="s">
        <v>57</v>
      </c>
      <c r="AZ9" s="11"/>
      <c r="BA9" s="12" t="s">
        <v>58</v>
      </c>
      <c r="BB9" s="10">
        <v>120.393203665287</v>
      </c>
      <c r="BC9" s="12" t="s">
        <v>180</v>
      </c>
      <c r="BD9" s="11"/>
    </row>
    <row r="10" spans="1:56" x14ac:dyDescent="0.15">
      <c r="A10" s="8" t="s">
        <v>62</v>
      </c>
      <c r="B10" s="9">
        <v>8</v>
      </c>
      <c r="C10" s="10">
        <v>8</v>
      </c>
      <c r="D10" s="10">
        <v>0</v>
      </c>
      <c r="E10" s="10">
        <v>2.0533333333333301</v>
      </c>
      <c r="F10" s="10">
        <v>1.4251577081158799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0">
        <v>0</v>
      </c>
      <c r="S10" s="10">
        <v>8</v>
      </c>
      <c r="T10" s="10">
        <v>8</v>
      </c>
      <c r="U10" s="10">
        <v>11</v>
      </c>
      <c r="V10" s="11"/>
      <c r="W10" s="11"/>
      <c r="X10" s="11"/>
      <c r="Y10" s="11"/>
      <c r="Z10" s="10">
        <v>8.0113435829989594</v>
      </c>
      <c r="AA10" s="11"/>
      <c r="AB10" s="10">
        <v>8.0017303330823797</v>
      </c>
      <c r="AC10" s="10">
        <v>8.0113435829989594</v>
      </c>
      <c r="AD10" s="10">
        <v>8.0113435829989594</v>
      </c>
      <c r="AE10" s="10">
        <v>9.4363718749955297</v>
      </c>
      <c r="AF10" s="10">
        <v>2.0533333333333301</v>
      </c>
      <c r="AG10" s="10">
        <v>1.4251577081158799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0">
        <v>2</v>
      </c>
      <c r="AW10" s="10">
        <v>1</v>
      </c>
      <c r="AX10" s="12" t="s">
        <v>179</v>
      </c>
      <c r="AY10" s="12" t="s">
        <v>57</v>
      </c>
      <c r="AZ10" s="11"/>
      <c r="BA10" s="12" t="s">
        <v>58</v>
      </c>
      <c r="BB10" s="10">
        <v>120.393203665287</v>
      </c>
      <c r="BC10" s="12" t="s">
        <v>180</v>
      </c>
      <c r="BD10" s="11"/>
    </row>
    <row r="11" spans="1:56" x14ac:dyDescent="0.15">
      <c r="A11" s="8" t="s">
        <v>73</v>
      </c>
      <c r="B11" s="9">
        <v>9</v>
      </c>
      <c r="C11" s="10">
        <v>9</v>
      </c>
      <c r="D11" s="10">
        <v>0</v>
      </c>
      <c r="E11" s="10">
        <v>1</v>
      </c>
      <c r="F11" s="10">
        <v>1.0303685830440401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>
        <v>0</v>
      </c>
      <c r="S11" s="10">
        <v>9</v>
      </c>
      <c r="T11" s="10">
        <v>9</v>
      </c>
      <c r="U11" s="10">
        <v>13</v>
      </c>
      <c r="V11" s="11"/>
      <c r="W11" s="11"/>
      <c r="X11" s="11"/>
      <c r="Y11" s="11"/>
      <c r="Z11" s="10">
        <v>9.4491211250424403</v>
      </c>
      <c r="AA11" s="11"/>
      <c r="AB11" s="10">
        <v>9.4393412501085603</v>
      </c>
      <c r="AC11" s="10">
        <v>9.4491211250424403</v>
      </c>
      <c r="AD11" s="10">
        <v>9.4491211250424403</v>
      </c>
      <c r="AE11" s="10">
        <v>10.4826873331331</v>
      </c>
      <c r="AF11" s="10">
        <v>1</v>
      </c>
      <c r="AG11" s="10">
        <v>1.0303685830440401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0">
        <v>2</v>
      </c>
      <c r="AW11" s="10">
        <v>1</v>
      </c>
      <c r="AX11" s="12" t="s">
        <v>179</v>
      </c>
      <c r="AY11" s="12" t="s">
        <v>57</v>
      </c>
      <c r="AZ11" s="11"/>
      <c r="BA11" s="12" t="s">
        <v>58</v>
      </c>
      <c r="BB11" s="10">
        <v>120.393203665287</v>
      </c>
      <c r="BC11" s="12" t="s">
        <v>180</v>
      </c>
      <c r="BD11" s="11"/>
    </row>
    <row r="12" spans="1:56" x14ac:dyDescent="0.15">
      <c r="A12" s="8" t="s">
        <v>70</v>
      </c>
      <c r="B12" s="9">
        <v>10</v>
      </c>
      <c r="C12" s="10">
        <v>10</v>
      </c>
      <c r="D12" s="10">
        <v>0</v>
      </c>
      <c r="E12" s="10">
        <v>1</v>
      </c>
      <c r="F12" s="10">
        <v>0.62536604097113002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0">
        <v>0</v>
      </c>
      <c r="S12" s="10">
        <v>10</v>
      </c>
      <c r="T12" s="10">
        <v>10</v>
      </c>
      <c r="U12" s="10">
        <v>2</v>
      </c>
      <c r="V12" s="11"/>
      <c r="W12" s="11"/>
      <c r="X12" s="11"/>
      <c r="Y12" s="11"/>
      <c r="Z12" s="10">
        <v>10.493605375057101</v>
      </c>
      <c r="AA12" s="11"/>
      <c r="AB12" s="10">
        <v>10.484859417192601</v>
      </c>
      <c r="AC12" s="10">
        <v>10.493605375057101</v>
      </c>
      <c r="AD12" s="10">
        <v>10.493605375057101</v>
      </c>
      <c r="AE12" s="10">
        <v>11.1191936251707</v>
      </c>
      <c r="AF12" s="10">
        <v>1</v>
      </c>
      <c r="AG12" s="10">
        <v>0.62536604097113002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0">
        <v>2</v>
      </c>
      <c r="AW12" s="10">
        <v>1</v>
      </c>
      <c r="AX12" s="12" t="s">
        <v>179</v>
      </c>
      <c r="AY12" s="12" t="s">
        <v>57</v>
      </c>
      <c r="AZ12" s="11"/>
      <c r="BA12" s="12" t="s">
        <v>58</v>
      </c>
      <c r="BB12" s="10">
        <v>120.393203665287</v>
      </c>
      <c r="BC12" s="12" t="s">
        <v>180</v>
      </c>
      <c r="BD12" s="11"/>
    </row>
    <row r="13" spans="1:56" x14ac:dyDescent="0.15">
      <c r="A13" s="8" t="s">
        <v>67</v>
      </c>
      <c r="B13" s="9">
        <v>11</v>
      </c>
      <c r="C13" s="10">
        <v>11</v>
      </c>
      <c r="D13" s="10">
        <v>0</v>
      </c>
      <c r="E13" s="10">
        <v>1.03111111111111</v>
      </c>
      <c r="F13" s="10">
        <v>1.10308445780538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">
        <v>0</v>
      </c>
      <c r="S13" s="10">
        <v>11</v>
      </c>
      <c r="T13" s="10">
        <v>11</v>
      </c>
      <c r="U13" s="10">
        <v>4</v>
      </c>
      <c r="V13" s="11"/>
      <c r="W13" s="11"/>
      <c r="X13" s="11"/>
      <c r="Y13" s="11"/>
      <c r="Z13" s="10">
        <v>11.1321319171693</v>
      </c>
      <c r="AA13" s="11"/>
      <c r="AB13" s="10">
        <v>11.1223114170134</v>
      </c>
      <c r="AC13" s="10">
        <v>11.1321319171693</v>
      </c>
      <c r="AD13" s="10">
        <v>11.1321319171693</v>
      </c>
      <c r="AE13" s="10">
        <v>12.2495465001557</v>
      </c>
      <c r="AF13" s="10">
        <v>1.03111111111111</v>
      </c>
      <c r="AG13" s="10">
        <v>1.10308445780538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0">
        <v>2</v>
      </c>
      <c r="AW13" s="10">
        <v>1</v>
      </c>
      <c r="AX13" s="12" t="s">
        <v>179</v>
      </c>
      <c r="AY13" s="12" t="s">
        <v>57</v>
      </c>
      <c r="AZ13" s="11"/>
      <c r="BA13" s="12" t="s">
        <v>58</v>
      </c>
      <c r="BB13" s="10">
        <v>120.393203665287</v>
      </c>
      <c r="BC13" s="12" t="s">
        <v>180</v>
      </c>
      <c r="BD13" s="11"/>
    </row>
    <row r="14" spans="1:56" x14ac:dyDescent="0.15">
      <c r="A14" s="8" t="s">
        <v>63</v>
      </c>
      <c r="B14" s="9">
        <v>12</v>
      </c>
      <c r="C14" s="10">
        <v>12</v>
      </c>
      <c r="D14" s="10">
        <v>0</v>
      </c>
      <c r="E14" s="10">
        <v>1.03555555555556</v>
      </c>
      <c r="F14" s="10">
        <v>0.52449275017716002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0">
        <v>0</v>
      </c>
      <c r="S14" s="10">
        <v>12</v>
      </c>
      <c r="T14" s="10">
        <v>12</v>
      </c>
      <c r="U14" s="10">
        <v>14</v>
      </c>
      <c r="V14" s="11"/>
      <c r="W14" s="11"/>
      <c r="X14" s="11"/>
      <c r="Y14" s="11"/>
      <c r="Z14" s="10">
        <v>12.2656960419845</v>
      </c>
      <c r="AA14" s="11"/>
      <c r="AB14" s="10">
        <v>12.2518774580676</v>
      </c>
      <c r="AC14" s="10">
        <v>12.2656960419845</v>
      </c>
      <c r="AD14" s="10">
        <v>12.2656960419845</v>
      </c>
      <c r="AE14" s="10">
        <v>12.785585124976899</v>
      </c>
      <c r="AF14" s="10">
        <v>1.03555555555556</v>
      </c>
      <c r="AG14" s="10">
        <v>0.52449275017716002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0">
        <v>2</v>
      </c>
      <c r="AW14" s="10">
        <v>1</v>
      </c>
      <c r="AX14" s="12" t="s">
        <v>179</v>
      </c>
      <c r="AY14" s="12" t="s">
        <v>57</v>
      </c>
      <c r="AZ14" s="11"/>
      <c r="BA14" s="12" t="s">
        <v>58</v>
      </c>
      <c r="BB14" s="10">
        <v>120.393203665287</v>
      </c>
      <c r="BC14" s="12" t="s">
        <v>180</v>
      </c>
      <c r="BD14" s="11"/>
    </row>
    <row r="15" spans="1:56" x14ac:dyDescent="0.15">
      <c r="A15" s="8" t="s">
        <v>61</v>
      </c>
      <c r="B15" s="9">
        <v>13</v>
      </c>
      <c r="C15" s="10">
        <v>13</v>
      </c>
      <c r="D15" s="10">
        <v>0</v>
      </c>
      <c r="E15" s="10">
        <v>1.03555555555556</v>
      </c>
      <c r="F15" s="10">
        <v>0.63750158296897996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>
        <v>0</v>
      </c>
      <c r="S15" s="10">
        <v>13</v>
      </c>
      <c r="T15" s="10">
        <v>13</v>
      </c>
      <c r="U15" s="10">
        <v>7</v>
      </c>
      <c r="V15" s="11"/>
      <c r="W15" s="11"/>
      <c r="X15" s="11"/>
      <c r="Y15" s="11"/>
      <c r="Z15" s="10">
        <v>12.798889500089</v>
      </c>
      <c r="AA15" s="11"/>
      <c r="AB15" s="10">
        <v>12.7891976251267</v>
      </c>
      <c r="AC15" s="10">
        <v>12.798889500089</v>
      </c>
      <c r="AD15" s="10">
        <v>12.798889500089</v>
      </c>
      <c r="AE15" s="10">
        <v>13.4359150421806</v>
      </c>
      <c r="AF15" s="10">
        <v>1.03555555555556</v>
      </c>
      <c r="AG15" s="10">
        <v>0.63750158296897996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0">
        <v>2</v>
      </c>
      <c r="AW15" s="10">
        <v>1</v>
      </c>
      <c r="AX15" s="12" t="s">
        <v>179</v>
      </c>
      <c r="AY15" s="12" t="s">
        <v>57</v>
      </c>
      <c r="AZ15" s="11"/>
      <c r="BA15" s="12" t="s">
        <v>58</v>
      </c>
      <c r="BB15" s="10">
        <v>120.393203665287</v>
      </c>
      <c r="BC15" s="12" t="s">
        <v>180</v>
      </c>
      <c r="BD15" s="11"/>
    </row>
    <row r="16" spans="1:56" x14ac:dyDescent="0.15">
      <c r="A16" s="8" t="s">
        <v>72</v>
      </c>
      <c r="B16" s="9">
        <v>14</v>
      </c>
      <c r="C16" s="10">
        <v>14</v>
      </c>
      <c r="D16" s="10">
        <v>0</v>
      </c>
      <c r="E16" s="10">
        <v>1.03555555555556</v>
      </c>
      <c r="F16" s="10">
        <v>0.448225041851401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">
        <v>0</v>
      </c>
      <c r="S16" s="10">
        <v>14</v>
      </c>
      <c r="T16" s="10">
        <v>14</v>
      </c>
      <c r="U16" s="10">
        <v>12</v>
      </c>
      <c r="V16" s="11"/>
      <c r="W16" s="11"/>
      <c r="X16" s="11"/>
      <c r="Y16" s="11"/>
      <c r="Z16" s="10">
        <v>13.448336292058199</v>
      </c>
      <c r="AA16" s="11"/>
      <c r="AB16" s="10">
        <v>13.438220458105199</v>
      </c>
      <c r="AC16" s="10">
        <v>13.448336292058199</v>
      </c>
      <c r="AD16" s="10">
        <v>13.448336292058199</v>
      </c>
      <c r="AE16" s="10">
        <v>13.8996363750193</v>
      </c>
      <c r="AF16" s="10">
        <v>1.03555555555556</v>
      </c>
      <c r="AG16" s="10">
        <v>0.448225041851401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0">
        <v>2</v>
      </c>
      <c r="AW16" s="10">
        <v>1</v>
      </c>
      <c r="AX16" s="12" t="s">
        <v>179</v>
      </c>
      <c r="AY16" s="12" t="s">
        <v>57</v>
      </c>
      <c r="AZ16" s="11"/>
      <c r="BA16" s="12" t="s">
        <v>58</v>
      </c>
      <c r="BB16" s="10">
        <v>120.393203665287</v>
      </c>
      <c r="BC16" s="12" t="s">
        <v>180</v>
      </c>
      <c r="BD16" s="11"/>
    </row>
    <row r="17" spans="1:56" x14ac:dyDescent="0.15">
      <c r="A17" s="13"/>
      <c r="B17" s="9">
        <v>0</v>
      </c>
      <c r="C17" s="10">
        <v>0</v>
      </c>
      <c r="D17" s="10">
        <v>0</v>
      </c>
      <c r="E17" s="11"/>
      <c r="F17" s="11"/>
      <c r="G17" s="12" t="s">
        <v>130</v>
      </c>
      <c r="H17" s="12" t="s">
        <v>131</v>
      </c>
      <c r="I17" s="12" t="s">
        <v>85</v>
      </c>
      <c r="J17" s="12" t="s">
        <v>64</v>
      </c>
      <c r="K17" s="12" t="s">
        <v>181</v>
      </c>
      <c r="L17" s="12" t="s">
        <v>182</v>
      </c>
      <c r="M17" s="12" t="s">
        <v>80</v>
      </c>
      <c r="N17" s="12" t="s">
        <v>81</v>
      </c>
      <c r="O17" s="12" t="s">
        <v>81</v>
      </c>
      <c r="P17" s="12" t="s">
        <v>183</v>
      </c>
      <c r="Q17" s="12" t="s">
        <v>83</v>
      </c>
      <c r="R17" s="11"/>
      <c r="S17" s="11"/>
      <c r="T17" s="11"/>
      <c r="U17" s="11"/>
      <c r="V17" s="10">
        <v>0</v>
      </c>
      <c r="W17" s="10">
        <v>0</v>
      </c>
      <c r="X17" s="10">
        <v>0</v>
      </c>
      <c r="Y17" s="10">
        <v>14</v>
      </c>
      <c r="Z17" s="10">
        <v>13.9176200830843</v>
      </c>
      <c r="AA17" s="11"/>
      <c r="AB17" s="11"/>
      <c r="AC17" s="11"/>
      <c r="AD17" s="11"/>
      <c r="AE17" s="11"/>
      <c r="AF17" s="11"/>
      <c r="AG17" s="11"/>
      <c r="AH17" s="10">
        <v>13.9064922921825</v>
      </c>
      <c r="AI17" s="10">
        <v>13.9176200830843</v>
      </c>
      <c r="AJ17" s="10">
        <v>13.9176200830843</v>
      </c>
      <c r="AK17" s="10">
        <v>13.9176200830843</v>
      </c>
      <c r="AL17" s="10">
        <v>6.8537499755621E-3</v>
      </c>
      <c r="AM17" s="10">
        <v>18.174640583107202</v>
      </c>
      <c r="AN17" s="12" t="s">
        <v>64</v>
      </c>
      <c r="AO17" s="12" t="s">
        <v>181</v>
      </c>
      <c r="AP17" s="12" t="s">
        <v>182</v>
      </c>
      <c r="AQ17" s="12" t="s">
        <v>80</v>
      </c>
      <c r="AR17" s="12" t="s">
        <v>81</v>
      </c>
      <c r="AS17" s="12" t="s">
        <v>81</v>
      </c>
      <c r="AT17" s="12" t="s">
        <v>183</v>
      </c>
      <c r="AU17" s="12" t="s">
        <v>83</v>
      </c>
      <c r="AV17" s="10">
        <v>2</v>
      </c>
      <c r="AW17" s="10">
        <v>1</v>
      </c>
      <c r="AX17" s="12" t="s">
        <v>179</v>
      </c>
      <c r="AY17" s="12" t="s">
        <v>57</v>
      </c>
      <c r="AZ17" s="11"/>
      <c r="BA17" s="12" t="s">
        <v>58</v>
      </c>
      <c r="BB17" s="10">
        <v>120.393203665287</v>
      </c>
      <c r="BC17" s="12" t="s">
        <v>180</v>
      </c>
      <c r="BD17" s="11"/>
    </row>
    <row r="18" spans="1:56" x14ac:dyDescent="0.15">
      <c r="A18" s="13"/>
      <c r="B18" s="9">
        <v>1</v>
      </c>
      <c r="C18" s="10">
        <v>1</v>
      </c>
      <c r="D18" s="10">
        <v>0</v>
      </c>
      <c r="E18" s="11"/>
      <c r="F18" s="11"/>
      <c r="G18" s="12" t="s">
        <v>149</v>
      </c>
      <c r="H18" s="12" t="s">
        <v>150</v>
      </c>
      <c r="I18" s="12" t="s">
        <v>76</v>
      </c>
      <c r="J18" s="12" t="s">
        <v>151</v>
      </c>
      <c r="K18" s="12" t="s">
        <v>184</v>
      </c>
      <c r="L18" s="12" t="s">
        <v>185</v>
      </c>
      <c r="M18" s="12" t="s">
        <v>80</v>
      </c>
      <c r="N18" s="12" t="s">
        <v>81</v>
      </c>
      <c r="O18" s="12" t="s">
        <v>81</v>
      </c>
      <c r="P18" s="12" t="s">
        <v>186</v>
      </c>
      <c r="Q18" s="12" t="s">
        <v>83</v>
      </c>
      <c r="R18" s="11"/>
      <c r="S18" s="11"/>
      <c r="T18" s="11"/>
      <c r="U18" s="11"/>
      <c r="V18" s="10">
        <v>0</v>
      </c>
      <c r="W18" s="10">
        <v>1</v>
      </c>
      <c r="X18" s="10">
        <v>1</v>
      </c>
      <c r="Y18" s="10">
        <v>15</v>
      </c>
      <c r="Z18" s="10">
        <v>18.186924958135901</v>
      </c>
      <c r="AA18" s="11"/>
      <c r="AB18" s="11"/>
      <c r="AC18" s="11"/>
      <c r="AD18" s="11"/>
      <c r="AE18" s="11"/>
      <c r="AF18" s="11"/>
      <c r="AG18" s="11"/>
      <c r="AH18" s="10">
        <v>18.176760083064401</v>
      </c>
      <c r="AI18" s="10">
        <v>18.186924958135901</v>
      </c>
      <c r="AJ18" s="10">
        <v>18.186924958135901</v>
      </c>
      <c r="AK18" s="10">
        <v>18.186924958135901</v>
      </c>
      <c r="AL18" s="10">
        <v>1.9807501230388901E-3</v>
      </c>
      <c r="AM18" s="10">
        <v>20.158871875144499</v>
      </c>
      <c r="AN18" s="12" t="s">
        <v>151</v>
      </c>
      <c r="AO18" s="12" t="s">
        <v>184</v>
      </c>
      <c r="AP18" s="12" t="s">
        <v>185</v>
      </c>
      <c r="AQ18" s="12" t="s">
        <v>80</v>
      </c>
      <c r="AR18" s="12" t="s">
        <v>81</v>
      </c>
      <c r="AS18" s="12" t="s">
        <v>81</v>
      </c>
      <c r="AT18" s="12" t="s">
        <v>186</v>
      </c>
      <c r="AU18" s="12" t="s">
        <v>83</v>
      </c>
      <c r="AV18" s="10">
        <v>2</v>
      </c>
      <c r="AW18" s="10">
        <v>1</v>
      </c>
      <c r="AX18" s="12" t="s">
        <v>179</v>
      </c>
      <c r="AY18" s="12" t="s">
        <v>57</v>
      </c>
      <c r="AZ18" s="11"/>
      <c r="BA18" s="12" t="s">
        <v>58</v>
      </c>
      <c r="BB18" s="10">
        <v>120.393203665287</v>
      </c>
      <c r="BC18" s="12" t="s">
        <v>180</v>
      </c>
      <c r="BD18" s="11"/>
    </row>
    <row r="19" spans="1:56" x14ac:dyDescent="0.15">
      <c r="A19" s="13"/>
      <c r="B19" s="9">
        <v>2</v>
      </c>
      <c r="C19" s="10">
        <v>2</v>
      </c>
      <c r="D19" s="10">
        <v>0</v>
      </c>
      <c r="E19" s="11"/>
      <c r="F19" s="11"/>
      <c r="G19" s="12" t="s">
        <v>125</v>
      </c>
      <c r="H19" s="12" t="s">
        <v>126</v>
      </c>
      <c r="I19" s="12" t="s">
        <v>85</v>
      </c>
      <c r="J19" s="12" t="s">
        <v>71</v>
      </c>
      <c r="K19" s="12" t="s">
        <v>127</v>
      </c>
      <c r="L19" s="12" t="s">
        <v>187</v>
      </c>
      <c r="M19" s="12" t="s">
        <v>80</v>
      </c>
      <c r="N19" s="12" t="s">
        <v>81</v>
      </c>
      <c r="O19" s="12" t="s">
        <v>81</v>
      </c>
      <c r="P19" s="12" t="s">
        <v>188</v>
      </c>
      <c r="Q19" s="12" t="s">
        <v>83</v>
      </c>
      <c r="R19" s="11"/>
      <c r="S19" s="11"/>
      <c r="T19" s="11"/>
      <c r="U19" s="11"/>
      <c r="V19" s="10">
        <v>0</v>
      </c>
      <c r="W19" s="10">
        <v>2</v>
      </c>
      <c r="X19" s="10">
        <v>2</v>
      </c>
      <c r="Y19" s="10">
        <v>3</v>
      </c>
      <c r="Z19" s="10">
        <v>20.169817292131501</v>
      </c>
      <c r="AA19" s="11"/>
      <c r="AB19" s="11"/>
      <c r="AC19" s="11"/>
      <c r="AD19" s="11"/>
      <c r="AE19" s="11"/>
      <c r="AF19" s="11"/>
      <c r="AG19" s="11"/>
      <c r="AH19" s="10">
        <v>20.160908833146099</v>
      </c>
      <c r="AI19" s="10">
        <v>20.169817292131501</v>
      </c>
      <c r="AJ19" s="10">
        <v>20.169817292131501</v>
      </c>
      <c r="AK19" s="10">
        <v>20.169817292131501</v>
      </c>
      <c r="AL19" s="10">
        <v>1.9286659080535199E-3</v>
      </c>
      <c r="AM19" s="10">
        <v>22.125235750107102</v>
      </c>
      <c r="AN19" s="12" t="s">
        <v>71</v>
      </c>
      <c r="AO19" s="12" t="s">
        <v>127</v>
      </c>
      <c r="AP19" s="12" t="s">
        <v>187</v>
      </c>
      <c r="AQ19" s="12" t="s">
        <v>80</v>
      </c>
      <c r="AR19" s="12" t="s">
        <v>81</v>
      </c>
      <c r="AS19" s="12" t="s">
        <v>81</v>
      </c>
      <c r="AT19" s="12" t="s">
        <v>188</v>
      </c>
      <c r="AU19" s="12" t="s">
        <v>83</v>
      </c>
      <c r="AV19" s="10">
        <v>2</v>
      </c>
      <c r="AW19" s="10">
        <v>1</v>
      </c>
      <c r="AX19" s="12" t="s">
        <v>179</v>
      </c>
      <c r="AY19" s="12" t="s">
        <v>57</v>
      </c>
      <c r="AZ19" s="11"/>
      <c r="BA19" s="12" t="s">
        <v>58</v>
      </c>
      <c r="BB19" s="10">
        <v>120.393203665287</v>
      </c>
      <c r="BC19" s="12" t="s">
        <v>180</v>
      </c>
      <c r="BD19" s="11"/>
    </row>
    <row r="20" spans="1:56" x14ac:dyDescent="0.15">
      <c r="A20" s="13"/>
      <c r="B20" s="9">
        <v>3</v>
      </c>
      <c r="C20" s="10">
        <v>3</v>
      </c>
      <c r="D20" s="10">
        <v>0</v>
      </c>
      <c r="E20" s="11"/>
      <c r="F20" s="11"/>
      <c r="G20" s="12" t="s">
        <v>102</v>
      </c>
      <c r="H20" s="12" t="s">
        <v>103</v>
      </c>
      <c r="I20" s="12" t="s">
        <v>85</v>
      </c>
      <c r="J20" s="12" t="s">
        <v>67</v>
      </c>
      <c r="K20" s="12" t="s">
        <v>189</v>
      </c>
      <c r="L20" s="12" t="s">
        <v>143</v>
      </c>
      <c r="M20" s="12" t="s">
        <v>80</v>
      </c>
      <c r="N20" s="12" t="s">
        <v>81</v>
      </c>
      <c r="O20" s="12" t="s">
        <v>81</v>
      </c>
      <c r="P20" s="12" t="s">
        <v>190</v>
      </c>
      <c r="Q20" s="12" t="s">
        <v>83</v>
      </c>
      <c r="R20" s="11"/>
      <c r="S20" s="11"/>
      <c r="T20" s="11"/>
      <c r="U20" s="11"/>
      <c r="V20" s="10">
        <v>0</v>
      </c>
      <c r="W20" s="10">
        <v>3</v>
      </c>
      <c r="X20" s="10">
        <v>3</v>
      </c>
      <c r="Y20" s="10">
        <v>10</v>
      </c>
      <c r="Z20" s="10">
        <v>22.1373515001033</v>
      </c>
      <c r="AA20" s="11"/>
      <c r="AB20" s="11"/>
      <c r="AC20" s="11"/>
      <c r="AD20" s="11"/>
      <c r="AE20" s="11"/>
      <c r="AF20" s="11"/>
      <c r="AG20" s="11"/>
      <c r="AH20" s="10">
        <v>22.1275288329925</v>
      </c>
      <c r="AI20" s="10">
        <v>22.1373515001033</v>
      </c>
      <c r="AJ20" s="10">
        <v>22.1373515001033</v>
      </c>
      <c r="AK20" s="10">
        <v>22.1373515001033</v>
      </c>
      <c r="AL20" s="10">
        <v>2.18524993397295E-3</v>
      </c>
      <c r="AM20" s="10">
        <v>25.642326375003901</v>
      </c>
      <c r="AN20" s="12" t="s">
        <v>67</v>
      </c>
      <c r="AO20" s="12" t="s">
        <v>189</v>
      </c>
      <c r="AP20" s="12" t="s">
        <v>143</v>
      </c>
      <c r="AQ20" s="12" t="s">
        <v>80</v>
      </c>
      <c r="AR20" s="12" t="s">
        <v>81</v>
      </c>
      <c r="AS20" s="12" t="s">
        <v>81</v>
      </c>
      <c r="AT20" s="12" t="s">
        <v>190</v>
      </c>
      <c r="AU20" s="12" t="s">
        <v>83</v>
      </c>
      <c r="AV20" s="10">
        <v>2</v>
      </c>
      <c r="AW20" s="10">
        <v>1</v>
      </c>
      <c r="AX20" s="12" t="s">
        <v>179</v>
      </c>
      <c r="AY20" s="12" t="s">
        <v>57</v>
      </c>
      <c r="AZ20" s="11"/>
      <c r="BA20" s="12" t="s">
        <v>58</v>
      </c>
      <c r="BB20" s="10">
        <v>120.393203665287</v>
      </c>
      <c r="BC20" s="12" t="s">
        <v>180</v>
      </c>
      <c r="BD20" s="11"/>
    </row>
    <row r="21" spans="1:56" x14ac:dyDescent="0.15">
      <c r="A21" s="13"/>
      <c r="B21" s="9">
        <v>4</v>
      </c>
      <c r="C21" s="10">
        <v>4</v>
      </c>
      <c r="D21" s="10">
        <v>0</v>
      </c>
      <c r="E21" s="11"/>
      <c r="F21" s="11"/>
      <c r="G21" s="12" t="s">
        <v>159</v>
      </c>
      <c r="H21" s="12" t="s">
        <v>160</v>
      </c>
      <c r="I21" s="12" t="s">
        <v>76</v>
      </c>
      <c r="J21" s="12" t="s">
        <v>161</v>
      </c>
      <c r="K21" s="12" t="s">
        <v>191</v>
      </c>
      <c r="L21" s="12" t="s">
        <v>157</v>
      </c>
      <c r="M21" s="12" t="s">
        <v>80</v>
      </c>
      <c r="N21" s="12" t="s">
        <v>81</v>
      </c>
      <c r="O21" s="12" t="s">
        <v>81</v>
      </c>
      <c r="P21" s="12" t="s">
        <v>192</v>
      </c>
      <c r="Q21" s="12" t="s">
        <v>83</v>
      </c>
      <c r="R21" s="11"/>
      <c r="S21" s="11"/>
      <c r="T21" s="11"/>
      <c r="U21" s="11"/>
      <c r="V21" s="10">
        <v>0</v>
      </c>
      <c r="W21" s="10">
        <v>4</v>
      </c>
      <c r="X21" s="10">
        <v>4</v>
      </c>
      <c r="Y21" s="10">
        <v>18</v>
      </c>
      <c r="Z21" s="10">
        <v>25.653721917187799</v>
      </c>
      <c r="AA21" s="11"/>
      <c r="AB21" s="11"/>
      <c r="AC21" s="11"/>
      <c r="AD21" s="11"/>
      <c r="AE21" s="11"/>
      <c r="AF21" s="11"/>
      <c r="AG21" s="11"/>
      <c r="AH21" s="10">
        <v>25.6443888749927</v>
      </c>
      <c r="AI21" s="10">
        <v>25.653721917187799</v>
      </c>
      <c r="AJ21" s="10">
        <v>25.653721917187799</v>
      </c>
      <c r="AK21" s="10">
        <v>25.653721917187799</v>
      </c>
      <c r="AL21" s="10">
        <v>1.9681251142174001E-3</v>
      </c>
      <c r="AM21" s="10">
        <v>27.958921833196701</v>
      </c>
      <c r="AN21" s="12" t="s">
        <v>161</v>
      </c>
      <c r="AO21" s="12" t="s">
        <v>191</v>
      </c>
      <c r="AP21" s="12" t="s">
        <v>157</v>
      </c>
      <c r="AQ21" s="12" t="s">
        <v>80</v>
      </c>
      <c r="AR21" s="12" t="s">
        <v>81</v>
      </c>
      <c r="AS21" s="12" t="s">
        <v>81</v>
      </c>
      <c r="AT21" s="12" t="s">
        <v>192</v>
      </c>
      <c r="AU21" s="12" t="s">
        <v>83</v>
      </c>
      <c r="AV21" s="10">
        <v>2</v>
      </c>
      <c r="AW21" s="10">
        <v>1</v>
      </c>
      <c r="AX21" s="12" t="s">
        <v>179</v>
      </c>
      <c r="AY21" s="12" t="s">
        <v>57</v>
      </c>
      <c r="AZ21" s="11"/>
      <c r="BA21" s="12" t="s">
        <v>58</v>
      </c>
      <c r="BB21" s="10">
        <v>120.393203665287</v>
      </c>
      <c r="BC21" s="12" t="s">
        <v>180</v>
      </c>
      <c r="BD21" s="11"/>
    </row>
    <row r="22" spans="1:56" x14ac:dyDescent="0.15">
      <c r="A22" s="13"/>
      <c r="B22" s="9">
        <v>5</v>
      </c>
      <c r="C22" s="10">
        <v>5</v>
      </c>
      <c r="D22" s="10">
        <v>0</v>
      </c>
      <c r="E22" s="11"/>
      <c r="F22" s="11"/>
      <c r="G22" s="12" t="s">
        <v>97</v>
      </c>
      <c r="H22" s="12" t="s">
        <v>66</v>
      </c>
      <c r="I22" s="12" t="s">
        <v>85</v>
      </c>
      <c r="J22" s="12" t="s">
        <v>98</v>
      </c>
      <c r="K22" s="12" t="s">
        <v>193</v>
      </c>
      <c r="L22" s="12" t="s">
        <v>138</v>
      </c>
      <c r="M22" s="12" t="s">
        <v>80</v>
      </c>
      <c r="N22" s="12" t="s">
        <v>81</v>
      </c>
      <c r="O22" s="12" t="s">
        <v>81</v>
      </c>
      <c r="P22" s="12" t="s">
        <v>194</v>
      </c>
      <c r="Q22" s="12" t="s">
        <v>83</v>
      </c>
      <c r="R22" s="11"/>
      <c r="S22" s="11"/>
      <c r="T22" s="11"/>
      <c r="U22" s="11"/>
      <c r="V22" s="10">
        <v>0</v>
      </c>
      <c r="W22" s="10">
        <v>5</v>
      </c>
      <c r="X22" s="10">
        <v>5</v>
      </c>
      <c r="Y22" s="10">
        <v>1</v>
      </c>
      <c r="Z22" s="10">
        <v>27.9699154580012</v>
      </c>
      <c r="AA22" s="11"/>
      <c r="AB22" s="11"/>
      <c r="AC22" s="11"/>
      <c r="AD22" s="11"/>
      <c r="AE22" s="11"/>
      <c r="AF22" s="11"/>
      <c r="AG22" s="11"/>
      <c r="AH22" s="10">
        <v>27.960939833195901</v>
      </c>
      <c r="AI22" s="10">
        <v>27.9699154580012</v>
      </c>
      <c r="AJ22" s="10">
        <v>27.9699154580012</v>
      </c>
      <c r="AK22" s="10">
        <v>27.9699154580012</v>
      </c>
      <c r="AL22" s="10">
        <v>1.9264998845756099E-3</v>
      </c>
      <c r="AM22" s="10">
        <v>30.2176019581966</v>
      </c>
      <c r="AN22" s="12" t="s">
        <v>98</v>
      </c>
      <c r="AO22" s="12" t="s">
        <v>193</v>
      </c>
      <c r="AP22" s="12" t="s">
        <v>138</v>
      </c>
      <c r="AQ22" s="12" t="s">
        <v>80</v>
      </c>
      <c r="AR22" s="12" t="s">
        <v>81</v>
      </c>
      <c r="AS22" s="12" t="s">
        <v>81</v>
      </c>
      <c r="AT22" s="12" t="s">
        <v>194</v>
      </c>
      <c r="AU22" s="12" t="s">
        <v>83</v>
      </c>
      <c r="AV22" s="10">
        <v>2</v>
      </c>
      <c r="AW22" s="10">
        <v>1</v>
      </c>
      <c r="AX22" s="12" t="s">
        <v>179</v>
      </c>
      <c r="AY22" s="12" t="s">
        <v>57</v>
      </c>
      <c r="AZ22" s="11"/>
      <c r="BA22" s="12" t="s">
        <v>58</v>
      </c>
      <c r="BB22" s="10">
        <v>120.393203665287</v>
      </c>
      <c r="BC22" s="12" t="s">
        <v>180</v>
      </c>
      <c r="BD22" s="11"/>
    </row>
    <row r="23" spans="1:56" x14ac:dyDescent="0.15">
      <c r="A23" s="13"/>
      <c r="B23" s="9">
        <v>6</v>
      </c>
      <c r="C23" s="10">
        <v>6</v>
      </c>
      <c r="D23" s="10">
        <v>0</v>
      </c>
      <c r="E23" s="11"/>
      <c r="F23" s="11"/>
      <c r="G23" s="12" t="s">
        <v>107</v>
      </c>
      <c r="H23" s="12" t="s">
        <v>68</v>
      </c>
      <c r="I23" s="12" t="s">
        <v>85</v>
      </c>
      <c r="J23" s="12" t="s">
        <v>108</v>
      </c>
      <c r="K23" s="12" t="s">
        <v>195</v>
      </c>
      <c r="L23" s="12" t="s">
        <v>128</v>
      </c>
      <c r="M23" s="12" t="s">
        <v>80</v>
      </c>
      <c r="N23" s="12" t="s">
        <v>81</v>
      </c>
      <c r="O23" s="12" t="s">
        <v>81</v>
      </c>
      <c r="P23" s="12" t="s">
        <v>196</v>
      </c>
      <c r="Q23" s="12" t="s">
        <v>83</v>
      </c>
      <c r="R23" s="11"/>
      <c r="S23" s="11"/>
      <c r="T23" s="11"/>
      <c r="U23" s="11"/>
      <c r="V23" s="10">
        <v>0</v>
      </c>
      <c r="W23" s="10">
        <v>6</v>
      </c>
      <c r="X23" s="10">
        <v>6</v>
      </c>
      <c r="Y23" s="10">
        <v>5</v>
      </c>
      <c r="Z23" s="10">
        <v>30.231812583049798</v>
      </c>
      <c r="AA23" s="11"/>
      <c r="AB23" s="11"/>
      <c r="AC23" s="11"/>
      <c r="AD23" s="11"/>
      <c r="AE23" s="11"/>
      <c r="AF23" s="11"/>
      <c r="AG23" s="11"/>
      <c r="AH23" s="10">
        <v>30.220298625063201</v>
      </c>
      <c r="AI23" s="10">
        <v>30.231812583049798</v>
      </c>
      <c r="AJ23" s="10">
        <v>30.231812583049798</v>
      </c>
      <c r="AK23" s="10">
        <v>30.231812583049798</v>
      </c>
      <c r="AL23" s="10">
        <v>2.5573340244591201E-3</v>
      </c>
      <c r="AM23" s="10">
        <v>33.469999083085</v>
      </c>
      <c r="AN23" s="12" t="s">
        <v>108</v>
      </c>
      <c r="AO23" s="12" t="s">
        <v>195</v>
      </c>
      <c r="AP23" s="12" t="s">
        <v>128</v>
      </c>
      <c r="AQ23" s="12" t="s">
        <v>80</v>
      </c>
      <c r="AR23" s="12" t="s">
        <v>81</v>
      </c>
      <c r="AS23" s="12" t="s">
        <v>81</v>
      </c>
      <c r="AT23" s="12" t="s">
        <v>196</v>
      </c>
      <c r="AU23" s="12" t="s">
        <v>83</v>
      </c>
      <c r="AV23" s="10">
        <v>2</v>
      </c>
      <c r="AW23" s="10">
        <v>1</v>
      </c>
      <c r="AX23" s="12" t="s">
        <v>179</v>
      </c>
      <c r="AY23" s="12" t="s">
        <v>57</v>
      </c>
      <c r="AZ23" s="11"/>
      <c r="BA23" s="12" t="s">
        <v>58</v>
      </c>
      <c r="BB23" s="10">
        <v>120.393203665287</v>
      </c>
      <c r="BC23" s="12" t="s">
        <v>180</v>
      </c>
      <c r="BD23" s="11"/>
    </row>
    <row r="24" spans="1:56" x14ac:dyDescent="0.15">
      <c r="A24" s="13"/>
      <c r="B24" s="9">
        <v>7</v>
      </c>
      <c r="C24" s="10">
        <v>7</v>
      </c>
      <c r="D24" s="10">
        <v>0</v>
      </c>
      <c r="E24" s="11"/>
      <c r="F24" s="11"/>
      <c r="G24" s="12" t="s">
        <v>154</v>
      </c>
      <c r="H24" s="12" t="s">
        <v>155</v>
      </c>
      <c r="I24" s="12" t="s">
        <v>85</v>
      </c>
      <c r="J24" s="12" t="s">
        <v>151</v>
      </c>
      <c r="K24" s="12" t="s">
        <v>197</v>
      </c>
      <c r="L24" s="12" t="s">
        <v>79</v>
      </c>
      <c r="M24" s="12" t="s">
        <v>80</v>
      </c>
      <c r="N24" s="12" t="s">
        <v>81</v>
      </c>
      <c r="O24" s="12" t="s">
        <v>81</v>
      </c>
      <c r="P24" s="12" t="s">
        <v>198</v>
      </c>
      <c r="Q24" s="12" t="s">
        <v>83</v>
      </c>
      <c r="R24" s="11"/>
      <c r="S24" s="11"/>
      <c r="T24" s="11"/>
      <c r="U24" s="11"/>
      <c r="V24" s="10">
        <v>0</v>
      </c>
      <c r="W24" s="10">
        <v>7</v>
      </c>
      <c r="X24" s="10">
        <v>7</v>
      </c>
      <c r="Y24" s="10">
        <v>11</v>
      </c>
      <c r="Z24" s="10">
        <v>33.484360208036399</v>
      </c>
      <c r="AA24" s="11"/>
      <c r="AB24" s="11"/>
      <c r="AC24" s="11"/>
      <c r="AD24" s="11"/>
      <c r="AE24" s="11"/>
      <c r="AF24" s="11"/>
      <c r="AG24" s="11"/>
      <c r="AH24" s="10">
        <v>33.472655000165098</v>
      </c>
      <c r="AI24" s="10">
        <v>33.484360208036399</v>
      </c>
      <c r="AJ24" s="10">
        <v>33.484360208036399</v>
      </c>
      <c r="AK24" s="10">
        <v>33.484360208036399</v>
      </c>
      <c r="AL24" s="10">
        <v>2.51945783384144E-3</v>
      </c>
      <c r="AM24" s="10">
        <v>36.1913033751771</v>
      </c>
      <c r="AN24" s="12" t="s">
        <v>151</v>
      </c>
      <c r="AO24" s="12" t="s">
        <v>197</v>
      </c>
      <c r="AP24" s="12" t="s">
        <v>79</v>
      </c>
      <c r="AQ24" s="12" t="s">
        <v>80</v>
      </c>
      <c r="AR24" s="12" t="s">
        <v>81</v>
      </c>
      <c r="AS24" s="12" t="s">
        <v>81</v>
      </c>
      <c r="AT24" s="12" t="s">
        <v>198</v>
      </c>
      <c r="AU24" s="12" t="s">
        <v>83</v>
      </c>
      <c r="AV24" s="10">
        <v>2</v>
      </c>
      <c r="AW24" s="10">
        <v>1</v>
      </c>
      <c r="AX24" s="12" t="s">
        <v>179</v>
      </c>
      <c r="AY24" s="12" t="s">
        <v>57</v>
      </c>
      <c r="AZ24" s="11"/>
      <c r="BA24" s="12" t="s">
        <v>58</v>
      </c>
      <c r="BB24" s="10">
        <v>120.393203665287</v>
      </c>
      <c r="BC24" s="12" t="s">
        <v>180</v>
      </c>
      <c r="BD24" s="11"/>
    </row>
    <row r="25" spans="1:56" x14ac:dyDescent="0.15">
      <c r="A25" s="13"/>
      <c r="B25" s="9">
        <v>8</v>
      </c>
      <c r="C25" s="10">
        <v>8</v>
      </c>
      <c r="D25" s="10">
        <v>0</v>
      </c>
      <c r="E25" s="11"/>
      <c r="F25" s="11"/>
      <c r="G25" s="12" t="s">
        <v>140</v>
      </c>
      <c r="H25" s="12" t="s">
        <v>62</v>
      </c>
      <c r="I25" s="12" t="s">
        <v>85</v>
      </c>
      <c r="J25" s="12" t="s">
        <v>141</v>
      </c>
      <c r="K25" s="12" t="s">
        <v>199</v>
      </c>
      <c r="L25" s="12" t="s">
        <v>200</v>
      </c>
      <c r="M25" s="12" t="s">
        <v>88</v>
      </c>
      <c r="N25" s="12" t="s">
        <v>89</v>
      </c>
      <c r="O25" s="12" t="s">
        <v>89</v>
      </c>
      <c r="P25" s="12" t="s">
        <v>201</v>
      </c>
      <c r="Q25" s="12" t="s">
        <v>91</v>
      </c>
      <c r="R25" s="11"/>
      <c r="S25" s="11"/>
      <c r="T25" s="11"/>
      <c r="U25" s="11"/>
      <c r="V25" s="10">
        <v>0</v>
      </c>
      <c r="W25" s="10">
        <v>8</v>
      </c>
      <c r="X25" s="10">
        <v>8</v>
      </c>
      <c r="Y25" s="10">
        <v>6</v>
      </c>
      <c r="Z25" s="10">
        <v>36.203842792194301</v>
      </c>
      <c r="AA25" s="11"/>
      <c r="AB25" s="11"/>
      <c r="AC25" s="11"/>
      <c r="AD25" s="11"/>
      <c r="AE25" s="11"/>
      <c r="AF25" s="11"/>
      <c r="AG25" s="11"/>
      <c r="AH25" s="10">
        <v>36.193289792165203</v>
      </c>
      <c r="AI25" s="10">
        <v>36.203842792194301</v>
      </c>
      <c r="AJ25" s="10">
        <v>36.203842792194301</v>
      </c>
      <c r="AK25" s="10">
        <v>36.203842792194301</v>
      </c>
      <c r="AL25" s="10">
        <v>1.8900409340858501E-3</v>
      </c>
      <c r="AM25" s="10">
        <v>39.904512208188002</v>
      </c>
      <c r="AN25" s="12" t="s">
        <v>141</v>
      </c>
      <c r="AO25" s="12" t="s">
        <v>199</v>
      </c>
      <c r="AP25" s="12" t="s">
        <v>200</v>
      </c>
      <c r="AQ25" s="12" t="s">
        <v>88</v>
      </c>
      <c r="AR25" s="12" t="s">
        <v>89</v>
      </c>
      <c r="AS25" s="12" t="s">
        <v>89</v>
      </c>
      <c r="AT25" s="12" t="s">
        <v>201</v>
      </c>
      <c r="AU25" s="12" t="s">
        <v>91</v>
      </c>
      <c r="AV25" s="10">
        <v>2</v>
      </c>
      <c r="AW25" s="10">
        <v>1</v>
      </c>
      <c r="AX25" s="12" t="s">
        <v>179</v>
      </c>
      <c r="AY25" s="12" t="s">
        <v>57</v>
      </c>
      <c r="AZ25" s="11"/>
      <c r="BA25" s="12" t="s">
        <v>58</v>
      </c>
      <c r="BB25" s="10">
        <v>120.393203665287</v>
      </c>
      <c r="BC25" s="12" t="s">
        <v>180</v>
      </c>
      <c r="BD25" s="11"/>
    </row>
    <row r="26" spans="1:56" x14ac:dyDescent="0.15">
      <c r="A26" s="13"/>
      <c r="B26" s="9">
        <v>9</v>
      </c>
      <c r="C26" s="10">
        <v>9</v>
      </c>
      <c r="D26" s="10">
        <v>0</v>
      </c>
      <c r="E26" s="11"/>
      <c r="F26" s="11"/>
      <c r="G26" s="12" t="s">
        <v>84</v>
      </c>
      <c r="H26" s="12" t="s">
        <v>63</v>
      </c>
      <c r="I26" s="12" t="s">
        <v>85</v>
      </c>
      <c r="J26" s="12" t="s">
        <v>65</v>
      </c>
      <c r="K26" s="12" t="s">
        <v>202</v>
      </c>
      <c r="L26" s="12" t="s">
        <v>168</v>
      </c>
      <c r="M26" s="12" t="s">
        <v>80</v>
      </c>
      <c r="N26" s="12" t="s">
        <v>81</v>
      </c>
      <c r="O26" s="12" t="s">
        <v>81</v>
      </c>
      <c r="P26" s="12" t="s">
        <v>203</v>
      </c>
      <c r="Q26" s="12" t="s">
        <v>83</v>
      </c>
      <c r="R26" s="11"/>
      <c r="S26" s="11"/>
      <c r="T26" s="11"/>
      <c r="U26" s="11"/>
      <c r="V26" s="10">
        <v>0</v>
      </c>
      <c r="W26" s="10">
        <v>9</v>
      </c>
      <c r="X26" s="10">
        <v>9</v>
      </c>
      <c r="Y26" s="10">
        <v>9</v>
      </c>
      <c r="Z26" s="10">
        <v>39.918823417043299</v>
      </c>
      <c r="AA26" s="11"/>
      <c r="AB26" s="11"/>
      <c r="AC26" s="11"/>
      <c r="AD26" s="11"/>
      <c r="AE26" s="11"/>
      <c r="AF26" s="11"/>
      <c r="AG26" s="11"/>
      <c r="AH26" s="10">
        <v>39.907122708158603</v>
      </c>
      <c r="AI26" s="10">
        <v>39.918823417043299</v>
      </c>
      <c r="AJ26" s="10">
        <v>39.918823417043299</v>
      </c>
      <c r="AK26" s="10">
        <v>39.918823417043299</v>
      </c>
      <c r="AL26" s="10">
        <v>2.44279205799103E-3</v>
      </c>
      <c r="AM26" s="10">
        <v>48.142969792010298</v>
      </c>
      <c r="AN26" s="12" t="s">
        <v>65</v>
      </c>
      <c r="AO26" s="12" t="s">
        <v>202</v>
      </c>
      <c r="AP26" s="12" t="s">
        <v>168</v>
      </c>
      <c r="AQ26" s="12" t="s">
        <v>80</v>
      </c>
      <c r="AR26" s="12" t="s">
        <v>81</v>
      </c>
      <c r="AS26" s="12" t="s">
        <v>81</v>
      </c>
      <c r="AT26" s="12" t="s">
        <v>203</v>
      </c>
      <c r="AU26" s="12" t="s">
        <v>83</v>
      </c>
      <c r="AV26" s="10">
        <v>2</v>
      </c>
      <c r="AW26" s="10">
        <v>1</v>
      </c>
      <c r="AX26" s="12" t="s">
        <v>179</v>
      </c>
      <c r="AY26" s="12" t="s">
        <v>57</v>
      </c>
      <c r="AZ26" s="11"/>
      <c r="BA26" s="12" t="s">
        <v>58</v>
      </c>
      <c r="BB26" s="10">
        <v>120.393203665287</v>
      </c>
      <c r="BC26" s="12" t="s">
        <v>180</v>
      </c>
      <c r="BD26" s="11"/>
    </row>
    <row r="27" spans="1:56" x14ac:dyDescent="0.15">
      <c r="A27" s="13"/>
      <c r="B27" s="9">
        <v>10</v>
      </c>
      <c r="C27" s="10">
        <v>10</v>
      </c>
      <c r="D27" s="10">
        <v>0</v>
      </c>
      <c r="E27" s="11"/>
      <c r="F27" s="11"/>
      <c r="G27" s="12" t="s">
        <v>74</v>
      </c>
      <c r="H27" s="12" t="s">
        <v>75</v>
      </c>
      <c r="I27" s="12" t="s">
        <v>76</v>
      </c>
      <c r="J27" s="12" t="s">
        <v>77</v>
      </c>
      <c r="K27" s="12" t="s">
        <v>204</v>
      </c>
      <c r="L27" s="12" t="s">
        <v>138</v>
      </c>
      <c r="M27" s="12" t="s">
        <v>80</v>
      </c>
      <c r="N27" s="12" t="s">
        <v>81</v>
      </c>
      <c r="O27" s="12" t="s">
        <v>81</v>
      </c>
      <c r="P27" s="12" t="s">
        <v>205</v>
      </c>
      <c r="Q27" s="12" t="s">
        <v>83</v>
      </c>
      <c r="R27" s="11"/>
      <c r="S27" s="11"/>
      <c r="T27" s="11"/>
      <c r="U27" s="11"/>
      <c r="V27" s="10">
        <v>0</v>
      </c>
      <c r="W27" s="10">
        <v>10</v>
      </c>
      <c r="X27" s="10">
        <v>10</v>
      </c>
      <c r="Y27" s="10">
        <v>17</v>
      </c>
      <c r="Z27" s="10">
        <v>48.156342000001999</v>
      </c>
      <c r="AA27" s="11"/>
      <c r="AB27" s="11"/>
      <c r="AC27" s="11"/>
      <c r="AD27" s="11"/>
      <c r="AE27" s="11"/>
      <c r="AF27" s="11"/>
      <c r="AG27" s="11"/>
      <c r="AH27" s="10">
        <v>48.146385333035099</v>
      </c>
      <c r="AI27" s="10">
        <v>48.156342000001999</v>
      </c>
      <c r="AJ27" s="10">
        <v>48.156342000001999</v>
      </c>
      <c r="AK27" s="10">
        <v>48.156342000001999</v>
      </c>
      <c r="AL27" s="10">
        <v>3.2919580116868002E-3</v>
      </c>
      <c r="AM27" s="10">
        <v>55.1630967920646</v>
      </c>
      <c r="AN27" s="12" t="s">
        <v>77</v>
      </c>
      <c r="AO27" s="12" t="s">
        <v>204</v>
      </c>
      <c r="AP27" s="12" t="s">
        <v>138</v>
      </c>
      <c r="AQ27" s="12" t="s">
        <v>80</v>
      </c>
      <c r="AR27" s="12" t="s">
        <v>81</v>
      </c>
      <c r="AS27" s="12" t="s">
        <v>81</v>
      </c>
      <c r="AT27" s="12" t="s">
        <v>205</v>
      </c>
      <c r="AU27" s="12" t="s">
        <v>83</v>
      </c>
      <c r="AV27" s="10">
        <v>2</v>
      </c>
      <c r="AW27" s="10">
        <v>1</v>
      </c>
      <c r="AX27" s="12" t="s">
        <v>179</v>
      </c>
      <c r="AY27" s="12" t="s">
        <v>57</v>
      </c>
      <c r="AZ27" s="11"/>
      <c r="BA27" s="12" t="s">
        <v>58</v>
      </c>
      <c r="BB27" s="10">
        <v>120.393203665287</v>
      </c>
      <c r="BC27" s="12" t="s">
        <v>180</v>
      </c>
      <c r="BD27" s="11"/>
    </row>
    <row r="28" spans="1:56" x14ac:dyDescent="0.15">
      <c r="A28" s="13"/>
      <c r="B28" s="9">
        <v>11</v>
      </c>
      <c r="C28" s="10">
        <v>11</v>
      </c>
      <c r="D28" s="10">
        <v>0</v>
      </c>
      <c r="E28" s="11"/>
      <c r="F28" s="11"/>
      <c r="G28" s="12" t="s">
        <v>92</v>
      </c>
      <c r="H28" s="12" t="s">
        <v>93</v>
      </c>
      <c r="I28" s="12" t="s">
        <v>85</v>
      </c>
      <c r="J28" s="12" t="s">
        <v>93</v>
      </c>
      <c r="K28" s="12" t="s">
        <v>206</v>
      </c>
      <c r="L28" s="12" t="s">
        <v>207</v>
      </c>
      <c r="M28" s="12" t="s">
        <v>80</v>
      </c>
      <c r="N28" s="12" t="s">
        <v>81</v>
      </c>
      <c r="O28" s="12" t="s">
        <v>81</v>
      </c>
      <c r="P28" s="12" t="s">
        <v>208</v>
      </c>
      <c r="Q28" s="12" t="s">
        <v>83</v>
      </c>
      <c r="R28" s="11"/>
      <c r="S28" s="11"/>
      <c r="T28" s="11"/>
      <c r="U28" s="11"/>
      <c r="V28" s="10">
        <v>0</v>
      </c>
      <c r="W28" s="10">
        <v>11</v>
      </c>
      <c r="X28" s="10">
        <v>11</v>
      </c>
      <c r="Y28" s="10">
        <v>2</v>
      </c>
      <c r="Z28" s="10">
        <v>55.178258833009799</v>
      </c>
      <c r="AA28" s="11"/>
      <c r="AB28" s="11"/>
      <c r="AC28" s="11"/>
      <c r="AD28" s="11"/>
      <c r="AE28" s="11"/>
      <c r="AF28" s="11"/>
      <c r="AG28" s="11"/>
      <c r="AH28" s="10">
        <v>55.166407792130499</v>
      </c>
      <c r="AI28" s="10">
        <v>55.178258833009799</v>
      </c>
      <c r="AJ28" s="10">
        <v>55.178258833009799</v>
      </c>
      <c r="AK28" s="10">
        <v>55.178258833009799</v>
      </c>
      <c r="AL28" s="10">
        <v>3.1475829891860498E-3</v>
      </c>
      <c r="AM28" s="10">
        <v>58.042689958121599</v>
      </c>
      <c r="AN28" s="12" t="s">
        <v>93</v>
      </c>
      <c r="AO28" s="12" t="s">
        <v>206</v>
      </c>
      <c r="AP28" s="12" t="s">
        <v>207</v>
      </c>
      <c r="AQ28" s="12" t="s">
        <v>80</v>
      </c>
      <c r="AR28" s="12" t="s">
        <v>81</v>
      </c>
      <c r="AS28" s="12" t="s">
        <v>81</v>
      </c>
      <c r="AT28" s="12" t="s">
        <v>208</v>
      </c>
      <c r="AU28" s="12" t="s">
        <v>83</v>
      </c>
      <c r="AV28" s="10">
        <v>2</v>
      </c>
      <c r="AW28" s="10">
        <v>1</v>
      </c>
      <c r="AX28" s="12" t="s">
        <v>179</v>
      </c>
      <c r="AY28" s="12" t="s">
        <v>57</v>
      </c>
      <c r="AZ28" s="11"/>
      <c r="BA28" s="12" t="s">
        <v>58</v>
      </c>
      <c r="BB28" s="10">
        <v>120.393203665287</v>
      </c>
      <c r="BC28" s="12" t="s">
        <v>180</v>
      </c>
      <c r="BD28" s="11"/>
    </row>
    <row r="29" spans="1:56" x14ac:dyDescent="0.15">
      <c r="A29" s="13"/>
      <c r="B29" s="9">
        <v>12</v>
      </c>
      <c r="C29" s="10">
        <v>12</v>
      </c>
      <c r="D29" s="10">
        <v>0</v>
      </c>
      <c r="E29" s="11"/>
      <c r="F29" s="11"/>
      <c r="G29" s="12" t="s">
        <v>164</v>
      </c>
      <c r="H29" s="12" t="s">
        <v>165</v>
      </c>
      <c r="I29" s="12" t="s">
        <v>76</v>
      </c>
      <c r="J29" s="12" t="s">
        <v>166</v>
      </c>
      <c r="K29" s="12" t="s">
        <v>209</v>
      </c>
      <c r="L29" s="12" t="s">
        <v>210</v>
      </c>
      <c r="M29" s="12" t="s">
        <v>80</v>
      </c>
      <c r="N29" s="12" t="s">
        <v>81</v>
      </c>
      <c r="O29" s="12" t="s">
        <v>81</v>
      </c>
      <c r="P29" s="12" t="s">
        <v>211</v>
      </c>
      <c r="Q29" s="12" t="s">
        <v>83</v>
      </c>
      <c r="R29" s="11"/>
      <c r="S29" s="11"/>
      <c r="T29" s="11"/>
      <c r="U29" s="11"/>
      <c r="V29" s="10">
        <v>0</v>
      </c>
      <c r="W29" s="10">
        <v>12</v>
      </c>
      <c r="X29" s="10">
        <v>12</v>
      </c>
      <c r="Y29" s="10">
        <v>19</v>
      </c>
      <c r="Z29" s="10">
        <v>58.055136708077001</v>
      </c>
      <c r="AA29" s="11"/>
      <c r="AB29" s="11"/>
      <c r="AC29" s="11"/>
      <c r="AD29" s="11"/>
      <c r="AE29" s="11"/>
      <c r="AF29" s="11"/>
      <c r="AG29" s="11"/>
      <c r="AH29" s="10">
        <v>58.044896500185096</v>
      </c>
      <c r="AI29" s="10">
        <v>58.055136708077001</v>
      </c>
      <c r="AJ29" s="10">
        <v>58.055136708077001</v>
      </c>
      <c r="AK29" s="10">
        <v>58.055136708077001</v>
      </c>
      <c r="AL29" s="10">
        <v>2.1229169797152298E-3</v>
      </c>
      <c r="AM29" s="10">
        <v>60.4424916671123</v>
      </c>
      <c r="AN29" s="12" t="s">
        <v>166</v>
      </c>
      <c r="AO29" s="12" t="s">
        <v>209</v>
      </c>
      <c r="AP29" s="12" t="s">
        <v>210</v>
      </c>
      <c r="AQ29" s="12" t="s">
        <v>80</v>
      </c>
      <c r="AR29" s="12" t="s">
        <v>81</v>
      </c>
      <c r="AS29" s="12" t="s">
        <v>81</v>
      </c>
      <c r="AT29" s="12" t="s">
        <v>211</v>
      </c>
      <c r="AU29" s="12" t="s">
        <v>83</v>
      </c>
      <c r="AV29" s="10">
        <v>2</v>
      </c>
      <c r="AW29" s="10">
        <v>1</v>
      </c>
      <c r="AX29" s="12" t="s">
        <v>179</v>
      </c>
      <c r="AY29" s="12" t="s">
        <v>57</v>
      </c>
      <c r="AZ29" s="11"/>
      <c r="BA29" s="12" t="s">
        <v>58</v>
      </c>
      <c r="BB29" s="10">
        <v>120.393203665287</v>
      </c>
      <c r="BC29" s="12" t="s">
        <v>180</v>
      </c>
      <c r="BD29" s="11"/>
    </row>
    <row r="30" spans="1:56" x14ac:dyDescent="0.15">
      <c r="A30" s="13"/>
      <c r="B30" s="9">
        <v>13</v>
      </c>
      <c r="C30" s="10">
        <v>13</v>
      </c>
      <c r="D30" s="10">
        <v>0</v>
      </c>
      <c r="E30" s="11"/>
      <c r="F30" s="11"/>
      <c r="G30" s="12" t="s">
        <v>120</v>
      </c>
      <c r="H30" s="12" t="s">
        <v>121</v>
      </c>
      <c r="I30" s="12" t="s">
        <v>85</v>
      </c>
      <c r="J30" s="12" t="s">
        <v>70</v>
      </c>
      <c r="K30" s="12" t="s">
        <v>212</v>
      </c>
      <c r="L30" s="12" t="s">
        <v>213</v>
      </c>
      <c r="M30" s="12" t="s">
        <v>80</v>
      </c>
      <c r="N30" s="12" t="s">
        <v>81</v>
      </c>
      <c r="O30" s="12" t="s">
        <v>81</v>
      </c>
      <c r="P30" s="12" t="s">
        <v>214</v>
      </c>
      <c r="Q30" s="12" t="s">
        <v>83</v>
      </c>
      <c r="R30" s="11"/>
      <c r="S30" s="11"/>
      <c r="T30" s="11"/>
      <c r="U30" s="11"/>
      <c r="V30" s="10">
        <v>0</v>
      </c>
      <c r="W30" s="10">
        <v>13</v>
      </c>
      <c r="X30" s="10">
        <v>13</v>
      </c>
      <c r="Y30" s="10">
        <v>12</v>
      </c>
      <c r="Z30" s="10">
        <v>60.453840000089301</v>
      </c>
      <c r="AA30" s="11"/>
      <c r="AB30" s="11"/>
      <c r="AC30" s="11"/>
      <c r="AD30" s="11"/>
      <c r="AE30" s="11"/>
      <c r="AF30" s="11"/>
      <c r="AG30" s="11"/>
      <c r="AH30" s="10">
        <v>60.4444775420707</v>
      </c>
      <c r="AI30" s="10">
        <v>60.453840000089301</v>
      </c>
      <c r="AJ30" s="10">
        <v>60.453840000089301</v>
      </c>
      <c r="AK30" s="10">
        <v>60.453840000089301</v>
      </c>
      <c r="AL30" s="10">
        <v>1.89149985089898E-3</v>
      </c>
      <c r="AM30" s="10">
        <v>63.776517542079098</v>
      </c>
      <c r="AN30" s="12" t="s">
        <v>70</v>
      </c>
      <c r="AO30" s="12" t="s">
        <v>212</v>
      </c>
      <c r="AP30" s="12" t="s">
        <v>213</v>
      </c>
      <c r="AQ30" s="12" t="s">
        <v>80</v>
      </c>
      <c r="AR30" s="12" t="s">
        <v>81</v>
      </c>
      <c r="AS30" s="12" t="s">
        <v>81</v>
      </c>
      <c r="AT30" s="12" t="s">
        <v>214</v>
      </c>
      <c r="AU30" s="12" t="s">
        <v>83</v>
      </c>
      <c r="AV30" s="10">
        <v>2</v>
      </c>
      <c r="AW30" s="10">
        <v>1</v>
      </c>
      <c r="AX30" s="12" t="s">
        <v>179</v>
      </c>
      <c r="AY30" s="12" t="s">
        <v>57</v>
      </c>
      <c r="AZ30" s="11"/>
      <c r="BA30" s="12" t="s">
        <v>58</v>
      </c>
      <c r="BB30" s="10">
        <v>120.393203665287</v>
      </c>
      <c r="BC30" s="12" t="s">
        <v>180</v>
      </c>
      <c r="BD30" s="11"/>
    </row>
    <row r="31" spans="1:56" x14ac:dyDescent="0.15">
      <c r="A31" s="13"/>
      <c r="B31" s="9">
        <v>14</v>
      </c>
      <c r="C31" s="10">
        <v>14</v>
      </c>
      <c r="D31" s="10">
        <v>0</v>
      </c>
      <c r="E31" s="11"/>
      <c r="F31" s="11"/>
      <c r="G31" s="12" t="s">
        <v>174</v>
      </c>
      <c r="H31" s="12" t="s">
        <v>175</v>
      </c>
      <c r="I31" s="12" t="s">
        <v>76</v>
      </c>
      <c r="J31" s="12" t="s">
        <v>176</v>
      </c>
      <c r="K31" s="12" t="s">
        <v>215</v>
      </c>
      <c r="L31" s="12" t="s">
        <v>114</v>
      </c>
      <c r="M31" s="12" t="s">
        <v>80</v>
      </c>
      <c r="N31" s="12" t="s">
        <v>81</v>
      </c>
      <c r="O31" s="12" t="s">
        <v>81</v>
      </c>
      <c r="P31" s="12" t="s">
        <v>216</v>
      </c>
      <c r="Q31" s="12" t="s">
        <v>83</v>
      </c>
      <c r="R31" s="11"/>
      <c r="S31" s="11"/>
      <c r="T31" s="11"/>
      <c r="U31" s="11"/>
      <c r="V31" s="10">
        <v>0</v>
      </c>
      <c r="W31" s="10">
        <v>14</v>
      </c>
      <c r="X31" s="10">
        <v>14</v>
      </c>
      <c r="Y31" s="10">
        <v>16</v>
      </c>
      <c r="Z31" s="10">
        <v>63.788860667031301</v>
      </c>
      <c r="AA31" s="11"/>
      <c r="AB31" s="11"/>
      <c r="AC31" s="11"/>
      <c r="AD31" s="11"/>
      <c r="AE31" s="11"/>
      <c r="AF31" s="11"/>
      <c r="AG31" s="11"/>
      <c r="AH31" s="10">
        <v>63.778542417101598</v>
      </c>
      <c r="AI31" s="10">
        <v>63.788860667031301</v>
      </c>
      <c r="AJ31" s="10">
        <v>63.788860667031301</v>
      </c>
      <c r="AK31" s="10">
        <v>63.788860667031301</v>
      </c>
      <c r="AL31" s="10">
        <v>1.9147919956594699E-3</v>
      </c>
      <c r="AM31" s="10">
        <v>66.108748374972507</v>
      </c>
      <c r="AN31" s="12" t="s">
        <v>176</v>
      </c>
      <c r="AO31" s="12" t="s">
        <v>215</v>
      </c>
      <c r="AP31" s="12" t="s">
        <v>114</v>
      </c>
      <c r="AQ31" s="12" t="s">
        <v>80</v>
      </c>
      <c r="AR31" s="12" t="s">
        <v>81</v>
      </c>
      <c r="AS31" s="12" t="s">
        <v>81</v>
      </c>
      <c r="AT31" s="12" t="s">
        <v>216</v>
      </c>
      <c r="AU31" s="12" t="s">
        <v>83</v>
      </c>
      <c r="AV31" s="10">
        <v>2</v>
      </c>
      <c r="AW31" s="10">
        <v>1</v>
      </c>
      <c r="AX31" s="12" t="s">
        <v>179</v>
      </c>
      <c r="AY31" s="12" t="s">
        <v>57</v>
      </c>
      <c r="AZ31" s="11"/>
      <c r="BA31" s="12" t="s">
        <v>58</v>
      </c>
      <c r="BB31" s="10">
        <v>120.393203665287</v>
      </c>
      <c r="BC31" s="12" t="s">
        <v>180</v>
      </c>
      <c r="BD31" s="11"/>
    </row>
    <row r="32" spans="1:56" x14ac:dyDescent="0.15">
      <c r="A32" s="13"/>
      <c r="B32" s="9">
        <v>15</v>
      </c>
      <c r="C32" s="10">
        <v>15</v>
      </c>
      <c r="D32" s="10">
        <v>0</v>
      </c>
      <c r="E32" s="11"/>
      <c r="F32" s="11"/>
      <c r="G32" s="12" t="s">
        <v>170</v>
      </c>
      <c r="H32" s="12" t="s">
        <v>65</v>
      </c>
      <c r="I32" s="12" t="s">
        <v>85</v>
      </c>
      <c r="J32" s="12" t="s">
        <v>65</v>
      </c>
      <c r="K32" s="12" t="s">
        <v>217</v>
      </c>
      <c r="L32" s="12" t="s">
        <v>95</v>
      </c>
      <c r="M32" s="12" t="s">
        <v>80</v>
      </c>
      <c r="N32" s="12" t="s">
        <v>81</v>
      </c>
      <c r="O32" s="12" t="s">
        <v>81</v>
      </c>
      <c r="P32" s="12" t="s">
        <v>218</v>
      </c>
      <c r="Q32" s="12" t="s">
        <v>83</v>
      </c>
      <c r="R32" s="11"/>
      <c r="S32" s="11"/>
      <c r="T32" s="11"/>
      <c r="U32" s="11"/>
      <c r="V32" s="10">
        <v>0</v>
      </c>
      <c r="W32" s="10">
        <v>15</v>
      </c>
      <c r="X32" s="10">
        <v>15</v>
      </c>
      <c r="Y32" s="10">
        <v>4</v>
      </c>
      <c r="Z32" s="10">
        <v>66.120976042002397</v>
      </c>
      <c r="AA32" s="11"/>
      <c r="AB32" s="11"/>
      <c r="AC32" s="11"/>
      <c r="AD32" s="11"/>
      <c r="AE32" s="11"/>
      <c r="AF32" s="11"/>
      <c r="AG32" s="11"/>
      <c r="AH32" s="10">
        <v>66.110949375201002</v>
      </c>
      <c r="AI32" s="10">
        <v>66.120976042002397</v>
      </c>
      <c r="AJ32" s="10">
        <v>66.120976042002397</v>
      </c>
      <c r="AK32" s="10">
        <v>66.120976042002397</v>
      </c>
      <c r="AL32" s="10">
        <v>2.1068749483674799E-3</v>
      </c>
      <c r="AM32" s="10">
        <v>68.925938333151905</v>
      </c>
      <c r="AN32" s="12" t="s">
        <v>65</v>
      </c>
      <c r="AO32" s="12" t="s">
        <v>217</v>
      </c>
      <c r="AP32" s="12" t="s">
        <v>95</v>
      </c>
      <c r="AQ32" s="12" t="s">
        <v>80</v>
      </c>
      <c r="AR32" s="12" t="s">
        <v>81</v>
      </c>
      <c r="AS32" s="12" t="s">
        <v>81</v>
      </c>
      <c r="AT32" s="12" t="s">
        <v>218</v>
      </c>
      <c r="AU32" s="12" t="s">
        <v>83</v>
      </c>
      <c r="AV32" s="10">
        <v>2</v>
      </c>
      <c r="AW32" s="10">
        <v>1</v>
      </c>
      <c r="AX32" s="12" t="s">
        <v>179</v>
      </c>
      <c r="AY32" s="12" t="s">
        <v>57</v>
      </c>
      <c r="AZ32" s="11"/>
      <c r="BA32" s="12" t="s">
        <v>58</v>
      </c>
      <c r="BB32" s="10">
        <v>120.393203665287</v>
      </c>
      <c r="BC32" s="12" t="s">
        <v>180</v>
      </c>
      <c r="BD32" s="11"/>
    </row>
    <row r="33" spans="1:56" x14ac:dyDescent="0.15">
      <c r="A33" s="13"/>
      <c r="B33" s="9">
        <v>16</v>
      </c>
      <c r="C33" s="10">
        <v>16</v>
      </c>
      <c r="D33" s="10">
        <v>0</v>
      </c>
      <c r="E33" s="11"/>
      <c r="F33" s="11"/>
      <c r="G33" s="12" t="s">
        <v>135</v>
      </c>
      <c r="H33" s="12" t="s">
        <v>136</v>
      </c>
      <c r="I33" s="12" t="s">
        <v>85</v>
      </c>
      <c r="J33" s="12" t="s">
        <v>219</v>
      </c>
      <c r="K33" s="12" t="s">
        <v>220</v>
      </c>
      <c r="L33" s="12" t="s">
        <v>221</v>
      </c>
      <c r="M33" s="12" t="s">
        <v>88</v>
      </c>
      <c r="N33" s="12" t="s">
        <v>89</v>
      </c>
      <c r="O33" s="12" t="s">
        <v>89</v>
      </c>
      <c r="P33" s="12" t="s">
        <v>222</v>
      </c>
      <c r="Q33" s="12" t="s">
        <v>91</v>
      </c>
      <c r="R33" s="11"/>
      <c r="S33" s="11"/>
      <c r="T33" s="11"/>
      <c r="U33" s="11"/>
      <c r="V33" s="10">
        <v>0</v>
      </c>
      <c r="W33" s="10">
        <v>16</v>
      </c>
      <c r="X33" s="10">
        <v>16</v>
      </c>
      <c r="Y33" s="10">
        <v>13</v>
      </c>
      <c r="Z33" s="10">
        <v>68.938680750084998</v>
      </c>
      <c r="AA33" s="11"/>
      <c r="AB33" s="11"/>
      <c r="AC33" s="11"/>
      <c r="AD33" s="11"/>
      <c r="AE33" s="11"/>
      <c r="AF33" s="11"/>
      <c r="AG33" s="11"/>
      <c r="AH33" s="10">
        <v>68.927987458184404</v>
      </c>
      <c r="AI33" s="10">
        <v>68.938680750084998</v>
      </c>
      <c r="AJ33" s="10">
        <v>68.938680750084998</v>
      </c>
      <c r="AK33" s="10">
        <v>68.938680750084998</v>
      </c>
      <c r="AL33" s="10">
        <v>1.91070907749236E-3</v>
      </c>
      <c r="AM33" s="10">
        <v>75.394480457995101</v>
      </c>
      <c r="AN33" s="12" t="s">
        <v>219</v>
      </c>
      <c r="AO33" s="12" t="s">
        <v>220</v>
      </c>
      <c r="AP33" s="12" t="s">
        <v>221</v>
      </c>
      <c r="AQ33" s="12" t="s">
        <v>88</v>
      </c>
      <c r="AR33" s="12" t="s">
        <v>89</v>
      </c>
      <c r="AS33" s="12" t="s">
        <v>89</v>
      </c>
      <c r="AT33" s="12" t="s">
        <v>222</v>
      </c>
      <c r="AU33" s="12" t="s">
        <v>91</v>
      </c>
      <c r="AV33" s="10">
        <v>2</v>
      </c>
      <c r="AW33" s="10">
        <v>1</v>
      </c>
      <c r="AX33" s="12" t="s">
        <v>179</v>
      </c>
      <c r="AY33" s="12" t="s">
        <v>57</v>
      </c>
      <c r="AZ33" s="11"/>
      <c r="BA33" s="12" t="s">
        <v>58</v>
      </c>
      <c r="BB33" s="10">
        <v>120.393203665287</v>
      </c>
      <c r="BC33" s="12" t="s">
        <v>180</v>
      </c>
      <c r="BD33" s="11"/>
    </row>
    <row r="34" spans="1:56" x14ac:dyDescent="0.15">
      <c r="A34" s="13"/>
      <c r="B34" s="9">
        <v>17</v>
      </c>
      <c r="C34" s="10">
        <v>17</v>
      </c>
      <c r="D34" s="10">
        <v>0</v>
      </c>
      <c r="E34" s="11"/>
      <c r="F34" s="11"/>
      <c r="G34" s="12" t="s">
        <v>111</v>
      </c>
      <c r="H34" s="12" t="s">
        <v>69</v>
      </c>
      <c r="I34" s="12" t="s">
        <v>85</v>
      </c>
      <c r="J34" s="12" t="s">
        <v>112</v>
      </c>
      <c r="K34" s="12" t="s">
        <v>223</v>
      </c>
      <c r="L34" s="12" t="s">
        <v>123</v>
      </c>
      <c r="M34" s="12" t="s">
        <v>80</v>
      </c>
      <c r="N34" s="12" t="s">
        <v>81</v>
      </c>
      <c r="O34" s="12" t="s">
        <v>81</v>
      </c>
      <c r="P34" s="12" t="s">
        <v>224</v>
      </c>
      <c r="Q34" s="12" t="s">
        <v>83</v>
      </c>
      <c r="R34" s="11"/>
      <c r="S34" s="11"/>
      <c r="T34" s="11"/>
      <c r="U34" s="11"/>
      <c r="V34" s="10">
        <v>0</v>
      </c>
      <c r="W34" s="10">
        <v>17</v>
      </c>
      <c r="X34" s="10">
        <v>17</v>
      </c>
      <c r="Y34" s="10">
        <v>0</v>
      </c>
      <c r="Z34" s="10">
        <v>75.406951875193002</v>
      </c>
      <c r="AA34" s="11"/>
      <c r="AB34" s="11"/>
      <c r="AC34" s="11"/>
      <c r="AD34" s="11"/>
      <c r="AE34" s="11"/>
      <c r="AF34" s="11"/>
      <c r="AG34" s="11"/>
      <c r="AH34" s="10">
        <v>75.396719958167495</v>
      </c>
      <c r="AI34" s="10">
        <v>75.406951875193002</v>
      </c>
      <c r="AJ34" s="10">
        <v>75.406951875193002</v>
      </c>
      <c r="AK34" s="10">
        <v>75.406951875193002</v>
      </c>
      <c r="AL34" s="10">
        <v>2.11091712117195E-3</v>
      </c>
      <c r="AM34" s="10">
        <v>78.202611667104094</v>
      </c>
      <c r="AN34" s="12" t="s">
        <v>112</v>
      </c>
      <c r="AO34" s="12" t="s">
        <v>223</v>
      </c>
      <c r="AP34" s="12" t="s">
        <v>123</v>
      </c>
      <c r="AQ34" s="12" t="s">
        <v>80</v>
      </c>
      <c r="AR34" s="12" t="s">
        <v>81</v>
      </c>
      <c r="AS34" s="12" t="s">
        <v>81</v>
      </c>
      <c r="AT34" s="12" t="s">
        <v>224</v>
      </c>
      <c r="AU34" s="12" t="s">
        <v>83</v>
      </c>
      <c r="AV34" s="10">
        <v>2</v>
      </c>
      <c r="AW34" s="10">
        <v>1</v>
      </c>
      <c r="AX34" s="12" t="s">
        <v>179</v>
      </c>
      <c r="AY34" s="12" t="s">
        <v>57</v>
      </c>
      <c r="AZ34" s="11"/>
      <c r="BA34" s="12" t="s">
        <v>58</v>
      </c>
      <c r="BB34" s="10">
        <v>120.393203665287</v>
      </c>
      <c r="BC34" s="12" t="s">
        <v>180</v>
      </c>
      <c r="BD34" s="11"/>
    </row>
    <row r="35" spans="1:56" x14ac:dyDescent="0.15">
      <c r="A35" s="13"/>
      <c r="B35" s="9">
        <v>18</v>
      </c>
      <c r="C35" s="10">
        <v>18</v>
      </c>
      <c r="D35" s="10">
        <v>0</v>
      </c>
      <c r="E35" s="11"/>
      <c r="F35" s="11"/>
      <c r="G35" s="12" t="s">
        <v>116</v>
      </c>
      <c r="H35" s="12" t="s">
        <v>73</v>
      </c>
      <c r="I35" s="12" t="s">
        <v>85</v>
      </c>
      <c r="J35" s="12" t="s">
        <v>73</v>
      </c>
      <c r="K35" s="12" t="s">
        <v>225</v>
      </c>
      <c r="L35" s="12" t="s">
        <v>95</v>
      </c>
      <c r="M35" s="12" t="s">
        <v>80</v>
      </c>
      <c r="N35" s="12" t="s">
        <v>81</v>
      </c>
      <c r="O35" s="12" t="s">
        <v>81</v>
      </c>
      <c r="P35" s="12" t="s">
        <v>226</v>
      </c>
      <c r="Q35" s="12" t="s">
        <v>83</v>
      </c>
      <c r="R35" s="11"/>
      <c r="S35" s="11"/>
      <c r="T35" s="11"/>
      <c r="U35" s="11"/>
      <c r="V35" s="10">
        <v>0</v>
      </c>
      <c r="W35" s="10">
        <v>18</v>
      </c>
      <c r="X35" s="10">
        <v>18</v>
      </c>
      <c r="Y35" s="10">
        <v>8</v>
      </c>
      <c r="Z35" s="10">
        <v>78.215969667071505</v>
      </c>
      <c r="AA35" s="11"/>
      <c r="AB35" s="11"/>
      <c r="AC35" s="11"/>
      <c r="AD35" s="11"/>
      <c r="AE35" s="11"/>
      <c r="AF35" s="11"/>
      <c r="AG35" s="11"/>
      <c r="AH35" s="10">
        <v>78.205149708082899</v>
      </c>
      <c r="AI35" s="10">
        <v>78.215969667071505</v>
      </c>
      <c r="AJ35" s="10">
        <v>78.215969667071505</v>
      </c>
      <c r="AK35" s="10">
        <v>78.215969667071505</v>
      </c>
      <c r="AL35" s="10">
        <v>2.4156668223440599E-3</v>
      </c>
      <c r="AM35" s="10">
        <v>81.278531333198799</v>
      </c>
      <c r="AN35" s="12" t="s">
        <v>73</v>
      </c>
      <c r="AO35" s="12" t="s">
        <v>225</v>
      </c>
      <c r="AP35" s="12" t="s">
        <v>95</v>
      </c>
      <c r="AQ35" s="12" t="s">
        <v>80</v>
      </c>
      <c r="AR35" s="12" t="s">
        <v>81</v>
      </c>
      <c r="AS35" s="12" t="s">
        <v>81</v>
      </c>
      <c r="AT35" s="12" t="s">
        <v>226</v>
      </c>
      <c r="AU35" s="12" t="s">
        <v>83</v>
      </c>
      <c r="AV35" s="10">
        <v>2</v>
      </c>
      <c r="AW35" s="10">
        <v>1</v>
      </c>
      <c r="AX35" s="12" t="s">
        <v>179</v>
      </c>
      <c r="AY35" s="12" t="s">
        <v>57</v>
      </c>
      <c r="AZ35" s="11"/>
      <c r="BA35" s="12" t="s">
        <v>58</v>
      </c>
      <c r="BB35" s="10">
        <v>120.393203665287</v>
      </c>
      <c r="BC35" s="12" t="s">
        <v>180</v>
      </c>
      <c r="BD35" s="11"/>
    </row>
    <row r="36" spans="1:56" x14ac:dyDescent="0.15">
      <c r="A36" s="13"/>
      <c r="B36" s="9">
        <v>19</v>
      </c>
      <c r="C36" s="10">
        <v>19</v>
      </c>
      <c r="D36" s="10">
        <v>0</v>
      </c>
      <c r="E36" s="11"/>
      <c r="F36" s="11"/>
      <c r="G36" s="12" t="s">
        <v>145</v>
      </c>
      <c r="H36" s="12" t="s">
        <v>72</v>
      </c>
      <c r="I36" s="12" t="s">
        <v>85</v>
      </c>
      <c r="J36" s="12" t="s">
        <v>72</v>
      </c>
      <c r="K36" s="12" t="s">
        <v>227</v>
      </c>
      <c r="L36" s="12" t="s">
        <v>228</v>
      </c>
      <c r="M36" s="12" t="s">
        <v>80</v>
      </c>
      <c r="N36" s="12" t="s">
        <v>81</v>
      </c>
      <c r="O36" s="12" t="s">
        <v>81</v>
      </c>
      <c r="P36" s="12" t="s">
        <v>229</v>
      </c>
      <c r="Q36" s="12" t="s">
        <v>83</v>
      </c>
      <c r="R36" s="11"/>
      <c r="S36" s="11"/>
      <c r="T36" s="11"/>
      <c r="U36" s="11"/>
      <c r="V36" s="10">
        <v>0</v>
      </c>
      <c r="W36" s="10">
        <v>19</v>
      </c>
      <c r="X36" s="10">
        <v>19</v>
      </c>
      <c r="Y36" s="10">
        <v>7</v>
      </c>
      <c r="Z36" s="10">
        <v>81.291490458184896</v>
      </c>
      <c r="AA36" s="11"/>
      <c r="AB36" s="11"/>
      <c r="AC36" s="11"/>
      <c r="AD36" s="11"/>
      <c r="AE36" s="11"/>
      <c r="AF36" s="11"/>
      <c r="AG36" s="11"/>
      <c r="AH36" s="10">
        <v>81.281132917152703</v>
      </c>
      <c r="AI36" s="10">
        <v>81.291490458184896</v>
      </c>
      <c r="AJ36" s="10">
        <v>81.291490458184896</v>
      </c>
      <c r="AK36" s="10">
        <v>81.291490458184896</v>
      </c>
      <c r="AL36" s="10">
        <v>2.48012505471706E-3</v>
      </c>
      <c r="AM36" s="10">
        <v>83.827054292196394</v>
      </c>
      <c r="AN36" s="12" t="s">
        <v>72</v>
      </c>
      <c r="AO36" s="12" t="s">
        <v>227</v>
      </c>
      <c r="AP36" s="12" t="s">
        <v>228</v>
      </c>
      <c r="AQ36" s="12" t="s">
        <v>80</v>
      </c>
      <c r="AR36" s="12" t="s">
        <v>81</v>
      </c>
      <c r="AS36" s="12" t="s">
        <v>81</v>
      </c>
      <c r="AT36" s="12" t="s">
        <v>229</v>
      </c>
      <c r="AU36" s="12" t="s">
        <v>83</v>
      </c>
      <c r="AV36" s="10">
        <v>2</v>
      </c>
      <c r="AW36" s="10">
        <v>1</v>
      </c>
      <c r="AX36" s="12" t="s">
        <v>179</v>
      </c>
      <c r="AY36" s="12" t="s">
        <v>57</v>
      </c>
      <c r="AZ36" s="11"/>
      <c r="BA36" s="12" t="s">
        <v>58</v>
      </c>
      <c r="BB36" s="10">
        <v>120.393203665287</v>
      </c>
      <c r="BC36" s="12" t="s">
        <v>180</v>
      </c>
      <c r="BD36" s="11"/>
    </row>
    <row r="40" spans="1:56" ht="14" x14ac:dyDescent="0.15">
      <c r="G40" s="16" t="s">
        <v>278</v>
      </c>
      <c r="H40" s="15">
        <v>12</v>
      </c>
      <c r="I40" s="15">
        <f>12/15</f>
        <v>0.8</v>
      </c>
    </row>
    <row r="41" spans="1:56" ht="14" x14ac:dyDescent="0.15">
      <c r="G41" s="16" t="s">
        <v>279</v>
      </c>
      <c r="H41" s="15">
        <v>5</v>
      </c>
      <c r="I41" s="17">
        <f>5/5</f>
        <v>1</v>
      </c>
    </row>
    <row r="42" spans="1:56" x14ac:dyDescent="0.15">
      <c r="G42" s="15"/>
      <c r="H42" s="15"/>
      <c r="I42" s="15"/>
    </row>
    <row r="43" spans="1:56" ht="14" x14ac:dyDescent="0.15">
      <c r="G43" s="16" t="s">
        <v>280</v>
      </c>
      <c r="H43" s="15"/>
      <c r="I43" s="18">
        <f>I40-I41</f>
        <v>-0.19999999999999996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26FC-4D68-C04F-8D07-FF99A4AFFB80}">
  <dimension ref="A1:BD43"/>
  <sheetViews>
    <sheetView workbookViewId="0">
      <selection activeCell="G40" sqref="G40:I43"/>
    </sheetView>
  </sheetViews>
  <sheetFormatPr baseColWidth="10" defaultRowHeight="13" x14ac:dyDescent="0.15"/>
  <cols>
    <col min="7" max="7" width="26.83203125" customWidth="1"/>
    <col min="9" max="9" width="11.6640625" bestFit="1" customWidth="1"/>
  </cols>
  <sheetData>
    <row r="1" spans="1:5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/>
    </row>
    <row r="2" spans="1:56" x14ac:dyDescent="0.15">
      <c r="A2" s="3" t="s">
        <v>72</v>
      </c>
      <c r="B2" s="4">
        <v>0</v>
      </c>
      <c r="C2" s="5">
        <v>0</v>
      </c>
      <c r="D2" s="5">
        <v>0</v>
      </c>
      <c r="E2" s="5">
        <v>1.0177777777777799</v>
      </c>
      <c r="F2" s="5">
        <v>1.8276829589158301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5">
        <v>0</v>
      </c>
      <c r="S2" s="5">
        <v>0</v>
      </c>
      <c r="T2" s="5">
        <v>0</v>
      </c>
      <c r="U2" s="5">
        <v>12</v>
      </c>
      <c r="V2" s="6"/>
      <c r="W2" s="6"/>
      <c r="X2" s="6"/>
      <c r="Y2" s="6"/>
      <c r="Z2" s="5">
        <v>7.6922749867662801E-2</v>
      </c>
      <c r="AA2" s="6"/>
      <c r="AB2" s="5">
        <v>5.1182041876018103E-2</v>
      </c>
      <c r="AC2" s="5">
        <v>7.6922749867662801E-2</v>
      </c>
      <c r="AD2" s="5">
        <v>7.6922749867662801E-2</v>
      </c>
      <c r="AE2" s="5">
        <v>1.8880705828778399</v>
      </c>
      <c r="AF2" s="5">
        <v>1.0177777777777799</v>
      </c>
      <c r="AG2" s="5">
        <v>1.8276829589158301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5">
        <v>5</v>
      </c>
      <c r="AW2" s="5">
        <v>1</v>
      </c>
      <c r="AX2" s="7" t="s">
        <v>281</v>
      </c>
      <c r="AY2" s="7" t="s">
        <v>57</v>
      </c>
      <c r="AZ2" s="6"/>
      <c r="BA2" s="7" t="s">
        <v>58</v>
      </c>
      <c r="BB2" s="5">
        <v>121.895040997531</v>
      </c>
      <c r="BC2" s="7" t="s">
        <v>282</v>
      </c>
      <c r="BD2" s="6"/>
    </row>
    <row r="3" spans="1:56" x14ac:dyDescent="0.15">
      <c r="A3" s="8" t="s">
        <v>63</v>
      </c>
      <c r="B3" s="9">
        <v>1</v>
      </c>
      <c r="C3" s="10">
        <v>1</v>
      </c>
      <c r="D3" s="10">
        <v>0</v>
      </c>
      <c r="E3" s="10">
        <v>1.0177777777777799</v>
      </c>
      <c r="F3" s="10">
        <v>0.93081995798274897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>
        <v>0</v>
      </c>
      <c r="S3" s="10">
        <v>1</v>
      </c>
      <c r="T3" s="10">
        <v>1</v>
      </c>
      <c r="U3" s="10">
        <v>14</v>
      </c>
      <c r="V3" s="11"/>
      <c r="W3" s="11"/>
      <c r="X3" s="11"/>
      <c r="Y3" s="11"/>
      <c r="Z3" s="10">
        <v>1.9015597079414901</v>
      </c>
      <c r="AA3" s="11"/>
      <c r="AB3" s="10">
        <v>1.8917645830661101</v>
      </c>
      <c r="AC3" s="10">
        <v>1.9015597079414901</v>
      </c>
      <c r="AD3" s="10">
        <v>1.9015597079414901</v>
      </c>
      <c r="AE3" s="10">
        <v>2.8352938748430501</v>
      </c>
      <c r="AF3" s="10">
        <v>1.0177777777777799</v>
      </c>
      <c r="AG3" s="10">
        <v>0.93081995798274897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0">
        <v>5</v>
      </c>
      <c r="AW3" s="10">
        <v>1</v>
      </c>
      <c r="AX3" s="12" t="s">
        <v>281</v>
      </c>
      <c r="AY3" s="12" t="s">
        <v>57</v>
      </c>
      <c r="AZ3" s="11"/>
      <c r="BA3" s="12" t="s">
        <v>58</v>
      </c>
      <c r="BB3" s="10">
        <v>121.895040997531</v>
      </c>
      <c r="BC3" s="12" t="s">
        <v>282</v>
      </c>
      <c r="BD3" s="11"/>
    </row>
    <row r="4" spans="1:56" x14ac:dyDescent="0.15">
      <c r="A4" s="8" t="s">
        <v>67</v>
      </c>
      <c r="B4" s="9">
        <v>2</v>
      </c>
      <c r="C4" s="10">
        <v>2</v>
      </c>
      <c r="D4" s="10">
        <v>0</v>
      </c>
      <c r="E4" s="10">
        <v>1.0177777777777799</v>
      </c>
      <c r="F4" s="10">
        <v>0.76826179190538801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0">
        <v>0</v>
      </c>
      <c r="S4" s="10">
        <v>2</v>
      </c>
      <c r="T4" s="10">
        <v>2</v>
      </c>
      <c r="U4" s="10">
        <v>4</v>
      </c>
      <c r="V4" s="11"/>
      <c r="W4" s="11"/>
      <c r="X4" s="11"/>
      <c r="Y4" s="11"/>
      <c r="Z4" s="10">
        <v>2.8485166248865399</v>
      </c>
      <c r="AA4" s="11"/>
      <c r="AB4" s="10">
        <v>2.8391833328642</v>
      </c>
      <c r="AC4" s="10">
        <v>2.8485166248865399</v>
      </c>
      <c r="AD4" s="10">
        <v>2.8485166248865399</v>
      </c>
      <c r="AE4" s="10">
        <v>3.6181210000067998</v>
      </c>
      <c r="AF4" s="10">
        <v>1.0177777777777799</v>
      </c>
      <c r="AG4" s="10">
        <v>0.76826179190538801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0">
        <v>5</v>
      </c>
      <c r="AW4" s="10">
        <v>1</v>
      </c>
      <c r="AX4" s="12" t="s">
        <v>281</v>
      </c>
      <c r="AY4" s="12" t="s">
        <v>57</v>
      </c>
      <c r="AZ4" s="11"/>
      <c r="BA4" s="12" t="s">
        <v>58</v>
      </c>
      <c r="BB4" s="10">
        <v>121.895040997531</v>
      </c>
      <c r="BC4" s="12" t="s">
        <v>282</v>
      </c>
      <c r="BD4" s="11"/>
    </row>
    <row r="5" spans="1:56" x14ac:dyDescent="0.15">
      <c r="A5" s="8" t="s">
        <v>65</v>
      </c>
      <c r="B5" s="9">
        <v>3</v>
      </c>
      <c r="C5" s="10">
        <v>3</v>
      </c>
      <c r="D5" s="10">
        <v>0</v>
      </c>
      <c r="E5" s="10">
        <v>1</v>
      </c>
      <c r="F5" s="10">
        <v>1.7689983339514599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0">
        <v>0</v>
      </c>
      <c r="S5" s="10">
        <v>3</v>
      </c>
      <c r="T5" s="10">
        <v>3</v>
      </c>
      <c r="U5" s="10">
        <v>9</v>
      </c>
      <c r="V5" s="11"/>
      <c r="W5" s="11"/>
      <c r="X5" s="11"/>
      <c r="Y5" s="11"/>
      <c r="Z5" s="10">
        <v>3.6304050830658499</v>
      </c>
      <c r="AA5" s="11"/>
      <c r="AB5" s="10">
        <v>3.6213609999977101</v>
      </c>
      <c r="AC5" s="10">
        <v>3.6304050830658499</v>
      </c>
      <c r="AD5" s="10">
        <v>3.6304050830658499</v>
      </c>
      <c r="AE5" s="10">
        <v>5.4022564999759197</v>
      </c>
      <c r="AF5" s="10">
        <v>1</v>
      </c>
      <c r="AG5" s="10">
        <v>1.7689983339514599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0">
        <v>5</v>
      </c>
      <c r="AW5" s="10">
        <v>1</v>
      </c>
      <c r="AX5" s="12" t="s">
        <v>281</v>
      </c>
      <c r="AY5" s="12" t="s">
        <v>57</v>
      </c>
      <c r="AZ5" s="11"/>
      <c r="BA5" s="12" t="s">
        <v>58</v>
      </c>
      <c r="BB5" s="10">
        <v>121.895040997531</v>
      </c>
      <c r="BC5" s="12" t="s">
        <v>282</v>
      </c>
      <c r="BD5" s="11"/>
    </row>
    <row r="6" spans="1:56" x14ac:dyDescent="0.15">
      <c r="A6" s="8" t="s">
        <v>71</v>
      </c>
      <c r="B6" s="9">
        <v>4</v>
      </c>
      <c r="C6" s="10">
        <v>4</v>
      </c>
      <c r="D6" s="10">
        <v>0</v>
      </c>
      <c r="E6" s="10">
        <v>1</v>
      </c>
      <c r="F6" s="10">
        <v>0.97459824988618504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0">
        <v>0</v>
      </c>
      <c r="S6" s="10">
        <v>4</v>
      </c>
      <c r="T6" s="10">
        <v>4</v>
      </c>
      <c r="U6" s="10">
        <v>8</v>
      </c>
      <c r="V6" s="11"/>
      <c r="W6" s="11"/>
      <c r="X6" s="11"/>
      <c r="Y6" s="11"/>
      <c r="Z6" s="10">
        <v>5.4135710829868904</v>
      </c>
      <c r="AA6" s="11"/>
      <c r="AB6" s="10">
        <v>5.4045622500125301</v>
      </c>
      <c r="AC6" s="10">
        <v>5.4135710829868904</v>
      </c>
      <c r="AD6" s="10">
        <v>5.4135710829868904</v>
      </c>
      <c r="AE6" s="10">
        <v>6.3881720418576204</v>
      </c>
      <c r="AF6" s="10">
        <v>1</v>
      </c>
      <c r="AG6" s="10">
        <v>0.97459824988618504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0">
        <v>5</v>
      </c>
      <c r="AW6" s="10">
        <v>1</v>
      </c>
      <c r="AX6" s="12" t="s">
        <v>281</v>
      </c>
      <c r="AY6" s="12" t="s">
        <v>57</v>
      </c>
      <c r="AZ6" s="11"/>
      <c r="BA6" s="12" t="s">
        <v>58</v>
      </c>
      <c r="BB6" s="10">
        <v>121.895040997531</v>
      </c>
      <c r="BC6" s="12" t="s">
        <v>282</v>
      </c>
      <c r="BD6" s="11"/>
    </row>
    <row r="7" spans="1:56" x14ac:dyDescent="0.15">
      <c r="A7" s="8" t="s">
        <v>62</v>
      </c>
      <c r="B7" s="9">
        <v>5</v>
      </c>
      <c r="C7" s="10">
        <v>5</v>
      </c>
      <c r="D7" s="10">
        <v>0</v>
      </c>
      <c r="E7" s="10">
        <v>2.1333333333333302</v>
      </c>
      <c r="F7" s="10">
        <v>1.3323280829936299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0">
        <v>0</v>
      </c>
      <c r="S7" s="10">
        <v>5</v>
      </c>
      <c r="T7" s="10">
        <v>5</v>
      </c>
      <c r="U7" s="10">
        <v>11</v>
      </c>
      <c r="V7" s="11"/>
      <c r="W7" s="11"/>
      <c r="X7" s="11"/>
      <c r="Y7" s="11"/>
      <c r="Z7" s="10">
        <v>6.4009589168708798</v>
      </c>
      <c r="AA7" s="11"/>
      <c r="AB7" s="10">
        <v>6.3904626669827902</v>
      </c>
      <c r="AC7" s="10">
        <v>6.4009589168708798</v>
      </c>
      <c r="AD7" s="10">
        <v>6.4009589168708798</v>
      </c>
      <c r="AE7" s="10">
        <v>7.7350602080114204</v>
      </c>
      <c r="AF7" s="10">
        <v>2.1333333333333302</v>
      </c>
      <c r="AG7" s="10">
        <v>1.3323280829936299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0">
        <v>5</v>
      </c>
      <c r="AW7" s="10">
        <v>1</v>
      </c>
      <c r="AX7" s="12" t="s">
        <v>281</v>
      </c>
      <c r="AY7" s="12" t="s">
        <v>57</v>
      </c>
      <c r="AZ7" s="11"/>
      <c r="BA7" s="12" t="s">
        <v>58</v>
      </c>
      <c r="BB7" s="10">
        <v>121.895040997531</v>
      </c>
      <c r="BC7" s="12" t="s">
        <v>282</v>
      </c>
      <c r="BD7" s="11"/>
    </row>
    <row r="8" spans="1:56" x14ac:dyDescent="0.15">
      <c r="A8" s="8" t="s">
        <v>69</v>
      </c>
      <c r="B8" s="9">
        <v>6</v>
      </c>
      <c r="C8" s="10">
        <v>6</v>
      </c>
      <c r="D8" s="10">
        <v>0</v>
      </c>
      <c r="E8" s="10">
        <v>1.1155555555555601</v>
      </c>
      <c r="F8" s="10">
        <v>1.2496560828294601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0">
        <v>0</v>
      </c>
      <c r="S8" s="10">
        <v>6</v>
      </c>
      <c r="T8" s="10">
        <v>6</v>
      </c>
      <c r="U8" s="10">
        <v>5</v>
      </c>
      <c r="V8" s="11"/>
      <c r="W8" s="11"/>
      <c r="X8" s="11"/>
      <c r="Y8" s="11"/>
      <c r="Z8" s="10">
        <v>7.7474642498418698</v>
      </c>
      <c r="AA8" s="11"/>
      <c r="AB8" s="10">
        <v>7.7386372499167901</v>
      </c>
      <c r="AC8" s="10">
        <v>7.7474642498418698</v>
      </c>
      <c r="AD8" s="10">
        <v>7.7474642498418698</v>
      </c>
      <c r="AE8" s="10">
        <v>8.9970635420177096</v>
      </c>
      <c r="AF8" s="10">
        <v>1.1155555555555601</v>
      </c>
      <c r="AG8" s="10">
        <v>1.2496560828294601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0">
        <v>5</v>
      </c>
      <c r="AW8" s="10">
        <v>1</v>
      </c>
      <c r="AX8" s="12" t="s">
        <v>281</v>
      </c>
      <c r="AY8" s="12" t="s">
        <v>57</v>
      </c>
      <c r="AZ8" s="11"/>
      <c r="BA8" s="12" t="s">
        <v>58</v>
      </c>
      <c r="BB8" s="10">
        <v>121.895040997531</v>
      </c>
      <c r="BC8" s="12" t="s">
        <v>282</v>
      </c>
      <c r="BD8" s="11"/>
    </row>
    <row r="9" spans="1:56" x14ac:dyDescent="0.15">
      <c r="A9" s="8" t="s">
        <v>64</v>
      </c>
      <c r="B9" s="9">
        <v>7</v>
      </c>
      <c r="C9" s="10">
        <v>7</v>
      </c>
      <c r="D9" s="10">
        <v>0</v>
      </c>
      <c r="E9" s="10">
        <v>2.1955555555555599</v>
      </c>
      <c r="F9" s="10">
        <v>2.11054079211317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>
        <v>0</v>
      </c>
      <c r="S9" s="10">
        <v>7</v>
      </c>
      <c r="T9" s="10">
        <v>7</v>
      </c>
      <c r="U9" s="10">
        <v>1</v>
      </c>
      <c r="V9" s="11"/>
      <c r="W9" s="11"/>
      <c r="X9" s="11"/>
      <c r="Y9" s="11"/>
      <c r="Z9" s="10">
        <v>9.0099379168823397</v>
      </c>
      <c r="AA9" s="11"/>
      <c r="AB9" s="10">
        <v>9.0009459999855608</v>
      </c>
      <c r="AC9" s="10">
        <v>9.0099379168823397</v>
      </c>
      <c r="AD9" s="10">
        <v>9.0099379168823397</v>
      </c>
      <c r="AE9" s="10">
        <v>11.135030332952701</v>
      </c>
      <c r="AF9" s="10">
        <v>2.1955555555555599</v>
      </c>
      <c r="AG9" s="10">
        <v>2.11054079211317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0">
        <v>5</v>
      </c>
      <c r="AW9" s="10">
        <v>1</v>
      </c>
      <c r="AX9" s="12" t="s">
        <v>281</v>
      </c>
      <c r="AY9" s="12" t="s">
        <v>57</v>
      </c>
      <c r="AZ9" s="11"/>
      <c r="BA9" s="12" t="s">
        <v>58</v>
      </c>
      <c r="BB9" s="10">
        <v>121.895040997531</v>
      </c>
      <c r="BC9" s="12" t="s">
        <v>282</v>
      </c>
      <c r="BD9" s="11"/>
    </row>
    <row r="10" spans="1:56" x14ac:dyDescent="0.15">
      <c r="A10" s="8" t="s">
        <v>60</v>
      </c>
      <c r="B10" s="9">
        <v>8</v>
      </c>
      <c r="C10" s="10">
        <v>8</v>
      </c>
      <c r="D10" s="10">
        <v>0</v>
      </c>
      <c r="E10" s="10">
        <v>1.0844444444444401</v>
      </c>
      <c r="F10" s="10">
        <v>1.7250388748943799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0">
        <v>0</v>
      </c>
      <c r="S10" s="10">
        <v>8</v>
      </c>
      <c r="T10" s="10">
        <v>8</v>
      </c>
      <c r="U10" s="10">
        <v>3</v>
      </c>
      <c r="V10" s="11"/>
      <c r="W10" s="11"/>
      <c r="X10" s="11"/>
      <c r="Y10" s="11"/>
      <c r="Z10" s="10">
        <v>11.151293041882999</v>
      </c>
      <c r="AA10" s="11"/>
      <c r="AB10" s="10">
        <v>11.137357542058499</v>
      </c>
      <c r="AC10" s="10">
        <v>11.151293041882999</v>
      </c>
      <c r="AD10" s="10">
        <v>11.151293041882999</v>
      </c>
      <c r="AE10" s="10">
        <v>12.871647666906901</v>
      </c>
      <c r="AF10" s="10">
        <v>1.0844444444444401</v>
      </c>
      <c r="AG10" s="10">
        <v>1.7250388748943799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0">
        <v>5</v>
      </c>
      <c r="AW10" s="10">
        <v>1</v>
      </c>
      <c r="AX10" s="12" t="s">
        <v>281</v>
      </c>
      <c r="AY10" s="12" t="s">
        <v>57</v>
      </c>
      <c r="AZ10" s="11"/>
      <c r="BA10" s="12" t="s">
        <v>58</v>
      </c>
      <c r="BB10" s="10">
        <v>121.895040997531</v>
      </c>
      <c r="BC10" s="12" t="s">
        <v>282</v>
      </c>
      <c r="BD10" s="11"/>
    </row>
    <row r="11" spans="1:56" x14ac:dyDescent="0.15">
      <c r="A11" s="8" t="s">
        <v>66</v>
      </c>
      <c r="B11" s="9">
        <v>9</v>
      </c>
      <c r="C11" s="10">
        <v>9</v>
      </c>
      <c r="D11" s="10">
        <v>0</v>
      </c>
      <c r="E11" s="10">
        <v>1.0844444444444401</v>
      </c>
      <c r="F11" s="10">
        <v>0.58799329097382702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>
        <v>0</v>
      </c>
      <c r="S11" s="10">
        <v>9</v>
      </c>
      <c r="T11" s="10">
        <v>9</v>
      </c>
      <c r="U11" s="10">
        <v>6</v>
      </c>
      <c r="V11" s="11"/>
      <c r="W11" s="11"/>
      <c r="X11" s="11"/>
      <c r="Y11" s="11"/>
      <c r="Z11" s="10">
        <v>12.8845469169319</v>
      </c>
      <c r="AA11" s="11"/>
      <c r="AB11" s="10">
        <v>12.8740161668975</v>
      </c>
      <c r="AC11" s="10">
        <v>12.8845469169319</v>
      </c>
      <c r="AD11" s="10">
        <v>12.8845469169319</v>
      </c>
      <c r="AE11" s="10">
        <v>13.4853405000176</v>
      </c>
      <c r="AF11" s="10">
        <v>1.0844444444444401</v>
      </c>
      <c r="AG11" s="10">
        <v>0.58799329097382702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0">
        <v>5</v>
      </c>
      <c r="AW11" s="10">
        <v>1</v>
      </c>
      <c r="AX11" s="12" t="s">
        <v>281</v>
      </c>
      <c r="AY11" s="12" t="s">
        <v>57</v>
      </c>
      <c r="AZ11" s="11"/>
      <c r="BA11" s="12" t="s">
        <v>58</v>
      </c>
      <c r="BB11" s="10">
        <v>121.895040997531</v>
      </c>
      <c r="BC11" s="12" t="s">
        <v>282</v>
      </c>
      <c r="BD11" s="11"/>
    </row>
    <row r="12" spans="1:56" x14ac:dyDescent="0.15">
      <c r="A12" s="8" t="s">
        <v>73</v>
      </c>
      <c r="B12" s="9">
        <v>10</v>
      </c>
      <c r="C12" s="10">
        <v>10</v>
      </c>
      <c r="D12" s="10">
        <v>0</v>
      </c>
      <c r="E12" s="10">
        <v>1.0888888888888899</v>
      </c>
      <c r="F12" s="10">
        <v>0.48553099995478999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0">
        <v>0</v>
      </c>
      <c r="S12" s="10">
        <v>10</v>
      </c>
      <c r="T12" s="10">
        <v>10</v>
      </c>
      <c r="U12" s="10">
        <v>13</v>
      </c>
      <c r="V12" s="11"/>
      <c r="W12" s="11"/>
      <c r="X12" s="11"/>
      <c r="Y12" s="11"/>
      <c r="Z12" s="10">
        <v>13.501443541841599</v>
      </c>
      <c r="AA12" s="11"/>
      <c r="AB12" s="10">
        <v>13.488504832843301</v>
      </c>
      <c r="AC12" s="10">
        <v>13.501443541841599</v>
      </c>
      <c r="AD12" s="10">
        <v>13.501443541841599</v>
      </c>
      <c r="AE12" s="10">
        <v>13.9850111249834</v>
      </c>
      <c r="AF12" s="10">
        <v>1.0888888888888899</v>
      </c>
      <c r="AG12" s="10">
        <v>0.48553099995478999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0">
        <v>5</v>
      </c>
      <c r="AW12" s="10">
        <v>1</v>
      </c>
      <c r="AX12" s="12" t="s">
        <v>281</v>
      </c>
      <c r="AY12" s="12" t="s">
        <v>57</v>
      </c>
      <c r="AZ12" s="11"/>
      <c r="BA12" s="12" t="s">
        <v>58</v>
      </c>
      <c r="BB12" s="10">
        <v>121.895040997531</v>
      </c>
      <c r="BC12" s="12" t="s">
        <v>282</v>
      </c>
      <c r="BD12" s="11"/>
    </row>
    <row r="13" spans="1:56" x14ac:dyDescent="0.15">
      <c r="A13" s="8" t="s">
        <v>70</v>
      </c>
      <c r="B13" s="9">
        <v>11</v>
      </c>
      <c r="C13" s="10">
        <v>11</v>
      </c>
      <c r="D13" s="10">
        <v>0</v>
      </c>
      <c r="E13" s="10">
        <v>1.0933333333333299</v>
      </c>
      <c r="F13" s="10">
        <v>0.457978750113398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">
        <v>0</v>
      </c>
      <c r="S13" s="10">
        <v>11</v>
      </c>
      <c r="T13" s="10">
        <v>11</v>
      </c>
      <c r="U13" s="10">
        <v>2</v>
      </c>
      <c r="V13" s="11"/>
      <c r="W13" s="11"/>
      <c r="X13" s="11"/>
      <c r="Y13" s="11"/>
      <c r="Z13" s="10">
        <v>13.995393124874701</v>
      </c>
      <c r="AA13" s="11"/>
      <c r="AB13" s="10">
        <v>13.9873306250665</v>
      </c>
      <c r="AC13" s="10">
        <v>13.995393124874701</v>
      </c>
      <c r="AD13" s="10">
        <v>13.995393124874701</v>
      </c>
      <c r="AE13" s="10">
        <v>14.468991792062299</v>
      </c>
      <c r="AF13" s="10">
        <v>1.0933333333333299</v>
      </c>
      <c r="AG13" s="10">
        <v>0.457978750113398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0">
        <v>5</v>
      </c>
      <c r="AW13" s="10">
        <v>1</v>
      </c>
      <c r="AX13" s="12" t="s">
        <v>281</v>
      </c>
      <c r="AY13" s="12" t="s">
        <v>57</v>
      </c>
      <c r="AZ13" s="11"/>
      <c r="BA13" s="12" t="s">
        <v>58</v>
      </c>
      <c r="BB13" s="10">
        <v>121.895040997531</v>
      </c>
      <c r="BC13" s="12" t="s">
        <v>282</v>
      </c>
      <c r="BD13" s="11"/>
    </row>
    <row r="14" spans="1:56" x14ac:dyDescent="0.15">
      <c r="A14" s="8" t="s">
        <v>55</v>
      </c>
      <c r="B14" s="9">
        <v>12</v>
      </c>
      <c r="C14" s="10">
        <v>12</v>
      </c>
      <c r="D14" s="10">
        <v>0</v>
      </c>
      <c r="E14" s="10">
        <v>1.09777777777778</v>
      </c>
      <c r="F14" s="10">
        <v>0.41858245898038199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0">
        <v>0</v>
      </c>
      <c r="S14" s="10">
        <v>12</v>
      </c>
      <c r="T14" s="10">
        <v>12</v>
      </c>
      <c r="U14" s="10">
        <v>0</v>
      </c>
      <c r="V14" s="11"/>
      <c r="W14" s="11"/>
      <c r="X14" s="11"/>
      <c r="Y14" s="11"/>
      <c r="Z14" s="10">
        <v>14.485813749954101</v>
      </c>
      <c r="AA14" s="11"/>
      <c r="AB14" s="10">
        <v>14.471069291932499</v>
      </c>
      <c r="AC14" s="10">
        <v>14.485813749954101</v>
      </c>
      <c r="AD14" s="10">
        <v>14.485813749954101</v>
      </c>
      <c r="AE14" s="10">
        <v>14.9020477079321</v>
      </c>
      <c r="AF14" s="10">
        <v>1.09777777777778</v>
      </c>
      <c r="AG14" s="10">
        <v>0.41858245898038199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0">
        <v>5</v>
      </c>
      <c r="AW14" s="10">
        <v>1</v>
      </c>
      <c r="AX14" s="12" t="s">
        <v>281</v>
      </c>
      <c r="AY14" s="12" t="s">
        <v>57</v>
      </c>
      <c r="AZ14" s="11"/>
      <c r="BA14" s="12" t="s">
        <v>58</v>
      </c>
      <c r="BB14" s="10">
        <v>121.895040997531</v>
      </c>
      <c r="BC14" s="12" t="s">
        <v>282</v>
      </c>
      <c r="BD14" s="11"/>
    </row>
    <row r="15" spans="1:56" x14ac:dyDescent="0.15">
      <c r="A15" s="8" t="s">
        <v>61</v>
      </c>
      <c r="B15" s="9">
        <v>13</v>
      </c>
      <c r="C15" s="10">
        <v>13</v>
      </c>
      <c r="D15" s="10">
        <v>0</v>
      </c>
      <c r="E15" s="10">
        <v>1.09777777777778</v>
      </c>
      <c r="F15" s="10">
        <v>1.43405716703273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>
        <v>0</v>
      </c>
      <c r="S15" s="10">
        <v>13</v>
      </c>
      <c r="T15" s="10">
        <v>13</v>
      </c>
      <c r="U15" s="10">
        <v>7</v>
      </c>
      <c r="V15" s="11"/>
      <c r="W15" s="11"/>
      <c r="X15" s="11"/>
      <c r="Y15" s="11"/>
      <c r="Z15" s="10">
        <v>14.914248500019299</v>
      </c>
      <c r="AA15" s="11"/>
      <c r="AB15" s="10">
        <v>14.905619333032501</v>
      </c>
      <c r="AC15" s="10">
        <v>14.914248500019299</v>
      </c>
      <c r="AD15" s="10">
        <v>14.914248500019299</v>
      </c>
      <c r="AE15" s="10">
        <v>16.352665500016901</v>
      </c>
      <c r="AF15" s="10">
        <v>1.09777777777778</v>
      </c>
      <c r="AG15" s="10">
        <v>1.43405716703273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0">
        <v>5</v>
      </c>
      <c r="AW15" s="10">
        <v>1</v>
      </c>
      <c r="AX15" s="12" t="s">
        <v>281</v>
      </c>
      <c r="AY15" s="12" t="s">
        <v>57</v>
      </c>
      <c r="AZ15" s="11"/>
      <c r="BA15" s="12" t="s">
        <v>58</v>
      </c>
      <c r="BB15" s="10">
        <v>121.895040997531</v>
      </c>
      <c r="BC15" s="12" t="s">
        <v>282</v>
      </c>
      <c r="BD15" s="11"/>
    </row>
    <row r="16" spans="1:56" x14ac:dyDescent="0.15">
      <c r="A16" s="8" t="s">
        <v>68</v>
      </c>
      <c r="B16" s="9">
        <v>14</v>
      </c>
      <c r="C16" s="10">
        <v>14</v>
      </c>
      <c r="D16" s="10">
        <v>0</v>
      </c>
      <c r="E16" s="10">
        <v>1.09777777777778</v>
      </c>
      <c r="F16" s="10">
        <v>0.65814933297224298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">
        <v>0</v>
      </c>
      <c r="S16" s="10">
        <v>14</v>
      </c>
      <c r="T16" s="10">
        <v>14</v>
      </c>
      <c r="U16" s="10">
        <v>10</v>
      </c>
      <c r="V16" s="11"/>
      <c r="W16" s="11"/>
      <c r="X16" s="11"/>
      <c r="Y16" s="11"/>
      <c r="Z16" s="10">
        <v>16.363872542046</v>
      </c>
      <c r="AA16" s="11"/>
      <c r="AB16" s="10">
        <v>16.354885666864</v>
      </c>
      <c r="AC16" s="10">
        <v>16.363872542046</v>
      </c>
      <c r="AD16" s="10">
        <v>16.363872542046</v>
      </c>
      <c r="AE16" s="10">
        <v>17.022505542030601</v>
      </c>
      <c r="AF16" s="10">
        <v>1.09777777777778</v>
      </c>
      <c r="AG16" s="10">
        <v>0.65814933297224298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0">
        <v>5</v>
      </c>
      <c r="AW16" s="10">
        <v>1</v>
      </c>
      <c r="AX16" s="12" t="s">
        <v>281</v>
      </c>
      <c r="AY16" s="12" t="s">
        <v>57</v>
      </c>
      <c r="AZ16" s="11"/>
      <c r="BA16" s="12" t="s">
        <v>58</v>
      </c>
      <c r="BB16" s="10">
        <v>121.895040997531</v>
      </c>
      <c r="BC16" s="12" t="s">
        <v>282</v>
      </c>
      <c r="BD16" s="11"/>
    </row>
    <row r="17" spans="1:56" x14ac:dyDescent="0.15">
      <c r="A17" s="13"/>
      <c r="B17" s="9">
        <v>0</v>
      </c>
      <c r="C17" s="10">
        <v>0</v>
      </c>
      <c r="D17" s="10">
        <v>0</v>
      </c>
      <c r="E17" s="11"/>
      <c r="F17" s="11"/>
      <c r="G17" s="12" t="s">
        <v>135</v>
      </c>
      <c r="H17" s="12" t="s">
        <v>136</v>
      </c>
      <c r="I17" s="12" t="s">
        <v>85</v>
      </c>
      <c r="J17" s="12" t="s">
        <v>55</v>
      </c>
      <c r="K17" s="12" t="s">
        <v>283</v>
      </c>
      <c r="L17" s="12" t="s">
        <v>210</v>
      </c>
      <c r="M17" s="12" t="s">
        <v>80</v>
      </c>
      <c r="N17" s="12" t="s">
        <v>81</v>
      </c>
      <c r="O17" s="12" t="s">
        <v>81</v>
      </c>
      <c r="P17" s="12" t="s">
        <v>284</v>
      </c>
      <c r="Q17" s="12" t="s">
        <v>83</v>
      </c>
      <c r="R17" s="11"/>
      <c r="S17" s="11"/>
      <c r="T17" s="11"/>
      <c r="U17" s="11"/>
      <c r="V17" s="10">
        <v>0</v>
      </c>
      <c r="W17" s="10">
        <v>0</v>
      </c>
      <c r="X17" s="10">
        <v>0</v>
      </c>
      <c r="Y17" s="10">
        <v>13</v>
      </c>
      <c r="Z17" s="10">
        <v>17.0427881248761</v>
      </c>
      <c r="AA17" s="11"/>
      <c r="AB17" s="11"/>
      <c r="AC17" s="11"/>
      <c r="AD17" s="11"/>
      <c r="AE17" s="11"/>
      <c r="AF17" s="11"/>
      <c r="AG17" s="11"/>
      <c r="AH17" s="10">
        <v>17.029699374921599</v>
      </c>
      <c r="AI17" s="10">
        <v>17.0427881248761</v>
      </c>
      <c r="AJ17" s="10">
        <v>17.0427881248761</v>
      </c>
      <c r="AK17" s="10">
        <v>17.0427881248761</v>
      </c>
      <c r="AL17" s="10">
        <v>7.1917921304702802E-3</v>
      </c>
      <c r="AM17" s="10">
        <v>19.7435775420163</v>
      </c>
      <c r="AN17" s="12" t="s">
        <v>55</v>
      </c>
      <c r="AO17" s="12" t="s">
        <v>283</v>
      </c>
      <c r="AP17" s="12" t="s">
        <v>210</v>
      </c>
      <c r="AQ17" s="12" t="s">
        <v>80</v>
      </c>
      <c r="AR17" s="12" t="s">
        <v>81</v>
      </c>
      <c r="AS17" s="12" t="s">
        <v>81</v>
      </c>
      <c r="AT17" s="12" t="s">
        <v>284</v>
      </c>
      <c r="AU17" s="12" t="s">
        <v>83</v>
      </c>
      <c r="AV17" s="10">
        <v>5</v>
      </c>
      <c r="AW17" s="10">
        <v>1</v>
      </c>
      <c r="AX17" s="12" t="s">
        <v>281</v>
      </c>
      <c r="AY17" s="12" t="s">
        <v>57</v>
      </c>
      <c r="AZ17" s="11"/>
      <c r="BA17" s="12" t="s">
        <v>58</v>
      </c>
      <c r="BB17" s="10">
        <v>121.895040997531</v>
      </c>
      <c r="BC17" s="12" t="s">
        <v>282</v>
      </c>
      <c r="BD17" s="11"/>
    </row>
    <row r="18" spans="1:56" x14ac:dyDescent="0.15">
      <c r="A18" s="13"/>
      <c r="B18" s="9">
        <v>1</v>
      </c>
      <c r="C18" s="10">
        <v>1</v>
      </c>
      <c r="D18" s="10">
        <v>0</v>
      </c>
      <c r="E18" s="11"/>
      <c r="F18" s="11"/>
      <c r="G18" s="12" t="s">
        <v>116</v>
      </c>
      <c r="H18" s="12" t="s">
        <v>73</v>
      </c>
      <c r="I18" s="12" t="s">
        <v>85</v>
      </c>
      <c r="J18" s="12" t="s">
        <v>73</v>
      </c>
      <c r="K18" s="12" t="s">
        <v>209</v>
      </c>
      <c r="L18" s="12" t="s">
        <v>185</v>
      </c>
      <c r="M18" s="12" t="s">
        <v>80</v>
      </c>
      <c r="N18" s="12" t="s">
        <v>81</v>
      </c>
      <c r="O18" s="12" t="s">
        <v>81</v>
      </c>
      <c r="P18" s="12" t="s">
        <v>285</v>
      </c>
      <c r="Q18" s="12" t="s">
        <v>83</v>
      </c>
      <c r="R18" s="11"/>
      <c r="S18" s="11"/>
      <c r="T18" s="11"/>
      <c r="U18" s="11"/>
      <c r="V18" s="10">
        <v>0</v>
      </c>
      <c r="W18" s="10">
        <v>1</v>
      </c>
      <c r="X18" s="10">
        <v>1</v>
      </c>
      <c r="Y18" s="10">
        <v>8</v>
      </c>
      <c r="Z18" s="10">
        <v>19.755634499946598</v>
      </c>
      <c r="AA18" s="11"/>
      <c r="AB18" s="11"/>
      <c r="AC18" s="11"/>
      <c r="AD18" s="11"/>
      <c r="AE18" s="11"/>
      <c r="AF18" s="11"/>
      <c r="AG18" s="11"/>
      <c r="AH18" s="10">
        <v>19.745604082941998</v>
      </c>
      <c r="AI18" s="10">
        <v>19.755634499946598</v>
      </c>
      <c r="AJ18" s="10">
        <v>19.755634499946598</v>
      </c>
      <c r="AK18" s="10">
        <v>19.755634499946598</v>
      </c>
      <c r="AL18" s="10">
        <v>1.8570411484688501E-3</v>
      </c>
      <c r="AM18" s="10">
        <v>23.980946749914398</v>
      </c>
      <c r="AN18" s="12" t="s">
        <v>73</v>
      </c>
      <c r="AO18" s="12" t="s">
        <v>209</v>
      </c>
      <c r="AP18" s="12" t="s">
        <v>185</v>
      </c>
      <c r="AQ18" s="12" t="s">
        <v>80</v>
      </c>
      <c r="AR18" s="12" t="s">
        <v>81</v>
      </c>
      <c r="AS18" s="12" t="s">
        <v>81</v>
      </c>
      <c r="AT18" s="12" t="s">
        <v>285</v>
      </c>
      <c r="AU18" s="12" t="s">
        <v>83</v>
      </c>
      <c r="AV18" s="10">
        <v>5</v>
      </c>
      <c r="AW18" s="10">
        <v>1</v>
      </c>
      <c r="AX18" s="12" t="s">
        <v>281</v>
      </c>
      <c r="AY18" s="12" t="s">
        <v>57</v>
      </c>
      <c r="AZ18" s="11"/>
      <c r="BA18" s="12" t="s">
        <v>58</v>
      </c>
      <c r="BB18" s="10">
        <v>121.895040997531</v>
      </c>
      <c r="BC18" s="12" t="s">
        <v>282</v>
      </c>
      <c r="BD18" s="11"/>
    </row>
    <row r="19" spans="1:56" x14ac:dyDescent="0.15">
      <c r="A19" s="13"/>
      <c r="B19" s="9">
        <v>2</v>
      </c>
      <c r="C19" s="10">
        <v>2</v>
      </c>
      <c r="D19" s="10">
        <v>0</v>
      </c>
      <c r="E19" s="11"/>
      <c r="F19" s="11"/>
      <c r="G19" s="12" t="s">
        <v>145</v>
      </c>
      <c r="H19" s="12" t="s">
        <v>72</v>
      </c>
      <c r="I19" s="12" t="s">
        <v>85</v>
      </c>
      <c r="J19" s="12" t="s">
        <v>72</v>
      </c>
      <c r="K19" s="12" t="s">
        <v>286</v>
      </c>
      <c r="L19" s="12" t="s">
        <v>147</v>
      </c>
      <c r="M19" s="12" t="s">
        <v>80</v>
      </c>
      <c r="N19" s="12" t="s">
        <v>81</v>
      </c>
      <c r="O19" s="12" t="s">
        <v>81</v>
      </c>
      <c r="P19" s="12" t="s">
        <v>287</v>
      </c>
      <c r="Q19" s="12" t="s">
        <v>83</v>
      </c>
      <c r="R19" s="11"/>
      <c r="S19" s="11"/>
      <c r="T19" s="11"/>
      <c r="U19" s="11"/>
      <c r="V19" s="10">
        <v>0</v>
      </c>
      <c r="W19" s="10">
        <v>2</v>
      </c>
      <c r="X19" s="10">
        <v>2</v>
      </c>
      <c r="Y19" s="10">
        <v>7</v>
      </c>
      <c r="Z19" s="10">
        <v>23.997243707999601</v>
      </c>
      <c r="AA19" s="11"/>
      <c r="AB19" s="11"/>
      <c r="AC19" s="11"/>
      <c r="AD19" s="11"/>
      <c r="AE19" s="11"/>
      <c r="AF19" s="11"/>
      <c r="AG19" s="11"/>
      <c r="AH19" s="10">
        <v>23.984120541950698</v>
      </c>
      <c r="AI19" s="10">
        <v>23.997243707999601</v>
      </c>
      <c r="AJ19" s="10">
        <v>23.997243707999601</v>
      </c>
      <c r="AK19" s="10">
        <v>23.997243707999601</v>
      </c>
      <c r="AL19" s="10">
        <v>3.0247920658439402E-3</v>
      </c>
      <c r="AM19" s="10">
        <v>26.277511833002801</v>
      </c>
      <c r="AN19" s="12" t="s">
        <v>72</v>
      </c>
      <c r="AO19" s="12" t="s">
        <v>286</v>
      </c>
      <c r="AP19" s="12" t="s">
        <v>147</v>
      </c>
      <c r="AQ19" s="12" t="s">
        <v>80</v>
      </c>
      <c r="AR19" s="12" t="s">
        <v>81</v>
      </c>
      <c r="AS19" s="12" t="s">
        <v>81</v>
      </c>
      <c r="AT19" s="12" t="s">
        <v>287</v>
      </c>
      <c r="AU19" s="12" t="s">
        <v>83</v>
      </c>
      <c r="AV19" s="10">
        <v>5</v>
      </c>
      <c r="AW19" s="10">
        <v>1</v>
      </c>
      <c r="AX19" s="12" t="s">
        <v>281</v>
      </c>
      <c r="AY19" s="12" t="s">
        <v>57</v>
      </c>
      <c r="AZ19" s="11"/>
      <c r="BA19" s="12" t="s">
        <v>58</v>
      </c>
      <c r="BB19" s="10">
        <v>121.895040997531</v>
      </c>
      <c r="BC19" s="12" t="s">
        <v>282</v>
      </c>
      <c r="BD19" s="11"/>
    </row>
    <row r="20" spans="1:56" x14ac:dyDescent="0.15">
      <c r="A20" s="13"/>
      <c r="B20" s="9">
        <v>3</v>
      </c>
      <c r="C20" s="10">
        <v>3</v>
      </c>
      <c r="D20" s="10">
        <v>0</v>
      </c>
      <c r="E20" s="11"/>
      <c r="F20" s="11"/>
      <c r="G20" s="12" t="s">
        <v>174</v>
      </c>
      <c r="H20" s="12" t="s">
        <v>175</v>
      </c>
      <c r="I20" s="12" t="s">
        <v>76</v>
      </c>
      <c r="J20" s="12" t="s">
        <v>176</v>
      </c>
      <c r="K20" s="12" t="s">
        <v>288</v>
      </c>
      <c r="L20" s="12" t="s">
        <v>109</v>
      </c>
      <c r="M20" s="12" t="s">
        <v>80</v>
      </c>
      <c r="N20" s="12" t="s">
        <v>81</v>
      </c>
      <c r="O20" s="12" t="s">
        <v>81</v>
      </c>
      <c r="P20" s="12" t="s">
        <v>289</v>
      </c>
      <c r="Q20" s="12" t="s">
        <v>83</v>
      </c>
      <c r="R20" s="11"/>
      <c r="S20" s="11"/>
      <c r="T20" s="11"/>
      <c r="U20" s="11"/>
      <c r="V20" s="10">
        <v>0</v>
      </c>
      <c r="W20" s="10">
        <v>3</v>
      </c>
      <c r="X20" s="10">
        <v>3</v>
      </c>
      <c r="Y20" s="10">
        <v>16</v>
      </c>
      <c r="Z20" s="10">
        <v>26.290602958062699</v>
      </c>
      <c r="AA20" s="11"/>
      <c r="AB20" s="11"/>
      <c r="AC20" s="11"/>
      <c r="AD20" s="11"/>
      <c r="AE20" s="11"/>
      <c r="AF20" s="11"/>
      <c r="AG20" s="11"/>
      <c r="AH20" s="10">
        <v>26.279768541920902</v>
      </c>
      <c r="AI20" s="10">
        <v>26.290602958062699</v>
      </c>
      <c r="AJ20" s="10">
        <v>26.290602958062699</v>
      </c>
      <c r="AK20" s="10">
        <v>26.290602958062699</v>
      </c>
      <c r="AL20" s="10">
        <v>2.1202501375228201E-3</v>
      </c>
      <c r="AM20" s="10">
        <v>30.877705208025901</v>
      </c>
      <c r="AN20" s="12" t="s">
        <v>176</v>
      </c>
      <c r="AO20" s="12" t="s">
        <v>288</v>
      </c>
      <c r="AP20" s="12" t="s">
        <v>109</v>
      </c>
      <c r="AQ20" s="12" t="s">
        <v>80</v>
      </c>
      <c r="AR20" s="12" t="s">
        <v>81</v>
      </c>
      <c r="AS20" s="12" t="s">
        <v>81</v>
      </c>
      <c r="AT20" s="12" t="s">
        <v>289</v>
      </c>
      <c r="AU20" s="12" t="s">
        <v>83</v>
      </c>
      <c r="AV20" s="10">
        <v>5</v>
      </c>
      <c r="AW20" s="10">
        <v>1</v>
      </c>
      <c r="AX20" s="12" t="s">
        <v>281</v>
      </c>
      <c r="AY20" s="12" t="s">
        <v>57</v>
      </c>
      <c r="AZ20" s="11"/>
      <c r="BA20" s="12" t="s">
        <v>58</v>
      </c>
      <c r="BB20" s="10">
        <v>121.895040997531</v>
      </c>
      <c r="BC20" s="12" t="s">
        <v>282</v>
      </c>
      <c r="BD20" s="11"/>
    </row>
    <row r="21" spans="1:56" x14ac:dyDescent="0.15">
      <c r="A21" s="13"/>
      <c r="B21" s="9">
        <v>4</v>
      </c>
      <c r="C21" s="10">
        <v>4</v>
      </c>
      <c r="D21" s="10">
        <v>0</v>
      </c>
      <c r="E21" s="11"/>
      <c r="F21" s="11"/>
      <c r="G21" s="12" t="s">
        <v>170</v>
      </c>
      <c r="H21" s="12" t="s">
        <v>65</v>
      </c>
      <c r="I21" s="12" t="s">
        <v>85</v>
      </c>
      <c r="J21" s="12" t="s">
        <v>65</v>
      </c>
      <c r="K21" s="12" t="s">
        <v>290</v>
      </c>
      <c r="L21" s="12" t="s">
        <v>291</v>
      </c>
      <c r="M21" s="12" t="s">
        <v>88</v>
      </c>
      <c r="N21" s="12" t="s">
        <v>89</v>
      </c>
      <c r="O21" s="12" t="s">
        <v>89</v>
      </c>
      <c r="P21" s="12" t="s">
        <v>292</v>
      </c>
      <c r="Q21" s="12" t="s">
        <v>91</v>
      </c>
      <c r="R21" s="11"/>
      <c r="S21" s="11"/>
      <c r="T21" s="11"/>
      <c r="U21" s="11"/>
      <c r="V21" s="10">
        <v>0</v>
      </c>
      <c r="W21" s="10">
        <v>4</v>
      </c>
      <c r="X21" s="10">
        <v>4</v>
      </c>
      <c r="Y21" s="10">
        <v>4</v>
      </c>
      <c r="Z21" s="10">
        <v>30.890567542053802</v>
      </c>
      <c r="AA21" s="11"/>
      <c r="AB21" s="11"/>
      <c r="AC21" s="11"/>
      <c r="AD21" s="11"/>
      <c r="AE21" s="11"/>
      <c r="AF21" s="11"/>
      <c r="AG21" s="11"/>
      <c r="AH21" s="10">
        <v>30.880421000067098</v>
      </c>
      <c r="AI21" s="10">
        <v>30.890567542053802</v>
      </c>
      <c r="AJ21" s="10">
        <v>30.890567542053802</v>
      </c>
      <c r="AK21" s="10">
        <v>30.890567542053802</v>
      </c>
      <c r="AL21" s="10">
        <v>2.6104170829057702E-3</v>
      </c>
      <c r="AM21" s="10">
        <v>35.961014000000397</v>
      </c>
      <c r="AN21" s="12" t="s">
        <v>65</v>
      </c>
      <c r="AO21" s="12" t="s">
        <v>290</v>
      </c>
      <c r="AP21" s="12" t="s">
        <v>291</v>
      </c>
      <c r="AQ21" s="12" t="s">
        <v>88</v>
      </c>
      <c r="AR21" s="12" t="s">
        <v>89</v>
      </c>
      <c r="AS21" s="12" t="s">
        <v>89</v>
      </c>
      <c r="AT21" s="12" t="s">
        <v>292</v>
      </c>
      <c r="AU21" s="12" t="s">
        <v>91</v>
      </c>
      <c r="AV21" s="10">
        <v>5</v>
      </c>
      <c r="AW21" s="10">
        <v>1</v>
      </c>
      <c r="AX21" s="12" t="s">
        <v>281</v>
      </c>
      <c r="AY21" s="12" t="s">
        <v>57</v>
      </c>
      <c r="AZ21" s="11"/>
      <c r="BA21" s="12" t="s">
        <v>58</v>
      </c>
      <c r="BB21" s="10">
        <v>121.895040997531</v>
      </c>
      <c r="BC21" s="12" t="s">
        <v>282</v>
      </c>
      <c r="BD21" s="11"/>
    </row>
    <row r="22" spans="1:56" x14ac:dyDescent="0.15">
      <c r="A22" s="13"/>
      <c r="B22" s="9">
        <v>5</v>
      </c>
      <c r="C22" s="10">
        <v>5</v>
      </c>
      <c r="D22" s="10">
        <v>0</v>
      </c>
      <c r="E22" s="11"/>
      <c r="F22" s="11"/>
      <c r="G22" s="12" t="s">
        <v>102</v>
      </c>
      <c r="H22" s="12" t="s">
        <v>103</v>
      </c>
      <c r="I22" s="12" t="s">
        <v>85</v>
      </c>
      <c r="J22" s="12" t="s">
        <v>67</v>
      </c>
      <c r="K22" s="12" t="s">
        <v>293</v>
      </c>
      <c r="L22" s="12" t="s">
        <v>238</v>
      </c>
      <c r="M22" s="12" t="s">
        <v>80</v>
      </c>
      <c r="N22" s="12" t="s">
        <v>81</v>
      </c>
      <c r="O22" s="12" t="s">
        <v>81</v>
      </c>
      <c r="P22" s="12" t="s">
        <v>294</v>
      </c>
      <c r="Q22" s="12" t="s">
        <v>83</v>
      </c>
      <c r="R22" s="11"/>
      <c r="S22" s="11"/>
      <c r="T22" s="11"/>
      <c r="U22" s="11"/>
      <c r="V22" s="10">
        <v>0</v>
      </c>
      <c r="W22" s="10">
        <v>5</v>
      </c>
      <c r="X22" s="10">
        <v>5</v>
      </c>
      <c r="Y22" s="10">
        <v>10</v>
      </c>
      <c r="Z22" s="10">
        <v>35.973833417054301</v>
      </c>
      <c r="AA22" s="11"/>
      <c r="AB22" s="11"/>
      <c r="AC22" s="11"/>
      <c r="AD22" s="11"/>
      <c r="AE22" s="11"/>
      <c r="AF22" s="11"/>
      <c r="AG22" s="11"/>
      <c r="AH22" s="10">
        <v>35.963350582867903</v>
      </c>
      <c r="AI22" s="10">
        <v>35.973833417054301</v>
      </c>
      <c r="AJ22" s="10">
        <v>35.973833417054301</v>
      </c>
      <c r="AK22" s="10">
        <v>35.973833417054301</v>
      </c>
      <c r="AL22" s="10">
        <v>2.1895829122513498E-3</v>
      </c>
      <c r="AM22" s="10">
        <v>41.975476291962003</v>
      </c>
      <c r="AN22" s="12" t="s">
        <v>67</v>
      </c>
      <c r="AO22" s="12" t="s">
        <v>293</v>
      </c>
      <c r="AP22" s="12" t="s">
        <v>238</v>
      </c>
      <c r="AQ22" s="12" t="s">
        <v>80</v>
      </c>
      <c r="AR22" s="12" t="s">
        <v>81</v>
      </c>
      <c r="AS22" s="12" t="s">
        <v>81</v>
      </c>
      <c r="AT22" s="12" t="s">
        <v>294</v>
      </c>
      <c r="AU22" s="12" t="s">
        <v>83</v>
      </c>
      <c r="AV22" s="10">
        <v>5</v>
      </c>
      <c r="AW22" s="10">
        <v>1</v>
      </c>
      <c r="AX22" s="12" t="s">
        <v>281</v>
      </c>
      <c r="AY22" s="12" t="s">
        <v>57</v>
      </c>
      <c r="AZ22" s="11"/>
      <c r="BA22" s="12" t="s">
        <v>58</v>
      </c>
      <c r="BB22" s="10">
        <v>121.895040997531</v>
      </c>
      <c r="BC22" s="12" t="s">
        <v>282</v>
      </c>
      <c r="BD22" s="11"/>
    </row>
    <row r="23" spans="1:56" x14ac:dyDescent="0.15">
      <c r="A23" s="13"/>
      <c r="B23" s="9">
        <v>6</v>
      </c>
      <c r="C23" s="10">
        <v>6</v>
      </c>
      <c r="D23" s="10">
        <v>0</v>
      </c>
      <c r="E23" s="11"/>
      <c r="F23" s="11"/>
      <c r="G23" s="12" t="s">
        <v>149</v>
      </c>
      <c r="H23" s="12" t="s">
        <v>150</v>
      </c>
      <c r="I23" s="12" t="s">
        <v>76</v>
      </c>
      <c r="J23" s="12" t="s">
        <v>151</v>
      </c>
      <c r="K23" s="12" t="s">
        <v>295</v>
      </c>
      <c r="L23" s="12" t="s">
        <v>95</v>
      </c>
      <c r="M23" s="12" t="s">
        <v>80</v>
      </c>
      <c r="N23" s="12" t="s">
        <v>81</v>
      </c>
      <c r="O23" s="12" t="s">
        <v>81</v>
      </c>
      <c r="P23" s="12" t="s">
        <v>296</v>
      </c>
      <c r="Q23" s="12" t="s">
        <v>83</v>
      </c>
      <c r="R23" s="11"/>
      <c r="S23" s="11"/>
      <c r="T23" s="11"/>
      <c r="U23" s="11"/>
      <c r="V23" s="10">
        <v>0</v>
      </c>
      <c r="W23" s="10">
        <v>6</v>
      </c>
      <c r="X23" s="10">
        <v>6</v>
      </c>
      <c r="Y23" s="10">
        <v>15</v>
      </c>
      <c r="Z23" s="10">
        <v>41.991401624865802</v>
      </c>
      <c r="AA23" s="11"/>
      <c r="AB23" s="11"/>
      <c r="AC23" s="11"/>
      <c r="AD23" s="11"/>
      <c r="AE23" s="11"/>
      <c r="AF23" s="11"/>
      <c r="AG23" s="11"/>
      <c r="AH23" s="10">
        <v>41.979026749962898</v>
      </c>
      <c r="AI23" s="10">
        <v>41.991401624865802</v>
      </c>
      <c r="AJ23" s="10">
        <v>41.991401624865802</v>
      </c>
      <c r="AK23" s="10">
        <v>41.991401624865802</v>
      </c>
      <c r="AL23" s="10">
        <v>3.37083311751485E-3</v>
      </c>
      <c r="AM23" s="10">
        <v>48.048119874903897</v>
      </c>
      <c r="AN23" s="12" t="s">
        <v>151</v>
      </c>
      <c r="AO23" s="12" t="s">
        <v>295</v>
      </c>
      <c r="AP23" s="12" t="s">
        <v>95</v>
      </c>
      <c r="AQ23" s="12" t="s">
        <v>80</v>
      </c>
      <c r="AR23" s="12" t="s">
        <v>81</v>
      </c>
      <c r="AS23" s="12" t="s">
        <v>81</v>
      </c>
      <c r="AT23" s="12" t="s">
        <v>296</v>
      </c>
      <c r="AU23" s="12" t="s">
        <v>83</v>
      </c>
      <c r="AV23" s="10">
        <v>5</v>
      </c>
      <c r="AW23" s="10">
        <v>1</v>
      </c>
      <c r="AX23" s="12" t="s">
        <v>281</v>
      </c>
      <c r="AY23" s="12" t="s">
        <v>57</v>
      </c>
      <c r="AZ23" s="11"/>
      <c r="BA23" s="12" t="s">
        <v>58</v>
      </c>
      <c r="BB23" s="10">
        <v>121.895040997531</v>
      </c>
      <c r="BC23" s="12" t="s">
        <v>282</v>
      </c>
      <c r="BD23" s="11"/>
    </row>
    <row r="24" spans="1:56" x14ac:dyDescent="0.15">
      <c r="A24" s="13"/>
      <c r="B24" s="9">
        <v>7</v>
      </c>
      <c r="C24" s="10">
        <v>7</v>
      </c>
      <c r="D24" s="10">
        <v>0</v>
      </c>
      <c r="E24" s="11"/>
      <c r="F24" s="11"/>
      <c r="G24" s="12" t="s">
        <v>111</v>
      </c>
      <c r="H24" s="12" t="s">
        <v>69</v>
      </c>
      <c r="I24" s="12" t="s">
        <v>85</v>
      </c>
      <c r="J24" s="12" t="s">
        <v>112</v>
      </c>
      <c r="K24" s="12" t="s">
        <v>297</v>
      </c>
      <c r="L24" s="12" t="s">
        <v>147</v>
      </c>
      <c r="M24" s="12" t="s">
        <v>80</v>
      </c>
      <c r="N24" s="12" t="s">
        <v>81</v>
      </c>
      <c r="O24" s="12" t="s">
        <v>81</v>
      </c>
      <c r="P24" s="12" t="s">
        <v>298</v>
      </c>
      <c r="Q24" s="12" t="s">
        <v>83</v>
      </c>
      <c r="R24" s="11"/>
      <c r="S24" s="11"/>
      <c r="T24" s="11"/>
      <c r="U24" s="11"/>
      <c r="V24" s="10">
        <v>0</v>
      </c>
      <c r="W24" s="10">
        <v>7</v>
      </c>
      <c r="X24" s="10">
        <v>7</v>
      </c>
      <c r="Y24" s="10">
        <v>0</v>
      </c>
      <c r="Z24" s="10">
        <v>48.062825707951603</v>
      </c>
      <c r="AA24" s="11"/>
      <c r="AB24" s="11"/>
      <c r="AC24" s="11"/>
      <c r="AD24" s="11"/>
      <c r="AE24" s="11"/>
      <c r="AF24" s="11"/>
      <c r="AG24" s="11"/>
      <c r="AH24" s="10">
        <v>48.050799957942203</v>
      </c>
      <c r="AI24" s="10">
        <v>48.062825707951603</v>
      </c>
      <c r="AJ24" s="10">
        <v>48.062825707951603</v>
      </c>
      <c r="AK24" s="10">
        <v>48.062825707951603</v>
      </c>
      <c r="AL24" s="10">
        <v>2.5337918195873499E-3</v>
      </c>
      <c r="AM24" s="10">
        <v>50.779141457984203</v>
      </c>
      <c r="AN24" s="12" t="s">
        <v>112</v>
      </c>
      <c r="AO24" s="12" t="s">
        <v>297</v>
      </c>
      <c r="AP24" s="12" t="s">
        <v>147</v>
      </c>
      <c r="AQ24" s="12" t="s">
        <v>80</v>
      </c>
      <c r="AR24" s="12" t="s">
        <v>81</v>
      </c>
      <c r="AS24" s="12" t="s">
        <v>81</v>
      </c>
      <c r="AT24" s="12" t="s">
        <v>298</v>
      </c>
      <c r="AU24" s="12" t="s">
        <v>83</v>
      </c>
      <c r="AV24" s="10">
        <v>5</v>
      </c>
      <c r="AW24" s="10">
        <v>1</v>
      </c>
      <c r="AX24" s="12" t="s">
        <v>281</v>
      </c>
      <c r="AY24" s="12" t="s">
        <v>57</v>
      </c>
      <c r="AZ24" s="11"/>
      <c r="BA24" s="12" t="s">
        <v>58</v>
      </c>
      <c r="BB24" s="10">
        <v>121.895040997531</v>
      </c>
      <c r="BC24" s="12" t="s">
        <v>282</v>
      </c>
      <c r="BD24" s="11"/>
    </row>
    <row r="25" spans="1:56" x14ac:dyDescent="0.15">
      <c r="A25" s="13"/>
      <c r="B25" s="9">
        <v>8</v>
      </c>
      <c r="C25" s="10">
        <v>8</v>
      </c>
      <c r="D25" s="10">
        <v>0</v>
      </c>
      <c r="E25" s="11"/>
      <c r="F25" s="11"/>
      <c r="G25" s="12" t="s">
        <v>159</v>
      </c>
      <c r="H25" s="12" t="s">
        <v>160</v>
      </c>
      <c r="I25" s="12" t="s">
        <v>76</v>
      </c>
      <c r="J25" s="12" t="s">
        <v>161</v>
      </c>
      <c r="K25" s="12" t="s">
        <v>299</v>
      </c>
      <c r="L25" s="12" t="s">
        <v>238</v>
      </c>
      <c r="M25" s="12" t="s">
        <v>80</v>
      </c>
      <c r="N25" s="12" t="s">
        <v>81</v>
      </c>
      <c r="O25" s="12" t="s">
        <v>81</v>
      </c>
      <c r="P25" s="12" t="s">
        <v>300</v>
      </c>
      <c r="Q25" s="12" t="s">
        <v>83</v>
      </c>
      <c r="R25" s="11"/>
      <c r="S25" s="11"/>
      <c r="T25" s="11"/>
      <c r="U25" s="11"/>
      <c r="V25" s="10">
        <v>0</v>
      </c>
      <c r="W25" s="10">
        <v>8</v>
      </c>
      <c r="X25" s="10">
        <v>8</v>
      </c>
      <c r="Y25" s="10">
        <v>18</v>
      </c>
      <c r="Z25" s="10">
        <v>50.790398624958499</v>
      </c>
      <c r="AA25" s="11"/>
      <c r="AB25" s="11"/>
      <c r="AC25" s="11"/>
      <c r="AD25" s="11"/>
      <c r="AE25" s="11"/>
      <c r="AF25" s="11"/>
      <c r="AG25" s="11"/>
      <c r="AH25" s="10">
        <v>50.7811169580091</v>
      </c>
      <c r="AI25" s="10">
        <v>50.790398624958499</v>
      </c>
      <c r="AJ25" s="10">
        <v>50.790398624958499</v>
      </c>
      <c r="AK25" s="10">
        <v>50.790398624958499</v>
      </c>
      <c r="AL25" s="10">
        <v>1.8792920745909201E-3</v>
      </c>
      <c r="AM25" s="10">
        <v>58.844351625069997</v>
      </c>
      <c r="AN25" s="12" t="s">
        <v>161</v>
      </c>
      <c r="AO25" s="12" t="s">
        <v>299</v>
      </c>
      <c r="AP25" s="12" t="s">
        <v>238</v>
      </c>
      <c r="AQ25" s="12" t="s">
        <v>80</v>
      </c>
      <c r="AR25" s="12" t="s">
        <v>81</v>
      </c>
      <c r="AS25" s="12" t="s">
        <v>81</v>
      </c>
      <c r="AT25" s="12" t="s">
        <v>300</v>
      </c>
      <c r="AU25" s="12" t="s">
        <v>83</v>
      </c>
      <c r="AV25" s="10">
        <v>5</v>
      </c>
      <c r="AW25" s="10">
        <v>1</v>
      </c>
      <c r="AX25" s="12" t="s">
        <v>281</v>
      </c>
      <c r="AY25" s="12" t="s">
        <v>57</v>
      </c>
      <c r="AZ25" s="11"/>
      <c r="BA25" s="12" t="s">
        <v>58</v>
      </c>
      <c r="BB25" s="10">
        <v>121.895040997531</v>
      </c>
      <c r="BC25" s="12" t="s">
        <v>282</v>
      </c>
      <c r="BD25" s="11"/>
    </row>
    <row r="26" spans="1:56" x14ac:dyDescent="0.15">
      <c r="A26" s="13"/>
      <c r="B26" s="9">
        <v>9</v>
      </c>
      <c r="C26" s="10">
        <v>9</v>
      </c>
      <c r="D26" s="10">
        <v>0</v>
      </c>
      <c r="E26" s="11"/>
      <c r="F26" s="11"/>
      <c r="G26" s="12" t="s">
        <v>120</v>
      </c>
      <c r="H26" s="12" t="s">
        <v>121</v>
      </c>
      <c r="I26" s="12" t="s">
        <v>85</v>
      </c>
      <c r="J26" s="12" t="s">
        <v>70</v>
      </c>
      <c r="K26" s="12" t="s">
        <v>212</v>
      </c>
      <c r="L26" s="12" t="s">
        <v>207</v>
      </c>
      <c r="M26" s="12" t="s">
        <v>80</v>
      </c>
      <c r="N26" s="12" t="s">
        <v>81</v>
      </c>
      <c r="O26" s="12" t="s">
        <v>81</v>
      </c>
      <c r="P26" s="12" t="s">
        <v>301</v>
      </c>
      <c r="Q26" s="12" t="s">
        <v>83</v>
      </c>
      <c r="R26" s="11"/>
      <c r="S26" s="11"/>
      <c r="T26" s="11"/>
      <c r="U26" s="11"/>
      <c r="V26" s="10">
        <v>0</v>
      </c>
      <c r="W26" s="10">
        <v>9</v>
      </c>
      <c r="X26" s="10">
        <v>9</v>
      </c>
      <c r="Y26" s="10">
        <v>12</v>
      </c>
      <c r="Z26" s="10">
        <v>58.856407957850003</v>
      </c>
      <c r="AA26" s="11"/>
      <c r="AB26" s="11"/>
      <c r="AC26" s="11"/>
      <c r="AD26" s="11"/>
      <c r="AE26" s="11"/>
      <c r="AF26" s="11"/>
      <c r="AG26" s="11"/>
      <c r="AH26" s="10">
        <v>58.8463162919506</v>
      </c>
      <c r="AI26" s="10">
        <v>58.856407957850003</v>
      </c>
      <c r="AJ26" s="10">
        <v>58.856407957850003</v>
      </c>
      <c r="AK26" s="10">
        <v>58.856407957850003</v>
      </c>
      <c r="AL26" s="10">
        <v>1.86920794658363E-3</v>
      </c>
      <c r="AM26" s="10">
        <v>62.312416207976597</v>
      </c>
      <c r="AN26" s="12" t="s">
        <v>70</v>
      </c>
      <c r="AO26" s="12" t="s">
        <v>212</v>
      </c>
      <c r="AP26" s="12" t="s">
        <v>207</v>
      </c>
      <c r="AQ26" s="12" t="s">
        <v>80</v>
      </c>
      <c r="AR26" s="12" t="s">
        <v>81</v>
      </c>
      <c r="AS26" s="12" t="s">
        <v>81</v>
      </c>
      <c r="AT26" s="12" t="s">
        <v>301</v>
      </c>
      <c r="AU26" s="12" t="s">
        <v>83</v>
      </c>
      <c r="AV26" s="10">
        <v>5</v>
      </c>
      <c r="AW26" s="10">
        <v>1</v>
      </c>
      <c r="AX26" s="12" t="s">
        <v>281</v>
      </c>
      <c r="AY26" s="12" t="s">
        <v>57</v>
      </c>
      <c r="AZ26" s="11"/>
      <c r="BA26" s="12" t="s">
        <v>58</v>
      </c>
      <c r="BB26" s="10">
        <v>121.895040997531</v>
      </c>
      <c r="BC26" s="12" t="s">
        <v>282</v>
      </c>
      <c r="BD26" s="11"/>
    </row>
    <row r="27" spans="1:56" x14ac:dyDescent="0.15">
      <c r="A27" s="13"/>
      <c r="B27" s="9">
        <v>10</v>
      </c>
      <c r="C27" s="10">
        <v>10</v>
      </c>
      <c r="D27" s="10">
        <v>0</v>
      </c>
      <c r="E27" s="11"/>
      <c r="F27" s="11"/>
      <c r="G27" s="12" t="s">
        <v>125</v>
      </c>
      <c r="H27" s="12" t="s">
        <v>126</v>
      </c>
      <c r="I27" s="12" t="s">
        <v>85</v>
      </c>
      <c r="J27" s="12" t="s">
        <v>71</v>
      </c>
      <c r="K27" s="12" t="s">
        <v>302</v>
      </c>
      <c r="L27" s="12" t="s">
        <v>210</v>
      </c>
      <c r="M27" s="12" t="s">
        <v>80</v>
      </c>
      <c r="N27" s="12" t="s">
        <v>81</v>
      </c>
      <c r="O27" s="12" t="s">
        <v>81</v>
      </c>
      <c r="P27" s="12" t="s">
        <v>303</v>
      </c>
      <c r="Q27" s="12" t="s">
        <v>83</v>
      </c>
      <c r="R27" s="11"/>
      <c r="S27" s="11"/>
      <c r="T27" s="11"/>
      <c r="U27" s="11"/>
      <c r="V27" s="10">
        <v>0</v>
      </c>
      <c r="W27" s="10">
        <v>10</v>
      </c>
      <c r="X27" s="10">
        <v>10</v>
      </c>
      <c r="Y27" s="10">
        <v>3</v>
      </c>
      <c r="Z27" s="10">
        <v>62.325291333021603</v>
      </c>
      <c r="AA27" s="11"/>
      <c r="AB27" s="11"/>
      <c r="AC27" s="11"/>
      <c r="AD27" s="11"/>
      <c r="AE27" s="11"/>
      <c r="AF27" s="11"/>
      <c r="AG27" s="11"/>
      <c r="AH27" s="10">
        <v>62.314681416843101</v>
      </c>
      <c r="AI27" s="10">
        <v>62.325291333021603</v>
      </c>
      <c r="AJ27" s="10">
        <v>62.325291333021603</v>
      </c>
      <c r="AK27" s="10">
        <v>62.325291333021603</v>
      </c>
      <c r="AL27" s="10">
        <v>2.1670830901712201E-3</v>
      </c>
      <c r="AM27" s="10">
        <v>65.779277457855599</v>
      </c>
      <c r="AN27" s="12" t="s">
        <v>71</v>
      </c>
      <c r="AO27" s="12" t="s">
        <v>302</v>
      </c>
      <c r="AP27" s="12" t="s">
        <v>210</v>
      </c>
      <c r="AQ27" s="12" t="s">
        <v>80</v>
      </c>
      <c r="AR27" s="12" t="s">
        <v>81</v>
      </c>
      <c r="AS27" s="12" t="s">
        <v>81</v>
      </c>
      <c r="AT27" s="12" t="s">
        <v>303</v>
      </c>
      <c r="AU27" s="12" t="s">
        <v>83</v>
      </c>
      <c r="AV27" s="10">
        <v>5</v>
      </c>
      <c r="AW27" s="10">
        <v>1</v>
      </c>
      <c r="AX27" s="12" t="s">
        <v>281</v>
      </c>
      <c r="AY27" s="12" t="s">
        <v>57</v>
      </c>
      <c r="AZ27" s="11"/>
      <c r="BA27" s="12" t="s">
        <v>58</v>
      </c>
      <c r="BB27" s="10">
        <v>121.895040997531</v>
      </c>
      <c r="BC27" s="12" t="s">
        <v>282</v>
      </c>
      <c r="BD27" s="11"/>
    </row>
    <row r="28" spans="1:56" x14ac:dyDescent="0.15">
      <c r="A28" s="13"/>
      <c r="B28" s="9">
        <v>11</v>
      </c>
      <c r="C28" s="10">
        <v>11</v>
      </c>
      <c r="D28" s="10">
        <v>0</v>
      </c>
      <c r="E28" s="11"/>
      <c r="F28" s="11"/>
      <c r="G28" s="12" t="s">
        <v>140</v>
      </c>
      <c r="H28" s="12" t="s">
        <v>62</v>
      </c>
      <c r="I28" s="12" t="s">
        <v>85</v>
      </c>
      <c r="J28" s="12" t="s">
        <v>141</v>
      </c>
      <c r="K28" s="12" t="s">
        <v>304</v>
      </c>
      <c r="L28" s="12" t="s">
        <v>95</v>
      </c>
      <c r="M28" s="12" t="s">
        <v>80</v>
      </c>
      <c r="N28" s="12" t="s">
        <v>81</v>
      </c>
      <c r="O28" s="12" t="s">
        <v>81</v>
      </c>
      <c r="P28" s="12" t="s">
        <v>305</v>
      </c>
      <c r="Q28" s="12" t="s">
        <v>83</v>
      </c>
      <c r="R28" s="11"/>
      <c r="S28" s="11"/>
      <c r="T28" s="11"/>
      <c r="U28" s="11"/>
      <c r="V28" s="10">
        <v>0</v>
      </c>
      <c r="W28" s="10">
        <v>11</v>
      </c>
      <c r="X28" s="10">
        <v>11</v>
      </c>
      <c r="Y28" s="10">
        <v>6</v>
      </c>
      <c r="Z28" s="10">
        <v>65.791219708044096</v>
      </c>
      <c r="AA28" s="11"/>
      <c r="AB28" s="11"/>
      <c r="AC28" s="11"/>
      <c r="AD28" s="11"/>
      <c r="AE28" s="11"/>
      <c r="AF28" s="11"/>
      <c r="AG28" s="11"/>
      <c r="AH28" s="10">
        <v>65.781318749999599</v>
      </c>
      <c r="AI28" s="10">
        <v>65.791219708044096</v>
      </c>
      <c r="AJ28" s="10">
        <v>65.791219708044096</v>
      </c>
      <c r="AK28" s="10">
        <v>65.791219708044096</v>
      </c>
      <c r="AL28" s="10">
        <v>1.9372079987078901E-3</v>
      </c>
      <c r="AM28" s="10">
        <v>68.811826749937595</v>
      </c>
      <c r="AN28" s="12" t="s">
        <v>141</v>
      </c>
      <c r="AO28" s="12" t="s">
        <v>304</v>
      </c>
      <c r="AP28" s="12" t="s">
        <v>95</v>
      </c>
      <c r="AQ28" s="12" t="s">
        <v>80</v>
      </c>
      <c r="AR28" s="12" t="s">
        <v>81</v>
      </c>
      <c r="AS28" s="12" t="s">
        <v>81</v>
      </c>
      <c r="AT28" s="12" t="s">
        <v>305</v>
      </c>
      <c r="AU28" s="12" t="s">
        <v>83</v>
      </c>
      <c r="AV28" s="10">
        <v>5</v>
      </c>
      <c r="AW28" s="10">
        <v>1</v>
      </c>
      <c r="AX28" s="12" t="s">
        <v>281</v>
      </c>
      <c r="AY28" s="12" t="s">
        <v>57</v>
      </c>
      <c r="AZ28" s="11"/>
      <c r="BA28" s="12" t="s">
        <v>58</v>
      </c>
      <c r="BB28" s="10">
        <v>121.895040997531</v>
      </c>
      <c r="BC28" s="12" t="s">
        <v>282</v>
      </c>
      <c r="BD28" s="11"/>
    </row>
    <row r="29" spans="1:56" x14ac:dyDescent="0.15">
      <c r="A29" s="13"/>
      <c r="B29" s="9">
        <v>12</v>
      </c>
      <c r="C29" s="10">
        <v>12</v>
      </c>
      <c r="D29" s="10">
        <v>0</v>
      </c>
      <c r="E29" s="11"/>
      <c r="F29" s="11"/>
      <c r="G29" s="12" t="s">
        <v>154</v>
      </c>
      <c r="H29" s="12" t="s">
        <v>155</v>
      </c>
      <c r="I29" s="12" t="s">
        <v>85</v>
      </c>
      <c r="J29" s="12" t="s">
        <v>306</v>
      </c>
      <c r="K29" s="12" t="s">
        <v>307</v>
      </c>
      <c r="L29" s="12" t="s">
        <v>114</v>
      </c>
      <c r="M29" s="12" t="s">
        <v>80</v>
      </c>
      <c r="N29" s="12" t="s">
        <v>81</v>
      </c>
      <c r="O29" s="12" t="s">
        <v>81</v>
      </c>
      <c r="P29" s="12" t="s">
        <v>308</v>
      </c>
      <c r="Q29" s="12" t="s">
        <v>83</v>
      </c>
      <c r="R29" s="11"/>
      <c r="S29" s="11"/>
      <c r="T29" s="11"/>
      <c r="U29" s="11"/>
      <c r="V29" s="10">
        <v>0</v>
      </c>
      <c r="W29" s="10">
        <v>12</v>
      </c>
      <c r="X29" s="10">
        <v>12</v>
      </c>
      <c r="Y29" s="10">
        <v>11</v>
      </c>
      <c r="Z29" s="10">
        <v>68.824459041934503</v>
      </c>
      <c r="AA29" s="11"/>
      <c r="AB29" s="11"/>
      <c r="AC29" s="11"/>
      <c r="AD29" s="11"/>
      <c r="AE29" s="11"/>
      <c r="AF29" s="11"/>
      <c r="AG29" s="11"/>
      <c r="AH29" s="10">
        <v>68.814078083029003</v>
      </c>
      <c r="AI29" s="10">
        <v>68.824459041934503</v>
      </c>
      <c r="AJ29" s="10">
        <v>68.824459041934503</v>
      </c>
      <c r="AK29" s="10">
        <v>68.824459041934503</v>
      </c>
      <c r="AL29" s="10">
        <v>2.1444999147206502E-3</v>
      </c>
      <c r="AM29" s="10">
        <v>73.645679666893599</v>
      </c>
      <c r="AN29" s="12" t="s">
        <v>306</v>
      </c>
      <c r="AO29" s="12" t="s">
        <v>307</v>
      </c>
      <c r="AP29" s="12" t="s">
        <v>114</v>
      </c>
      <c r="AQ29" s="12" t="s">
        <v>80</v>
      </c>
      <c r="AR29" s="12" t="s">
        <v>81</v>
      </c>
      <c r="AS29" s="12" t="s">
        <v>81</v>
      </c>
      <c r="AT29" s="12" t="s">
        <v>308</v>
      </c>
      <c r="AU29" s="12" t="s">
        <v>83</v>
      </c>
      <c r="AV29" s="10">
        <v>5</v>
      </c>
      <c r="AW29" s="10">
        <v>1</v>
      </c>
      <c r="AX29" s="12" t="s">
        <v>281</v>
      </c>
      <c r="AY29" s="12" t="s">
        <v>57</v>
      </c>
      <c r="AZ29" s="11"/>
      <c r="BA29" s="12" t="s">
        <v>58</v>
      </c>
      <c r="BB29" s="10">
        <v>121.895040997531</v>
      </c>
      <c r="BC29" s="12" t="s">
        <v>282</v>
      </c>
      <c r="BD29" s="11"/>
    </row>
    <row r="30" spans="1:56" x14ac:dyDescent="0.15">
      <c r="A30" s="13"/>
      <c r="B30" s="9">
        <v>13</v>
      </c>
      <c r="C30" s="10">
        <v>13</v>
      </c>
      <c r="D30" s="10">
        <v>0</v>
      </c>
      <c r="E30" s="11"/>
      <c r="F30" s="11"/>
      <c r="G30" s="12" t="s">
        <v>107</v>
      </c>
      <c r="H30" s="12" t="s">
        <v>68</v>
      </c>
      <c r="I30" s="12" t="s">
        <v>85</v>
      </c>
      <c r="J30" s="12" t="s">
        <v>108</v>
      </c>
      <c r="K30" s="12" t="s">
        <v>227</v>
      </c>
      <c r="L30" s="12" t="s">
        <v>259</v>
      </c>
      <c r="M30" s="12" t="s">
        <v>80</v>
      </c>
      <c r="N30" s="12" t="s">
        <v>81</v>
      </c>
      <c r="O30" s="12" t="s">
        <v>81</v>
      </c>
      <c r="P30" s="12" t="s">
        <v>309</v>
      </c>
      <c r="Q30" s="12" t="s">
        <v>83</v>
      </c>
      <c r="R30" s="11"/>
      <c r="S30" s="11"/>
      <c r="T30" s="11"/>
      <c r="U30" s="11"/>
      <c r="V30" s="10">
        <v>0</v>
      </c>
      <c r="W30" s="10">
        <v>13</v>
      </c>
      <c r="X30" s="10">
        <v>13</v>
      </c>
      <c r="Y30" s="10">
        <v>5</v>
      </c>
      <c r="Z30" s="10">
        <v>73.657970292027997</v>
      </c>
      <c r="AA30" s="11"/>
      <c r="AB30" s="11"/>
      <c r="AC30" s="11"/>
      <c r="AD30" s="11"/>
      <c r="AE30" s="11"/>
      <c r="AF30" s="11"/>
      <c r="AG30" s="11"/>
      <c r="AH30" s="10">
        <v>73.647658166941298</v>
      </c>
      <c r="AI30" s="10">
        <v>73.657970292027997</v>
      </c>
      <c r="AJ30" s="10">
        <v>73.657970292027997</v>
      </c>
      <c r="AK30" s="10">
        <v>73.657970292027997</v>
      </c>
      <c r="AL30" s="10">
        <v>1.8754580523818701E-3</v>
      </c>
      <c r="AM30" s="10">
        <v>76.896226082928493</v>
      </c>
      <c r="AN30" s="12" t="s">
        <v>108</v>
      </c>
      <c r="AO30" s="12" t="s">
        <v>227</v>
      </c>
      <c r="AP30" s="12" t="s">
        <v>259</v>
      </c>
      <c r="AQ30" s="12" t="s">
        <v>80</v>
      </c>
      <c r="AR30" s="12" t="s">
        <v>81</v>
      </c>
      <c r="AS30" s="12" t="s">
        <v>81</v>
      </c>
      <c r="AT30" s="12" t="s">
        <v>309</v>
      </c>
      <c r="AU30" s="12" t="s">
        <v>83</v>
      </c>
      <c r="AV30" s="10">
        <v>5</v>
      </c>
      <c r="AW30" s="10">
        <v>1</v>
      </c>
      <c r="AX30" s="12" t="s">
        <v>281</v>
      </c>
      <c r="AY30" s="12" t="s">
        <v>57</v>
      </c>
      <c r="AZ30" s="11"/>
      <c r="BA30" s="12" t="s">
        <v>58</v>
      </c>
      <c r="BB30" s="10">
        <v>121.895040997531</v>
      </c>
      <c r="BC30" s="12" t="s">
        <v>282</v>
      </c>
      <c r="BD30" s="11"/>
    </row>
    <row r="31" spans="1:56" x14ac:dyDescent="0.15">
      <c r="A31" s="13"/>
      <c r="B31" s="9">
        <v>14</v>
      </c>
      <c r="C31" s="10">
        <v>14</v>
      </c>
      <c r="D31" s="10">
        <v>0</v>
      </c>
      <c r="E31" s="11"/>
      <c r="F31" s="11"/>
      <c r="G31" s="12" t="s">
        <v>74</v>
      </c>
      <c r="H31" s="12" t="s">
        <v>75</v>
      </c>
      <c r="I31" s="12" t="s">
        <v>76</v>
      </c>
      <c r="J31" s="12" t="s">
        <v>310</v>
      </c>
      <c r="K31" s="12" t="s">
        <v>117</v>
      </c>
      <c r="L31" s="12" t="s">
        <v>133</v>
      </c>
      <c r="M31" s="12" t="s">
        <v>80</v>
      </c>
      <c r="N31" s="12" t="s">
        <v>81</v>
      </c>
      <c r="O31" s="12" t="s">
        <v>81</v>
      </c>
      <c r="P31" s="12" t="s">
        <v>311</v>
      </c>
      <c r="Q31" s="12" t="s">
        <v>83</v>
      </c>
      <c r="R31" s="11"/>
      <c r="S31" s="11"/>
      <c r="T31" s="11"/>
      <c r="U31" s="11"/>
      <c r="V31" s="10">
        <v>0</v>
      </c>
      <c r="W31" s="10">
        <v>14</v>
      </c>
      <c r="X31" s="10">
        <v>14</v>
      </c>
      <c r="Y31" s="10">
        <v>17</v>
      </c>
      <c r="Z31" s="10">
        <v>76.909856791840895</v>
      </c>
      <c r="AA31" s="11"/>
      <c r="AB31" s="11"/>
      <c r="AC31" s="11"/>
      <c r="AD31" s="11"/>
      <c r="AE31" s="11"/>
      <c r="AF31" s="11"/>
      <c r="AG31" s="11"/>
      <c r="AH31" s="10">
        <v>76.899925916921404</v>
      </c>
      <c r="AI31" s="10">
        <v>76.909856791840895</v>
      </c>
      <c r="AJ31" s="10">
        <v>76.909856791840895</v>
      </c>
      <c r="AK31" s="10">
        <v>76.909856791840895</v>
      </c>
      <c r="AL31" s="10">
        <v>3.5693750251084601E-3</v>
      </c>
      <c r="AM31" s="10">
        <v>86.629002250032499</v>
      </c>
      <c r="AN31" s="12" t="s">
        <v>310</v>
      </c>
      <c r="AO31" s="12" t="s">
        <v>117</v>
      </c>
      <c r="AP31" s="12" t="s">
        <v>133</v>
      </c>
      <c r="AQ31" s="12" t="s">
        <v>80</v>
      </c>
      <c r="AR31" s="12" t="s">
        <v>81</v>
      </c>
      <c r="AS31" s="12" t="s">
        <v>81</v>
      </c>
      <c r="AT31" s="12" t="s">
        <v>311</v>
      </c>
      <c r="AU31" s="12" t="s">
        <v>83</v>
      </c>
      <c r="AV31" s="10">
        <v>5</v>
      </c>
      <c r="AW31" s="10">
        <v>1</v>
      </c>
      <c r="AX31" s="12" t="s">
        <v>281</v>
      </c>
      <c r="AY31" s="12" t="s">
        <v>57</v>
      </c>
      <c r="AZ31" s="11"/>
      <c r="BA31" s="12" t="s">
        <v>58</v>
      </c>
      <c r="BB31" s="10">
        <v>121.895040997531</v>
      </c>
      <c r="BC31" s="12" t="s">
        <v>282</v>
      </c>
      <c r="BD31" s="11"/>
    </row>
    <row r="32" spans="1:56" x14ac:dyDescent="0.15">
      <c r="A32" s="13"/>
      <c r="B32" s="9">
        <v>15</v>
      </c>
      <c r="C32" s="10">
        <v>15</v>
      </c>
      <c r="D32" s="10">
        <v>0</v>
      </c>
      <c r="E32" s="11"/>
      <c r="F32" s="11"/>
      <c r="G32" s="12" t="s">
        <v>92</v>
      </c>
      <c r="H32" s="12" t="s">
        <v>93</v>
      </c>
      <c r="I32" s="12" t="s">
        <v>85</v>
      </c>
      <c r="J32" s="12" t="s">
        <v>93</v>
      </c>
      <c r="K32" s="12" t="s">
        <v>312</v>
      </c>
      <c r="L32" s="12" t="s">
        <v>168</v>
      </c>
      <c r="M32" s="12" t="s">
        <v>80</v>
      </c>
      <c r="N32" s="12" t="s">
        <v>81</v>
      </c>
      <c r="O32" s="12" t="s">
        <v>81</v>
      </c>
      <c r="P32" s="12" t="s">
        <v>313</v>
      </c>
      <c r="Q32" s="12" t="s">
        <v>83</v>
      </c>
      <c r="R32" s="11"/>
      <c r="S32" s="11"/>
      <c r="T32" s="11"/>
      <c r="U32" s="11"/>
      <c r="V32" s="10">
        <v>0</v>
      </c>
      <c r="W32" s="10">
        <v>15</v>
      </c>
      <c r="X32" s="10">
        <v>15</v>
      </c>
      <c r="Y32" s="10">
        <v>2</v>
      </c>
      <c r="Z32" s="10">
        <v>86.6413057919126</v>
      </c>
      <c r="AA32" s="11"/>
      <c r="AB32" s="11"/>
      <c r="AC32" s="11"/>
      <c r="AD32" s="11"/>
      <c r="AE32" s="11"/>
      <c r="AF32" s="11"/>
      <c r="AG32" s="11"/>
      <c r="AH32" s="10">
        <v>86.6309947918635</v>
      </c>
      <c r="AI32" s="10">
        <v>86.6413057919126</v>
      </c>
      <c r="AJ32" s="10">
        <v>86.6413057919126</v>
      </c>
      <c r="AK32" s="10">
        <v>86.6413057919126</v>
      </c>
      <c r="AL32" s="10">
        <v>1.8809998873621199E-3</v>
      </c>
      <c r="AM32" s="10">
        <v>89.663831166923103</v>
      </c>
      <c r="AN32" s="12" t="s">
        <v>93</v>
      </c>
      <c r="AO32" s="12" t="s">
        <v>312</v>
      </c>
      <c r="AP32" s="12" t="s">
        <v>168</v>
      </c>
      <c r="AQ32" s="12" t="s">
        <v>80</v>
      </c>
      <c r="AR32" s="12" t="s">
        <v>81</v>
      </c>
      <c r="AS32" s="12" t="s">
        <v>81</v>
      </c>
      <c r="AT32" s="12" t="s">
        <v>313</v>
      </c>
      <c r="AU32" s="12" t="s">
        <v>83</v>
      </c>
      <c r="AV32" s="10">
        <v>5</v>
      </c>
      <c r="AW32" s="10">
        <v>1</v>
      </c>
      <c r="AX32" s="12" t="s">
        <v>281</v>
      </c>
      <c r="AY32" s="12" t="s">
        <v>57</v>
      </c>
      <c r="AZ32" s="11"/>
      <c r="BA32" s="12" t="s">
        <v>58</v>
      </c>
      <c r="BB32" s="10">
        <v>121.895040997531</v>
      </c>
      <c r="BC32" s="12" t="s">
        <v>282</v>
      </c>
      <c r="BD32" s="11"/>
    </row>
    <row r="33" spans="1:56" x14ac:dyDescent="0.15">
      <c r="A33" s="13"/>
      <c r="B33" s="9">
        <v>16</v>
      </c>
      <c r="C33" s="10">
        <v>16</v>
      </c>
      <c r="D33" s="10">
        <v>0</v>
      </c>
      <c r="E33" s="11"/>
      <c r="F33" s="11"/>
      <c r="G33" s="12" t="s">
        <v>97</v>
      </c>
      <c r="H33" s="12" t="s">
        <v>66</v>
      </c>
      <c r="I33" s="12" t="s">
        <v>85</v>
      </c>
      <c r="J33" s="12" t="s">
        <v>98</v>
      </c>
      <c r="K33" s="12" t="s">
        <v>235</v>
      </c>
      <c r="L33" s="12" t="s">
        <v>147</v>
      </c>
      <c r="M33" s="12" t="s">
        <v>80</v>
      </c>
      <c r="N33" s="12" t="s">
        <v>81</v>
      </c>
      <c r="O33" s="12" t="s">
        <v>81</v>
      </c>
      <c r="P33" s="12" t="s">
        <v>314</v>
      </c>
      <c r="Q33" s="12" t="s">
        <v>83</v>
      </c>
      <c r="R33" s="11"/>
      <c r="S33" s="11"/>
      <c r="T33" s="11"/>
      <c r="U33" s="11"/>
      <c r="V33" s="10">
        <v>0</v>
      </c>
      <c r="W33" s="10">
        <v>16</v>
      </c>
      <c r="X33" s="10">
        <v>16</v>
      </c>
      <c r="Y33" s="10">
        <v>1</v>
      </c>
      <c r="Z33" s="10">
        <v>89.6756830830127</v>
      </c>
      <c r="AA33" s="11"/>
      <c r="AB33" s="11"/>
      <c r="AC33" s="11"/>
      <c r="AD33" s="11"/>
      <c r="AE33" s="11"/>
      <c r="AF33" s="11"/>
      <c r="AG33" s="11"/>
      <c r="AH33" s="10">
        <v>89.665808457881198</v>
      </c>
      <c r="AI33" s="10">
        <v>89.6756830830127</v>
      </c>
      <c r="AJ33" s="10">
        <v>89.6756830830127</v>
      </c>
      <c r="AK33" s="10">
        <v>89.6756830830127</v>
      </c>
      <c r="AL33" s="10">
        <v>1.8840420525521001E-3</v>
      </c>
      <c r="AM33" s="10">
        <v>94.563576000044094</v>
      </c>
      <c r="AN33" s="12" t="s">
        <v>98</v>
      </c>
      <c r="AO33" s="12" t="s">
        <v>235</v>
      </c>
      <c r="AP33" s="12" t="s">
        <v>147</v>
      </c>
      <c r="AQ33" s="12" t="s">
        <v>80</v>
      </c>
      <c r="AR33" s="12" t="s">
        <v>81</v>
      </c>
      <c r="AS33" s="12" t="s">
        <v>81</v>
      </c>
      <c r="AT33" s="12" t="s">
        <v>314</v>
      </c>
      <c r="AU33" s="12" t="s">
        <v>83</v>
      </c>
      <c r="AV33" s="10">
        <v>5</v>
      </c>
      <c r="AW33" s="10">
        <v>1</v>
      </c>
      <c r="AX33" s="12" t="s">
        <v>281</v>
      </c>
      <c r="AY33" s="12" t="s">
        <v>57</v>
      </c>
      <c r="AZ33" s="11"/>
      <c r="BA33" s="12" t="s">
        <v>58</v>
      </c>
      <c r="BB33" s="10">
        <v>121.895040997531</v>
      </c>
      <c r="BC33" s="12" t="s">
        <v>282</v>
      </c>
      <c r="BD33" s="11"/>
    </row>
    <row r="34" spans="1:56" x14ac:dyDescent="0.15">
      <c r="A34" s="13"/>
      <c r="B34" s="9">
        <v>17</v>
      </c>
      <c r="C34" s="10">
        <v>17</v>
      </c>
      <c r="D34" s="10">
        <v>0</v>
      </c>
      <c r="E34" s="11"/>
      <c r="F34" s="11"/>
      <c r="G34" s="12" t="s">
        <v>130</v>
      </c>
      <c r="H34" s="12" t="s">
        <v>131</v>
      </c>
      <c r="I34" s="12" t="s">
        <v>85</v>
      </c>
      <c r="J34" s="12" t="s">
        <v>64</v>
      </c>
      <c r="K34" s="12" t="s">
        <v>315</v>
      </c>
      <c r="L34" s="12" t="s">
        <v>95</v>
      </c>
      <c r="M34" s="12" t="s">
        <v>80</v>
      </c>
      <c r="N34" s="12" t="s">
        <v>81</v>
      </c>
      <c r="O34" s="12" t="s">
        <v>81</v>
      </c>
      <c r="P34" s="12" t="s">
        <v>316</v>
      </c>
      <c r="Q34" s="12" t="s">
        <v>83</v>
      </c>
      <c r="R34" s="11"/>
      <c r="S34" s="11"/>
      <c r="T34" s="11"/>
      <c r="U34" s="11"/>
      <c r="V34" s="10">
        <v>0</v>
      </c>
      <c r="W34" s="10">
        <v>17</v>
      </c>
      <c r="X34" s="10">
        <v>17</v>
      </c>
      <c r="Y34" s="10">
        <v>14</v>
      </c>
      <c r="Z34" s="10">
        <v>94.575647499878002</v>
      </c>
      <c r="AA34" s="11"/>
      <c r="AB34" s="11"/>
      <c r="AC34" s="11"/>
      <c r="AD34" s="11"/>
      <c r="AE34" s="11"/>
      <c r="AF34" s="11"/>
      <c r="AG34" s="11"/>
      <c r="AH34" s="10">
        <v>94.565566750010504</v>
      </c>
      <c r="AI34" s="10">
        <v>94.575647499878002</v>
      </c>
      <c r="AJ34" s="10">
        <v>94.575647499878002</v>
      </c>
      <c r="AK34" s="10">
        <v>94.575647499878002</v>
      </c>
      <c r="AL34" s="10">
        <v>1.89645797945559E-3</v>
      </c>
      <c r="AM34" s="10">
        <v>98.680058999918401</v>
      </c>
      <c r="AN34" s="12" t="s">
        <v>64</v>
      </c>
      <c r="AO34" s="12" t="s">
        <v>315</v>
      </c>
      <c r="AP34" s="12" t="s">
        <v>95</v>
      </c>
      <c r="AQ34" s="12" t="s">
        <v>80</v>
      </c>
      <c r="AR34" s="12" t="s">
        <v>81</v>
      </c>
      <c r="AS34" s="12" t="s">
        <v>81</v>
      </c>
      <c r="AT34" s="12" t="s">
        <v>316</v>
      </c>
      <c r="AU34" s="12" t="s">
        <v>83</v>
      </c>
      <c r="AV34" s="10">
        <v>5</v>
      </c>
      <c r="AW34" s="10">
        <v>1</v>
      </c>
      <c r="AX34" s="12" t="s">
        <v>281</v>
      </c>
      <c r="AY34" s="12" t="s">
        <v>57</v>
      </c>
      <c r="AZ34" s="11"/>
      <c r="BA34" s="12" t="s">
        <v>58</v>
      </c>
      <c r="BB34" s="10">
        <v>121.895040997531</v>
      </c>
      <c r="BC34" s="12" t="s">
        <v>282</v>
      </c>
      <c r="BD34" s="11"/>
    </row>
    <row r="35" spans="1:56" x14ac:dyDescent="0.15">
      <c r="A35" s="13"/>
      <c r="B35" s="9">
        <v>18</v>
      </c>
      <c r="C35" s="10">
        <v>18</v>
      </c>
      <c r="D35" s="10">
        <v>0</v>
      </c>
      <c r="E35" s="11"/>
      <c r="F35" s="11"/>
      <c r="G35" s="12" t="s">
        <v>164</v>
      </c>
      <c r="H35" s="12" t="s">
        <v>165</v>
      </c>
      <c r="I35" s="12" t="s">
        <v>76</v>
      </c>
      <c r="J35" s="12" t="s">
        <v>166</v>
      </c>
      <c r="K35" s="12" t="s">
        <v>253</v>
      </c>
      <c r="L35" s="12" t="s">
        <v>133</v>
      </c>
      <c r="M35" s="12" t="s">
        <v>80</v>
      </c>
      <c r="N35" s="12" t="s">
        <v>81</v>
      </c>
      <c r="O35" s="12" t="s">
        <v>81</v>
      </c>
      <c r="P35" s="12" t="s">
        <v>317</v>
      </c>
      <c r="Q35" s="12" t="s">
        <v>83</v>
      </c>
      <c r="R35" s="11"/>
      <c r="S35" s="11"/>
      <c r="T35" s="11"/>
      <c r="U35" s="11"/>
      <c r="V35" s="10">
        <v>0</v>
      </c>
      <c r="W35" s="10">
        <v>18</v>
      </c>
      <c r="X35" s="10">
        <v>18</v>
      </c>
      <c r="Y35" s="10">
        <v>19</v>
      </c>
      <c r="Z35" s="10">
        <v>98.692346083000302</v>
      </c>
      <c r="AA35" s="11"/>
      <c r="AB35" s="11"/>
      <c r="AC35" s="11"/>
      <c r="AD35" s="11"/>
      <c r="AE35" s="11"/>
      <c r="AF35" s="11"/>
      <c r="AG35" s="11"/>
      <c r="AH35" s="10">
        <v>98.682119291974203</v>
      </c>
      <c r="AI35" s="10">
        <v>98.692346083000302</v>
      </c>
      <c r="AJ35" s="10">
        <v>98.692346083000302</v>
      </c>
      <c r="AK35" s="10">
        <v>98.692346083000302</v>
      </c>
      <c r="AL35" s="10">
        <v>1.96404196321964E-3</v>
      </c>
      <c r="AM35" s="10">
        <v>102.213289750041</v>
      </c>
      <c r="AN35" s="12" t="s">
        <v>166</v>
      </c>
      <c r="AO35" s="12" t="s">
        <v>253</v>
      </c>
      <c r="AP35" s="12" t="s">
        <v>133</v>
      </c>
      <c r="AQ35" s="12" t="s">
        <v>80</v>
      </c>
      <c r="AR35" s="12" t="s">
        <v>81</v>
      </c>
      <c r="AS35" s="12" t="s">
        <v>81</v>
      </c>
      <c r="AT35" s="12" t="s">
        <v>317</v>
      </c>
      <c r="AU35" s="12" t="s">
        <v>83</v>
      </c>
      <c r="AV35" s="10">
        <v>5</v>
      </c>
      <c r="AW35" s="10">
        <v>1</v>
      </c>
      <c r="AX35" s="12" t="s">
        <v>281</v>
      </c>
      <c r="AY35" s="12" t="s">
        <v>57</v>
      </c>
      <c r="AZ35" s="11"/>
      <c r="BA35" s="12" t="s">
        <v>58</v>
      </c>
      <c r="BB35" s="10">
        <v>121.895040997531</v>
      </c>
      <c r="BC35" s="12" t="s">
        <v>282</v>
      </c>
      <c r="BD35" s="11"/>
    </row>
    <row r="36" spans="1:56" x14ac:dyDescent="0.15">
      <c r="A36" s="13"/>
      <c r="B36" s="9">
        <v>19</v>
      </c>
      <c r="C36" s="10">
        <v>19</v>
      </c>
      <c r="D36" s="10">
        <v>0</v>
      </c>
      <c r="E36" s="11"/>
      <c r="F36" s="11"/>
      <c r="G36" s="12" t="s">
        <v>84</v>
      </c>
      <c r="H36" s="12" t="s">
        <v>63</v>
      </c>
      <c r="I36" s="12" t="s">
        <v>85</v>
      </c>
      <c r="J36" s="12" t="s">
        <v>63</v>
      </c>
      <c r="K36" s="12" t="s">
        <v>312</v>
      </c>
      <c r="L36" s="12" t="s">
        <v>244</v>
      </c>
      <c r="M36" s="12" t="s">
        <v>80</v>
      </c>
      <c r="N36" s="12" t="s">
        <v>81</v>
      </c>
      <c r="O36" s="12" t="s">
        <v>81</v>
      </c>
      <c r="P36" s="12" t="s">
        <v>318</v>
      </c>
      <c r="Q36" s="12" t="s">
        <v>83</v>
      </c>
      <c r="R36" s="11"/>
      <c r="S36" s="11"/>
      <c r="T36" s="11"/>
      <c r="U36" s="11"/>
      <c r="V36" s="10">
        <v>0</v>
      </c>
      <c r="W36" s="10">
        <v>19</v>
      </c>
      <c r="X36" s="10">
        <v>19</v>
      </c>
      <c r="Y36" s="10">
        <v>9</v>
      </c>
      <c r="Z36" s="10">
        <v>102.22588924993801</v>
      </c>
      <c r="AA36" s="11"/>
      <c r="AB36" s="11"/>
      <c r="AC36" s="11"/>
      <c r="AD36" s="11"/>
      <c r="AE36" s="11"/>
      <c r="AF36" s="11"/>
      <c r="AG36" s="11"/>
      <c r="AH36" s="10">
        <v>102.215298291994</v>
      </c>
      <c r="AI36" s="10">
        <v>102.22588924993801</v>
      </c>
      <c r="AJ36" s="10">
        <v>102.22588924993801</v>
      </c>
      <c r="AK36" s="10">
        <v>102.22588924993801</v>
      </c>
      <c r="AL36" s="10">
        <v>1.9273750949651001E-3</v>
      </c>
      <c r="AM36" s="10">
        <v>109.697147333063</v>
      </c>
      <c r="AN36" s="12" t="s">
        <v>63</v>
      </c>
      <c r="AO36" s="12" t="s">
        <v>312</v>
      </c>
      <c r="AP36" s="12" t="s">
        <v>244</v>
      </c>
      <c r="AQ36" s="12" t="s">
        <v>80</v>
      </c>
      <c r="AR36" s="12" t="s">
        <v>81</v>
      </c>
      <c r="AS36" s="12" t="s">
        <v>81</v>
      </c>
      <c r="AT36" s="12" t="s">
        <v>318</v>
      </c>
      <c r="AU36" s="12" t="s">
        <v>83</v>
      </c>
      <c r="AV36" s="10">
        <v>5</v>
      </c>
      <c r="AW36" s="10">
        <v>1</v>
      </c>
      <c r="AX36" s="12" t="s">
        <v>281</v>
      </c>
      <c r="AY36" s="12" t="s">
        <v>57</v>
      </c>
      <c r="AZ36" s="11"/>
      <c r="BA36" s="12" t="s">
        <v>58</v>
      </c>
      <c r="BB36" s="10">
        <v>121.895040997531</v>
      </c>
      <c r="BC36" s="12" t="s">
        <v>282</v>
      </c>
      <c r="BD36" s="11"/>
    </row>
    <row r="40" spans="1:56" ht="14" x14ac:dyDescent="0.15">
      <c r="G40" s="16" t="s">
        <v>278</v>
      </c>
      <c r="H40" s="15">
        <v>14</v>
      </c>
      <c r="I40" s="15">
        <f>14/15</f>
        <v>0.93333333333333335</v>
      </c>
    </row>
    <row r="41" spans="1:56" ht="14" x14ac:dyDescent="0.15">
      <c r="G41" s="15" t="s">
        <v>279</v>
      </c>
      <c r="H41" s="15">
        <v>4</v>
      </c>
      <c r="I41" s="15">
        <f>4/5</f>
        <v>0.8</v>
      </c>
    </row>
    <row r="42" spans="1:56" x14ac:dyDescent="0.15">
      <c r="G42" s="15"/>
      <c r="H42" s="15"/>
      <c r="I42" s="15"/>
    </row>
    <row r="43" spans="1:56" ht="14" x14ac:dyDescent="0.15">
      <c r="G43" s="16" t="s">
        <v>319</v>
      </c>
      <c r="H43" s="15"/>
      <c r="I43" s="15">
        <f>I40-I41</f>
        <v>0.1333333333333333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4C32-6216-0C4F-B4CF-33FEB8958737}">
  <dimension ref="A1:BD42"/>
  <sheetViews>
    <sheetView workbookViewId="0">
      <selection activeCell="E56" sqref="E56"/>
    </sheetView>
  </sheetViews>
  <sheetFormatPr baseColWidth="10" defaultRowHeight="13" x14ac:dyDescent="0.15"/>
  <cols>
    <col min="7" max="7" width="25.5" customWidth="1"/>
    <col min="9" max="9" width="12.33203125" bestFit="1" customWidth="1"/>
  </cols>
  <sheetData>
    <row r="1" spans="1:5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/>
    </row>
    <row r="2" spans="1:56" x14ac:dyDescent="0.15">
      <c r="A2" s="3" t="s">
        <v>68</v>
      </c>
      <c r="B2" s="4">
        <v>0</v>
      </c>
      <c r="C2" s="5">
        <v>0</v>
      </c>
      <c r="D2" s="5">
        <v>0</v>
      </c>
      <c r="E2" s="5">
        <v>2.0311111111111102</v>
      </c>
      <c r="F2" s="5">
        <v>2.22693974990398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5">
        <v>0</v>
      </c>
      <c r="S2" s="5">
        <v>0</v>
      </c>
      <c r="T2" s="5">
        <v>0</v>
      </c>
      <c r="U2" s="5">
        <v>10</v>
      </c>
      <c r="V2" s="6"/>
      <c r="W2" s="6"/>
      <c r="X2" s="6"/>
      <c r="Y2" s="6"/>
      <c r="Z2" s="5">
        <v>7.1626541204750496E-2</v>
      </c>
      <c r="AA2" s="6"/>
      <c r="AB2" s="5">
        <v>4.6512000029906603E-2</v>
      </c>
      <c r="AC2" s="5">
        <v>7.1626541204750496E-2</v>
      </c>
      <c r="AD2" s="5">
        <v>7.1626541204750496E-2</v>
      </c>
      <c r="AE2" s="5">
        <v>2.2867619160097101</v>
      </c>
      <c r="AF2" s="5">
        <v>2.0311111111111102</v>
      </c>
      <c r="AG2" s="5">
        <v>2.22693974990398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5">
        <v>4</v>
      </c>
      <c r="AW2" s="5">
        <v>1</v>
      </c>
      <c r="AX2" s="7" t="s">
        <v>231</v>
      </c>
      <c r="AY2" s="7" t="s">
        <v>57</v>
      </c>
      <c r="AZ2" s="6"/>
      <c r="BA2" s="7" t="s">
        <v>58</v>
      </c>
      <c r="BB2" s="5">
        <v>117.17079412320599</v>
      </c>
      <c r="BC2" s="7" t="s">
        <v>232</v>
      </c>
      <c r="BD2" s="6"/>
    </row>
    <row r="3" spans="1:56" x14ac:dyDescent="0.15">
      <c r="A3" s="8" t="s">
        <v>65</v>
      </c>
      <c r="B3" s="9">
        <v>1</v>
      </c>
      <c r="C3" s="10">
        <v>1</v>
      </c>
      <c r="D3" s="10">
        <v>0</v>
      </c>
      <c r="E3" s="10">
        <v>2.0311111111111102</v>
      </c>
      <c r="F3" s="10">
        <v>0.58470841683447405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>
        <v>0</v>
      </c>
      <c r="S3" s="10">
        <v>1</v>
      </c>
      <c r="T3" s="10">
        <v>1</v>
      </c>
      <c r="U3" s="10">
        <v>9</v>
      </c>
      <c r="V3" s="11"/>
      <c r="W3" s="11"/>
      <c r="X3" s="11"/>
      <c r="Y3" s="11"/>
      <c r="Z3" s="10">
        <v>2.3000417500734298</v>
      </c>
      <c r="AA3" s="11"/>
      <c r="AB3" s="10">
        <v>2.2909677911084101</v>
      </c>
      <c r="AC3" s="10">
        <v>2.3000417500734298</v>
      </c>
      <c r="AD3" s="10">
        <v>2.3000417500734298</v>
      </c>
      <c r="AE3" s="10">
        <v>2.88617620803416</v>
      </c>
      <c r="AF3" s="10">
        <v>2.0311111111111102</v>
      </c>
      <c r="AG3" s="10">
        <v>0.58470841683447405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0">
        <v>4</v>
      </c>
      <c r="AW3" s="10">
        <v>1</v>
      </c>
      <c r="AX3" s="12" t="s">
        <v>231</v>
      </c>
      <c r="AY3" s="12" t="s">
        <v>57</v>
      </c>
      <c r="AZ3" s="11"/>
      <c r="BA3" s="12" t="s">
        <v>58</v>
      </c>
      <c r="BB3" s="10">
        <v>117.17079412320599</v>
      </c>
      <c r="BC3" s="12" t="s">
        <v>232</v>
      </c>
      <c r="BD3" s="11"/>
    </row>
    <row r="4" spans="1:56" x14ac:dyDescent="0.15">
      <c r="A4" s="8" t="s">
        <v>70</v>
      </c>
      <c r="B4" s="9">
        <v>2</v>
      </c>
      <c r="C4" s="10">
        <v>2</v>
      </c>
      <c r="D4" s="10">
        <v>0</v>
      </c>
      <c r="E4" s="10">
        <v>2.0311111111111102</v>
      </c>
      <c r="F4" s="10">
        <v>0.55267174984328504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0">
        <v>0</v>
      </c>
      <c r="S4" s="10">
        <v>2</v>
      </c>
      <c r="T4" s="10">
        <v>2</v>
      </c>
      <c r="U4" s="10">
        <v>2</v>
      </c>
      <c r="V4" s="11"/>
      <c r="W4" s="11"/>
      <c r="X4" s="11"/>
      <c r="Y4" s="11"/>
      <c r="Z4" s="10">
        <v>2.8992834580130902</v>
      </c>
      <c r="AA4" s="11"/>
      <c r="AB4" s="10">
        <v>2.89070475008339</v>
      </c>
      <c r="AC4" s="10">
        <v>2.8992834580130902</v>
      </c>
      <c r="AD4" s="10">
        <v>2.8992834580130902</v>
      </c>
      <c r="AE4" s="10">
        <v>3.4532247500028501</v>
      </c>
      <c r="AF4" s="10">
        <v>2.0311111111111102</v>
      </c>
      <c r="AG4" s="10">
        <v>0.55267174984328504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0">
        <v>4</v>
      </c>
      <c r="AW4" s="10">
        <v>1</v>
      </c>
      <c r="AX4" s="12" t="s">
        <v>231</v>
      </c>
      <c r="AY4" s="12" t="s">
        <v>57</v>
      </c>
      <c r="AZ4" s="11"/>
      <c r="BA4" s="12" t="s">
        <v>58</v>
      </c>
      <c r="BB4" s="10">
        <v>117.17079412320599</v>
      </c>
      <c r="BC4" s="12" t="s">
        <v>232</v>
      </c>
      <c r="BD4" s="11"/>
    </row>
    <row r="5" spans="1:56" x14ac:dyDescent="0.15">
      <c r="A5" s="8" t="s">
        <v>72</v>
      </c>
      <c r="B5" s="9">
        <v>3</v>
      </c>
      <c r="C5" s="10">
        <v>3</v>
      </c>
      <c r="D5" s="10">
        <v>0</v>
      </c>
      <c r="E5" s="10">
        <v>2.0311111111111102</v>
      </c>
      <c r="F5" s="10">
        <v>0.570490875048563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0">
        <v>0</v>
      </c>
      <c r="S5" s="10">
        <v>3</v>
      </c>
      <c r="T5" s="10">
        <v>3</v>
      </c>
      <c r="U5" s="10">
        <v>12</v>
      </c>
      <c r="V5" s="11"/>
      <c r="W5" s="11"/>
      <c r="X5" s="11"/>
      <c r="Y5" s="11"/>
      <c r="Z5" s="10">
        <v>3.4638728750869601</v>
      </c>
      <c r="AA5" s="11"/>
      <c r="AB5" s="10">
        <v>3.4554423331283002</v>
      </c>
      <c r="AC5" s="10">
        <v>3.4638728750869601</v>
      </c>
      <c r="AD5" s="10">
        <v>3.4638728750869601</v>
      </c>
      <c r="AE5" s="10">
        <v>4.0366733751725397</v>
      </c>
      <c r="AF5" s="10">
        <v>2.0311111111111102</v>
      </c>
      <c r="AG5" s="10">
        <v>0.570490875048563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0">
        <v>4</v>
      </c>
      <c r="AW5" s="10">
        <v>1</v>
      </c>
      <c r="AX5" s="12" t="s">
        <v>231</v>
      </c>
      <c r="AY5" s="12" t="s">
        <v>57</v>
      </c>
      <c r="AZ5" s="11"/>
      <c r="BA5" s="12" t="s">
        <v>58</v>
      </c>
      <c r="BB5" s="10">
        <v>117.17079412320599</v>
      </c>
      <c r="BC5" s="12" t="s">
        <v>232</v>
      </c>
      <c r="BD5" s="11"/>
    </row>
    <row r="6" spans="1:56" x14ac:dyDescent="0.15">
      <c r="A6" s="8" t="s">
        <v>69</v>
      </c>
      <c r="B6" s="9">
        <v>4</v>
      </c>
      <c r="C6" s="10">
        <v>4</v>
      </c>
      <c r="D6" s="10">
        <v>0</v>
      </c>
      <c r="E6" s="10">
        <v>2.0311111111111102</v>
      </c>
      <c r="F6" s="10">
        <v>0.55066487495787397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0">
        <v>0</v>
      </c>
      <c r="S6" s="10">
        <v>4</v>
      </c>
      <c r="T6" s="10">
        <v>4</v>
      </c>
      <c r="U6" s="10">
        <v>5</v>
      </c>
      <c r="V6" s="11"/>
      <c r="W6" s="11"/>
      <c r="X6" s="11"/>
      <c r="Y6" s="11"/>
      <c r="Z6" s="10">
        <v>4.0479466661345196</v>
      </c>
      <c r="AA6" s="11"/>
      <c r="AB6" s="10">
        <v>4.0397103750146899</v>
      </c>
      <c r="AC6" s="10">
        <v>4.0479466661345196</v>
      </c>
      <c r="AD6" s="10">
        <v>4.0479466661345196</v>
      </c>
      <c r="AE6" s="10">
        <v>4.6039540830533996</v>
      </c>
      <c r="AF6" s="10">
        <v>2.0311111111111102</v>
      </c>
      <c r="AG6" s="10">
        <v>0.55066487495787397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0">
        <v>4</v>
      </c>
      <c r="AW6" s="10">
        <v>1</v>
      </c>
      <c r="AX6" s="12" t="s">
        <v>231</v>
      </c>
      <c r="AY6" s="12" t="s">
        <v>57</v>
      </c>
      <c r="AZ6" s="11"/>
      <c r="BA6" s="12" t="s">
        <v>58</v>
      </c>
      <c r="BB6" s="10">
        <v>117.17079412320599</v>
      </c>
      <c r="BC6" s="12" t="s">
        <v>232</v>
      </c>
      <c r="BD6" s="11"/>
    </row>
    <row r="7" spans="1:56" x14ac:dyDescent="0.15">
      <c r="A7" s="8" t="s">
        <v>71</v>
      </c>
      <c r="B7" s="9">
        <v>5</v>
      </c>
      <c r="C7" s="10">
        <v>5</v>
      </c>
      <c r="D7" s="10">
        <v>0</v>
      </c>
      <c r="E7" s="10">
        <v>2.9422222222222199</v>
      </c>
      <c r="F7" s="10">
        <v>1.35768625000492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0">
        <v>0</v>
      </c>
      <c r="S7" s="10">
        <v>5</v>
      </c>
      <c r="T7" s="10">
        <v>5</v>
      </c>
      <c r="U7" s="10">
        <v>8</v>
      </c>
      <c r="V7" s="11"/>
      <c r="W7" s="11"/>
      <c r="X7" s="11"/>
      <c r="Y7" s="11"/>
      <c r="Z7" s="10">
        <v>4.6147547911386901</v>
      </c>
      <c r="AA7" s="11"/>
      <c r="AB7" s="10">
        <v>4.6061359581071901</v>
      </c>
      <c r="AC7" s="10">
        <v>4.6147547911386901</v>
      </c>
      <c r="AD7" s="10">
        <v>4.6147547911386901</v>
      </c>
      <c r="AE7" s="10">
        <v>5.9731071661226496</v>
      </c>
      <c r="AF7" s="10">
        <v>2.9422222222222199</v>
      </c>
      <c r="AG7" s="10">
        <v>1.35768625000492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0">
        <v>4</v>
      </c>
      <c r="AW7" s="10">
        <v>1</v>
      </c>
      <c r="AX7" s="12" t="s">
        <v>231</v>
      </c>
      <c r="AY7" s="12" t="s">
        <v>57</v>
      </c>
      <c r="AZ7" s="11"/>
      <c r="BA7" s="12" t="s">
        <v>58</v>
      </c>
      <c r="BB7" s="10">
        <v>117.17079412320599</v>
      </c>
      <c r="BC7" s="12" t="s">
        <v>232</v>
      </c>
      <c r="BD7" s="11"/>
    </row>
    <row r="8" spans="1:56" x14ac:dyDescent="0.15">
      <c r="A8" s="8" t="s">
        <v>63</v>
      </c>
      <c r="B8" s="9">
        <v>6</v>
      </c>
      <c r="C8" s="10">
        <v>6</v>
      </c>
      <c r="D8" s="10">
        <v>0</v>
      </c>
      <c r="E8" s="10">
        <v>1.9911111111111099</v>
      </c>
      <c r="F8" s="10">
        <v>1.81567091704346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0">
        <v>0</v>
      </c>
      <c r="S8" s="10">
        <v>6</v>
      </c>
      <c r="T8" s="10">
        <v>6</v>
      </c>
      <c r="U8" s="10">
        <v>14</v>
      </c>
      <c r="V8" s="11"/>
      <c r="W8" s="11"/>
      <c r="X8" s="11"/>
      <c r="Y8" s="11"/>
      <c r="Z8" s="10">
        <v>5.9862544580828398</v>
      </c>
      <c r="AA8" s="11"/>
      <c r="AB8" s="10">
        <v>5.9753605830483103</v>
      </c>
      <c r="AC8" s="10">
        <v>5.9862544580828398</v>
      </c>
      <c r="AD8" s="10">
        <v>5.9862544580828398</v>
      </c>
      <c r="AE8" s="10">
        <v>7.8040486660320303</v>
      </c>
      <c r="AF8" s="10">
        <v>1.9911111111111099</v>
      </c>
      <c r="AG8" s="10">
        <v>1.81567091704346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0">
        <v>4</v>
      </c>
      <c r="AW8" s="10">
        <v>1</v>
      </c>
      <c r="AX8" s="12" t="s">
        <v>231</v>
      </c>
      <c r="AY8" s="12" t="s">
        <v>57</v>
      </c>
      <c r="AZ8" s="11"/>
      <c r="BA8" s="12" t="s">
        <v>58</v>
      </c>
      <c r="BB8" s="10">
        <v>117.17079412320599</v>
      </c>
      <c r="BC8" s="12" t="s">
        <v>232</v>
      </c>
      <c r="BD8" s="11"/>
    </row>
    <row r="9" spans="1:56" x14ac:dyDescent="0.15">
      <c r="A9" s="8" t="s">
        <v>55</v>
      </c>
      <c r="B9" s="9">
        <v>7</v>
      </c>
      <c r="C9" s="10">
        <v>7</v>
      </c>
      <c r="D9" s="10">
        <v>0</v>
      </c>
      <c r="E9" s="10">
        <v>1.9911111111111099</v>
      </c>
      <c r="F9" s="10">
        <v>0.60861612507142104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>
        <v>0</v>
      </c>
      <c r="S9" s="10">
        <v>7</v>
      </c>
      <c r="T9" s="10">
        <v>7</v>
      </c>
      <c r="U9" s="10">
        <v>0</v>
      </c>
      <c r="V9" s="11"/>
      <c r="W9" s="11"/>
      <c r="X9" s="11"/>
      <c r="Y9" s="11"/>
      <c r="Z9" s="10">
        <v>7.8155169161036602</v>
      </c>
      <c r="AA9" s="11"/>
      <c r="AB9" s="10">
        <v>7.8061038330197299</v>
      </c>
      <c r="AC9" s="10">
        <v>7.8155169161036602</v>
      </c>
      <c r="AD9" s="10">
        <v>7.8155169161036602</v>
      </c>
      <c r="AE9" s="10">
        <v>8.4244706251192802</v>
      </c>
      <c r="AF9" s="10">
        <v>1.9911111111111099</v>
      </c>
      <c r="AG9" s="10">
        <v>0.60861612507142104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0">
        <v>4</v>
      </c>
      <c r="AW9" s="10">
        <v>1</v>
      </c>
      <c r="AX9" s="12" t="s">
        <v>231</v>
      </c>
      <c r="AY9" s="12" t="s">
        <v>57</v>
      </c>
      <c r="AZ9" s="11"/>
      <c r="BA9" s="12" t="s">
        <v>58</v>
      </c>
      <c r="BB9" s="10">
        <v>117.17079412320599</v>
      </c>
      <c r="BC9" s="12" t="s">
        <v>232</v>
      </c>
      <c r="BD9" s="11"/>
    </row>
    <row r="10" spans="1:56" x14ac:dyDescent="0.15">
      <c r="A10" s="8" t="s">
        <v>66</v>
      </c>
      <c r="B10" s="9">
        <v>8</v>
      </c>
      <c r="C10" s="10">
        <v>8</v>
      </c>
      <c r="D10" s="10">
        <v>0</v>
      </c>
      <c r="E10" s="10">
        <v>1.9911111111111099</v>
      </c>
      <c r="F10" s="10">
        <v>0.47800970892421901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0">
        <v>0</v>
      </c>
      <c r="S10" s="10">
        <v>8</v>
      </c>
      <c r="T10" s="10">
        <v>8</v>
      </c>
      <c r="U10" s="10">
        <v>6</v>
      </c>
      <c r="V10" s="11"/>
      <c r="W10" s="11"/>
      <c r="X10" s="11"/>
      <c r="Y10" s="11"/>
      <c r="Z10" s="10">
        <v>8.4365151252131891</v>
      </c>
      <c r="AA10" s="11"/>
      <c r="AB10" s="10">
        <v>8.4267063331790304</v>
      </c>
      <c r="AC10" s="10">
        <v>8.4365151252131891</v>
      </c>
      <c r="AD10" s="10">
        <v>8.4365151252131891</v>
      </c>
      <c r="AE10" s="10">
        <v>8.9142261662054807</v>
      </c>
      <c r="AF10" s="10">
        <v>1.9911111111111099</v>
      </c>
      <c r="AG10" s="10">
        <v>0.47800970892421901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0">
        <v>4</v>
      </c>
      <c r="AW10" s="10">
        <v>1</v>
      </c>
      <c r="AX10" s="12" t="s">
        <v>231</v>
      </c>
      <c r="AY10" s="12" t="s">
        <v>57</v>
      </c>
      <c r="AZ10" s="11"/>
      <c r="BA10" s="12" t="s">
        <v>58</v>
      </c>
      <c r="BB10" s="10">
        <v>117.17079412320599</v>
      </c>
      <c r="BC10" s="12" t="s">
        <v>232</v>
      </c>
      <c r="BD10" s="11"/>
    </row>
    <row r="11" spans="1:56" x14ac:dyDescent="0.15">
      <c r="A11" s="8" t="s">
        <v>67</v>
      </c>
      <c r="B11" s="9">
        <v>9</v>
      </c>
      <c r="C11" s="10">
        <v>9</v>
      </c>
      <c r="D11" s="10">
        <v>0</v>
      </c>
      <c r="E11" s="10">
        <v>1.9911111111111099</v>
      </c>
      <c r="F11" s="10">
        <v>0.55656329193152498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>
        <v>0</v>
      </c>
      <c r="S11" s="10">
        <v>9</v>
      </c>
      <c r="T11" s="10">
        <v>9</v>
      </c>
      <c r="U11" s="10">
        <v>4</v>
      </c>
      <c r="V11" s="11"/>
      <c r="W11" s="11"/>
      <c r="X11" s="11"/>
      <c r="Y11" s="11"/>
      <c r="Z11" s="10">
        <v>8.9271502080373502</v>
      </c>
      <c r="AA11" s="11"/>
      <c r="AB11" s="10">
        <v>8.9176481252070499</v>
      </c>
      <c r="AC11" s="10">
        <v>8.9271502080373502</v>
      </c>
      <c r="AD11" s="10">
        <v>8.9271502080373502</v>
      </c>
      <c r="AE11" s="10">
        <v>9.4873335831798595</v>
      </c>
      <c r="AF11" s="10">
        <v>1.9911111111111099</v>
      </c>
      <c r="AG11" s="10">
        <v>0.55656329193152498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0">
        <v>4</v>
      </c>
      <c r="AW11" s="10">
        <v>1</v>
      </c>
      <c r="AX11" s="12" t="s">
        <v>231</v>
      </c>
      <c r="AY11" s="12" t="s">
        <v>57</v>
      </c>
      <c r="AZ11" s="11"/>
      <c r="BA11" s="12" t="s">
        <v>58</v>
      </c>
      <c r="BB11" s="10">
        <v>117.17079412320599</v>
      </c>
      <c r="BC11" s="12" t="s">
        <v>232</v>
      </c>
      <c r="BD11" s="11"/>
    </row>
    <row r="12" spans="1:56" x14ac:dyDescent="0.15">
      <c r="A12" s="8" t="s">
        <v>73</v>
      </c>
      <c r="B12" s="9">
        <v>10</v>
      </c>
      <c r="C12" s="10">
        <v>10</v>
      </c>
      <c r="D12" s="10">
        <v>0</v>
      </c>
      <c r="E12" s="10">
        <v>1.9911111111111099</v>
      </c>
      <c r="F12" s="10">
        <v>0.69768725009635102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0">
        <v>0</v>
      </c>
      <c r="S12" s="10">
        <v>10</v>
      </c>
      <c r="T12" s="10">
        <v>10</v>
      </c>
      <c r="U12" s="10">
        <v>13</v>
      </c>
      <c r="V12" s="11"/>
      <c r="W12" s="11"/>
      <c r="X12" s="11"/>
      <c r="Y12" s="11"/>
      <c r="Z12" s="10">
        <v>9.49904554104433</v>
      </c>
      <c r="AA12" s="11"/>
      <c r="AB12" s="10">
        <v>9.4902089580427909</v>
      </c>
      <c r="AC12" s="10">
        <v>9.49904554104433</v>
      </c>
      <c r="AD12" s="10">
        <v>9.49904554104433</v>
      </c>
      <c r="AE12" s="10">
        <v>10.1962754160631</v>
      </c>
      <c r="AF12" s="10">
        <v>1.9911111111111099</v>
      </c>
      <c r="AG12" s="10">
        <v>0.69768725009635102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0">
        <v>4</v>
      </c>
      <c r="AW12" s="10">
        <v>1</v>
      </c>
      <c r="AX12" s="12" t="s">
        <v>231</v>
      </c>
      <c r="AY12" s="12" t="s">
        <v>57</v>
      </c>
      <c r="AZ12" s="11"/>
      <c r="BA12" s="12" t="s">
        <v>58</v>
      </c>
      <c r="BB12" s="10">
        <v>117.17079412320599</v>
      </c>
      <c r="BC12" s="12" t="s">
        <v>232</v>
      </c>
      <c r="BD12" s="11"/>
    </row>
    <row r="13" spans="1:56" x14ac:dyDescent="0.15">
      <c r="A13" s="8" t="s">
        <v>64</v>
      </c>
      <c r="B13" s="9">
        <v>11</v>
      </c>
      <c r="C13" s="10">
        <v>11</v>
      </c>
      <c r="D13" s="10">
        <v>0</v>
      </c>
      <c r="E13" s="10">
        <v>1.9911111111111099</v>
      </c>
      <c r="F13" s="10">
        <v>0.89209666685201205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">
        <v>0</v>
      </c>
      <c r="S13" s="10">
        <v>11</v>
      </c>
      <c r="T13" s="10">
        <v>11</v>
      </c>
      <c r="U13" s="10">
        <v>1</v>
      </c>
      <c r="V13" s="11"/>
      <c r="W13" s="11"/>
      <c r="X13" s="11"/>
      <c r="Y13" s="11"/>
      <c r="Z13" s="10">
        <v>10.207518333103501</v>
      </c>
      <c r="AA13" s="11"/>
      <c r="AB13" s="10">
        <v>10.1988676250912</v>
      </c>
      <c r="AC13" s="10">
        <v>10.207518333103501</v>
      </c>
      <c r="AD13" s="10">
        <v>10.207518333103501</v>
      </c>
      <c r="AE13" s="10">
        <v>11.1039245000575</v>
      </c>
      <c r="AF13" s="10">
        <v>1.9911111111111099</v>
      </c>
      <c r="AG13" s="10">
        <v>0.89209666685201205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0">
        <v>4</v>
      </c>
      <c r="AW13" s="10">
        <v>1</v>
      </c>
      <c r="AX13" s="12" t="s">
        <v>231</v>
      </c>
      <c r="AY13" s="12" t="s">
        <v>57</v>
      </c>
      <c r="AZ13" s="11"/>
      <c r="BA13" s="12" t="s">
        <v>58</v>
      </c>
      <c r="BB13" s="10">
        <v>117.17079412320599</v>
      </c>
      <c r="BC13" s="12" t="s">
        <v>232</v>
      </c>
      <c r="BD13" s="11"/>
    </row>
    <row r="14" spans="1:56" x14ac:dyDescent="0.15">
      <c r="A14" s="8" t="s">
        <v>60</v>
      </c>
      <c r="B14" s="9">
        <v>12</v>
      </c>
      <c r="C14" s="10">
        <v>12</v>
      </c>
      <c r="D14" s="10">
        <v>0</v>
      </c>
      <c r="E14" s="10">
        <v>2.8088888888888901</v>
      </c>
      <c r="F14" s="10">
        <v>1.5246095419861401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0">
        <v>0</v>
      </c>
      <c r="S14" s="10">
        <v>12</v>
      </c>
      <c r="T14" s="10">
        <v>12</v>
      </c>
      <c r="U14" s="10">
        <v>3</v>
      </c>
      <c r="V14" s="11"/>
      <c r="W14" s="11"/>
      <c r="X14" s="11"/>
      <c r="Y14" s="11"/>
      <c r="Z14" s="10">
        <v>11.115491208154699</v>
      </c>
      <c r="AA14" s="11"/>
      <c r="AB14" s="10">
        <v>11.106152208056301</v>
      </c>
      <c r="AC14" s="10">
        <v>11.115491208154699</v>
      </c>
      <c r="AD14" s="10">
        <v>11.115491208154699</v>
      </c>
      <c r="AE14" s="10">
        <v>12.640173749998199</v>
      </c>
      <c r="AF14" s="10">
        <v>2.8088888888888901</v>
      </c>
      <c r="AG14" s="10">
        <v>1.5246095419861401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0">
        <v>4</v>
      </c>
      <c r="AW14" s="10">
        <v>1</v>
      </c>
      <c r="AX14" s="12" t="s">
        <v>231</v>
      </c>
      <c r="AY14" s="12" t="s">
        <v>57</v>
      </c>
      <c r="AZ14" s="11"/>
      <c r="BA14" s="12" t="s">
        <v>58</v>
      </c>
      <c r="BB14" s="10">
        <v>117.17079412320599</v>
      </c>
      <c r="BC14" s="12" t="s">
        <v>232</v>
      </c>
      <c r="BD14" s="11"/>
    </row>
    <row r="15" spans="1:56" x14ac:dyDescent="0.15">
      <c r="A15" s="8" t="s">
        <v>62</v>
      </c>
      <c r="B15" s="9">
        <v>13</v>
      </c>
      <c r="C15" s="10">
        <v>13</v>
      </c>
      <c r="D15" s="10">
        <v>0</v>
      </c>
      <c r="E15" s="10">
        <v>2.9911111111111102</v>
      </c>
      <c r="F15" s="10">
        <v>1.2813863751944199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>
        <v>0</v>
      </c>
      <c r="S15" s="10">
        <v>13</v>
      </c>
      <c r="T15" s="10">
        <v>13</v>
      </c>
      <c r="U15" s="10">
        <v>11</v>
      </c>
      <c r="V15" s="11"/>
      <c r="W15" s="11"/>
      <c r="X15" s="11"/>
      <c r="Y15" s="11"/>
      <c r="Z15" s="10">
        <v>12.6532678750809</v>
      </c>
      <c r="AA15" s="11"/>
      <c r="AB15" s="10">
        <v>12.642558708088499</v>
      </c>
      <c r="AC15" s="10">
        <v>12.6532678750809</v>
      </c>
      <c r="AD15" s="10">
        <v>12.6532678750809</v>
      </c>
      <c r="AE15" s="10">
        <v>13.9372075002175</v>
      </c>
      <c r="AF15" s="10">
        <v>2.9911111111111102</v>
      </c>
      <c r="AG15" s="10">
        <v>1.2813863751944199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0">
        <v>4</v>
      </c>
      <c r="AW15" s="10">
        <v>1</v>
      </c>
      <c r="AX15" s="12" t="s">
        <v>231</v>
      </c>
      <c r="AY15" s="12" t="s">
        <v>57</v>
      </c>
      <c r="AZ15" s="11"/>
      <c r="BA15" s="12" t="s">
        <v>58</v>
      </c>
      <c r="BB15" s="10">
        <v>117.17079412320599</v>
      </c>
      <c r="BC15" s="12" t="s">
        <v>232</v>
      </c>
      <c r="BD15" s="11"/>
    </row>
    <row r="16" spans="1:56" x14ac:dyDescent="0.15">
      <c r="A16" s="8" t="s">
        <v>61</v>
      </c>
      <c r="B16" s="9">
        <v>14</v>
      </c>
      <c r="C16" s="10">
        <v>14</v>
      </c>
      <c r="D16" s="10">
        <v>0</v>
      </c>
      <c r="E16" s="10">
        <v>2.0133333333333301</v>
      </c>
      <c r="F16" s="10">
        <v>0.60060295788571205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">
        <v>0</v>
      </c>
      <c r="S16" s="10">
        <v>14</v>
      </c>
      <c r="T16" s="10">
        <v>14</v>
      </c>
      <c r="U16" s="10">
        <v>7</v>
      </c>
      <c r="V16" s="11"/>
      <c r="W16" s="11"/>
      <c r="X16" s="11"/>
      <c r="Y16" s="11"/>
      <c r="Z16" s="10">
        <v>13.9500853330828</v>
      </c>
      <c r="AA16" s="11"/>
      <c r="AB16" s="10">
        <v>13.9408426252194</v>
      </c>
      <c r="AC16" s="10">
        <v>13.9500853330828</v>
      </c>
      <c r="AD16" s="10">
        <v>13.9500853330828</v>
      </c>
      <c r="AE16" s="10">
        <v>14.554020375013399</v>
      </c>
      <c r="AF16" s="10">
        <v>2.0133333333333301</v>
      </c>
      <c r="AG16" s="10">
        <v>0.60060295788571205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0">
        <v>4</v>
      </c>
      <c r="AW16" s="10">
        <v>1</v>
      </c>
      <c r="AX16" s="12" t="s">
        <v>231</v>
      </c>
      <c r="AY16" s="12" t="s">
        <v>57</v>
      </c>
      <c r="AZ16" s="11"/>
      <c r="BA16" s="12" t="s">
        <v>58</v>
      </c>
      <c r="BB16" s="10">
        <v>117.17079412320599</v>
      </c>
      <c r="BC16" s="12" t="s">
        <v>232</v>
      </c>
      <c r="BD16" s="11"/>
    </row>
    <row r="17" spans="1:56" x14ac:dyDescent="0.15">
      <c r="A17" s="13"/>
      <c r="B17" s="9">
        <v>0</v>
      </c>
      <c r="C17" s="10">
        <v>0</v>
      </c>
      <c r="D17" s="10">
        <v>0</v>
      </c>
      <c r="E17" s="11"/>
      <c r="F17" s="11"/>
      <c r="G17" s="12" t="s">
        <v>120</v>
      </c>
      <c r="H17" s="12" t="s">
        <v>121</v>
      </c>
      <c r="I17" s="12" t="s">
        <v>85</v>
      </c>
      <c r="J17" s="12" t="s">
        <v>70</v>
      </c>
      <c r="K17" s="12" t="s">
        <v>233</v>
      </c>
      <c r="L17" s="12" t="s">
        <v>185</v>
      </c>
      <c r="M17" s="12" t="s">
        <v>80</v>
      </c>
      <c r="N17" s="12" t="s">
        <v>81</v>
      </c>
      <c r="O17" s="12" t="s">
        <v>81</v>
      </c>
      <c r="P17" s="12" t="s">
        <v>234</v>
      </c>
      <c r="Q17" s="12" t="s">
        <v>83</v>
      </c>
      <c r="R17" s="11"/>
      <c r="S17" s="11"/>
      <c r="T17" s="11"/>
      <c r="U17" s="11"/>
      <c r="V17" s="10">
        <v>0</v>
      </c>
      <c r="W17" s="10">
        <v>0</v>
      </c>
      <c r="X17" s="10">
        <v>0</v>
      </c>
      <c r="Y17" s="10">
        <v>12</v>
      </c>
      <c r="Z17" s="10">
        <v>14.5739000001922</v>
      </c>
      <c r="AA17" s="11"/>
      <c r="AB17" s="11"/>
      <c r="AC17" s="11"/>
      <c r="AD17" s="11"/>
      <c r="AE17" s="11"/>
      <c r="AF17" s="11"/>
      <c r="AG17" s="11"/>
      <c r="AH17" s="10">
        <v>14.5608291251119</v>
      </c>
      <c r="AI17" s="10">
        <v>14.5739000001922</v>
      </c>
      <c r="AJ17" s="10">
        <v>14.5739000001922</v>
      </c>
      <c r="AK17" s="10">
        <v>14.5739000001922</v>
      </c>
      <c r="AL17" s="10">
        <v>6.80533400736749E-3</v>
      </c>
      <c r="AM17" s="10">
        <v>18.278919916134299</v>
      </c>
      <c r="AN17" s="12" t="s">
        <v>70</v>
      </c>
      <c r="AO17" s="12" t="s">
        <v>233</v>
      </c>
      <c r="AP17" s="12" t="s">
        <v>185</v>
      </c>
      <c r="AQ17" s="12" t="s">
        <v>80</v>
      </c>
      <c r="AR17" s="12" t="s">
        <v>81</v>
      </c>
      <c r="AS17" s="12" t="s">
        <v>81</v>
      </c>
      <c r="AT17" s="12" t="s">
        <v>234</v>
      </c>
      <c r="AU17" s="12" t="s">
        <v>83</v>
      </c>
      <c r="AV17" s="10">
        <v>4</v>
      </c>
      <c r="AW17" s="10">
        <v>1</v>
      </c>
      <c r="AX17" s="12" t="s">
        <v>231</v>
      </c>
      <c r="AY17" s="12" t="s">
        <v>57</v>
      </c>
      <c r="AZ17" s="11"/>
      <c r="BA17" s="12" t="s">
        <v>58</v>
      </c>
      <c r="BB17" s="10">
        <v>117.17079412320599</v>
      </c>
      <c r="BC17" s="12" t="s">
        <v>232</v>
      </c>
      <c r="BD17" s="11"/>
    </row>
    <row r="18" spans="1:56" x14ac:dyDescent="0.15">
      <c r="A18" s="13"/>
      <c r="B18" s="9">
        <v>1</v>
      </c>
      <c r="C18" s="10">
        <v>1</v>
      </c>
      <c r="D18" s="10">
        <v>0</v>
      </c>
      <c r="E18" s="11"/>
      <c r="F18" s="11"/>
      <c r="G18" s="12" t="s">
        <v>130</v>
      </c>
      <c r="H18" s="12" t="s">
        <v>131</v>
      </c>
      <c r="I18" s="12" t="s">
        <v>85</v>
      </c>
      <c r="J18" s="12" t="s">
        <v>64</v>
      </c>
      <c r="K18" s="12" t="s">
        <v>235</v>
      </c>
      <c r="L18" s="12" t="s">
        <v>133</v>
      </c>
      <c r="M18" s="12" t="s">
        <v>80</v>
      </c>
      <c r="N18" s="12" t="s">
        <v>81</v>
      </c>
      <c r="O18" s="12" t="s">
        <v>81</v>
      </c>
      <c r="P18" s="12" t="s">
        <v>236</v>
      </c>
      <c r="Q18" s="12" t="s">
        <v>83</v>
      </c>
      <c r="R18" s="11"/>
      <c r="S18" s="11"/>
      <c r="T18" s="11"/>
      <c r="U18" s="11"/>
      <c r="V18" s="10">
        <v>0</v>
      </c>
      <c r="W18" s="10">
        <v>1</v>
      </c>
      <c r="X18" s="10">
        <v>1</v>
      </c>
      <c r="Y18" s="10">
        <v>14</v>
      </c>
      <c r="Z18" s="10">
        <v>18.2914790411014</v>
      </c>
      <c r="AA18" s="11"/>
      <c r="AB18" s="11"/>
      <c r="AC18" s="11"/>
      <c r="AD18" s="11"/>
      <c r="AE18" s="11"/>
      <c r="AF18" s="11"/>
      <c r="AG18" s="11"/>
      <c r="AH18" s="10">
        <v>18.281175250187498</v>
      </c>
      <c r="AI18" s="10">
        <v>18.2914790411014</v>
      </c>
      <c r="AJ18" s="10">
        <v>18.2914790411014</v>
      </c>
      <c r="AK18" s="10">
        <v>18.2914790411014</v>
      </c>
      <c r="AL18" s="10">
        <v>2.11641704663634E-3</v>
      </c>
      <c r="AM18" s="10">
        <v>21.096365416189698</v>
      </c>
      <c r="AN18" s="12" t="s">
        <v>64</v>
      </c>
      <c r="AO18" s="12" t="s">
        <v>235</v>
      </c>
      <c r="AP18" s="12" t="s">
        <v>133</v>
      </c>
      <c r="AQ18" s="12" t="s">
        <v>80</v>
      </c>
      <c r="AR18" s="12" t="s">
        <v>81</v>
      </c>
      <c r="AS18" s="12" t="s">
        <v>81</v>
      </c>
      <c r="AT18" s="12" t="s">
        <v>236</v>
      </c>
      <c r="AU18" s="12" t="s">
        <v>83</v>
      </c>
      <c r="AV18" s="10">
        <v>4</v>
      </c>
      <c r="AW18" s="10">
        <v>1</v>
      </c>
      <c r="AX18" s="12" t="s">
        <v>231</v>
      </c>
      <c r="AY18" s="12" t="s">
        <v>57</v>
      </c>
      <c r="AZ18" s="11"/>
      <c r="BA18" s="12" t="s">
        <v>58</v>
      </c>
      <c r="BB18" s="10">
        <v>117.17079412320599</v>
      </c>
      <c r="BC18" s="12" t="s">
        <v>232</v>
      </c>
      <c r="BD18" s="11"/>
    </row>
    <row r="19" spans="1:56" x14ac:dyDescent="0.15">
      <c r="A19" s="13"/>
      <c r="B19" s="9">
        <v>2</v>
      </c>
      <c r="C19" s="10">
        <v>2</v>
      </c>
      <c r="D19" s="10">
        <v>0</v>
      </c>
      <c r="E19" s="11"/>
      <c r="F19" s="11"/>
      <c r="G19" s="12" t="s">
        <v>164</v>
      </c>
      <c r="H19" s="12" t="s">
        <v>165</v>
      </c>
      <c r="I19" s="12" t="s">
        <v>76</v>
      </c>
      <c r="J19" s="12" t="s">
        <v>166</v>
      </c>
      <c r="K19" s="12" t="s">
        <v>237</v>
      </c>
      <c r="L19" s="12" t="s">
        <v>238</v>
      </c>
      <c r="M19" s="12" t="s">
        <v>80</v>
      </c>
      <c r="N19" s="12" t="s">
        <v>81</v>
      </c>
      <c r="O19" s="12" t="s">
        <v>81</v>
      </c>
      <c r="P19" s="12" t="s">
        <v>239</v>
      </c>
      <c r="Q19" s="12" t="s">
        <v>83</v>
      </c>
      <c r="R19" s="11"/>
      <c r="S19" s="11"/>
      <c r="T19" s="11"/>
      <c r="U19" s="11"/>
      <c r="V19" s="10">
        <v>0</v>
      </c>
      <c r="W19" s="10">
        <v>2</v>
      </c>
      <c r="X19" s="10">
        <v>2</v>
      </c>
      <c r="Y19" s="10">
        <v>19</v>
      </c>
      <c r="Z19" s="10">
        <v>21.107645791024002</v>
      </c>
      <c r="AA19" s="11"/>
      <c r="AB19" s="11"/>
      <c r="AC19" s="11"/>
      <c r="AD19" s="11"/>
      <c r="AE19" s="11"/>
      <c r="AF19" s="11"/>
      <c r="AG19" s="11"/>
      <c r="AH19" s="10">
        <v>21.098341458011401</v>
      </c>
      <c r="AI19" s="10">
        <v>21.107645791024002</v>
      </c>
      <c r="AJ19" s="10">
        <v>21.107645791024002</v>
      </c>
      <c r="AK19" s="10">
        <v>21.107645791024002</v>
      </c>
      <c r="AL19" s="10">
        <v>1.8754580523818701E-3</v>
      </c>
      <c r="AM19" s="10">
        <v>24.178624791093199</v>
      </c>
      <c r="AN19" s="12" t="s">
        <v>166</v>
      </c>
      <c r="AO19" s="12" t="s">
        <v>237</v>
      </c>
      <c r="AP19" s="12" t="s">
        <v>238</v>
      </c>
      <c r="AQ19" s="12" t="s">
        <v>80</v>
      </c>
      <c r="AR19" s="12" t="s">
        <v>81</v>
      </c>
      <c r="AS19" s="12" t="s">
        <v>81</v>
      </c>
      <c r="AT19" s="12" t="s">
        <v>239</v>
      </c>
      <c r="AU19" s="12" t="s">
        <v>83</v>
      </c>
      <c r="AV19" s="10">
        <v>4</v>
      </c>
      <c r="AW19" s="10">
        <v>1</v>
      </c>
      <c r="AX19" s="12" t="s">
        <v>231</v>
      </c>
      <c r="AY19" s="12" t="s">
        <v>57</v>
      </c>
      <c r="AZ19" s="11"/>
      <c r="BA19" s="12" t="s">
        <v>58</v>
      </c>
      <c r="BB19" s="10">
        <v>117.17079412320599</v>
      </c>
      <c r="BC19" s="12" t="s">
        <v>232</v>
      </c>
      <c r="BD19" s="11"/>
    </row>
    <row r="20" spans="1:56" x14ac:dyDescent="0.15">
      <c r="A20" s="13"/>
      <c r="B20" s="9">
        <v>3</v>
      </c>
      <c r="C20" s="10">
        <v>3</v>
      </c>
      <c r="D20" s="10">
        <v>0</v>
      </c>
      <c r="E20" s="11"/>
      <c r="F20" s="11"/>
      <c r="G20" s="12" t="s">
        <v>74</v>
      </c>
      <c r="H20" s="12" t="s">
        <v>75</v>
      </c>
      <c r="I20" s="12" t="s">
        <v>76</v>
      </c>
      <c r="J20" s="12" t="s">
        <v>77</v>
      </c>
      <c r="K20" s="12" t="s">
        <v>240</v>
      </c>
      <c r="L20" s="12" t="s">
        <v>241</v>
      </c>
      <c r="M20" s="12" t="s">
        <v>80</v>
      </c>
      <c r="N20" s="12" t="s">
        <v>81</v>
      </c>
      <c r="O20" s="12" t="s">
        <v>81</v>
      </c>
      <c r="P20" s="12" t="s">
        <v>242</v>
      </c>
      <c r="Q20" s="12" t="s">
        <v>83</v>
      </c>
      <c r="R20" s="11"/>
      <c r="S20" s="11"/>
      <c r="T20" s="11"/>
      <c r="U20" s="11"/>
      <c r="V20" s="10">
        <v>0</v>
      </c>
      <c r="W20" s="10">
        <v>3</v>
      </c>
      <c r="X20" s="10">
        <v>3</v>
      </c>
      <c r="Y20" s="10">
        <v>17</v>
      </c>
      <c r="Z20" s="10">
        <v>24.191526708193098</v>
      </c>
      <c r="AA20" s="11"/>
      <c r="AB20" s="11"/>
      <c r="AC20" s="11"/>
      <c r="AD20" s="11"/>
      <c r="AE20" s="11"/>
      <c r="AF20" s="11"/>
      <c r="AG20" s="11"/>
      <c r="AH20" s="10">
        <v>24.1815379580949</v>
      </c>
      <c r="AI20" s="10">
        <v>24.191526708193098</v>
      </c>
      <c r="AJ20" s="10">
        <v>24.191526708193098</v>
      </c>
      <c r="AK20" s="10">
        <v>24.191526708193098</v>
      </c>
      <c r="AL20" s="10">
        <v>2.8067079838365299E-3</v>
      </c>
      <c r="AM20" s="10">
        <v>26.9952824581414</v>
      </c>
      <c r="AN20" s="12" t="s">
        <v>77</v>
      </c>
      <c r="AO20" s="12" t="s">
        <v>240</v>
      </c>
      <c r="AP20" s="12" t="s">
        <v>241</v>
      </c>
      <c r="AQ20" s="12" t="s">
        <v>80</v>
      </c>
      <c r="AR20" s="12" t="s">
        <v>81</v>
      </c>
      <c r="AS20" s="12" t="s">
        <v>81</v>
      </c>
      <c r="AT20" s="12" t="s">
        <v>242</v>
      </c>
      <c r="AU20" s="12" t="s">
        <v>83</v>
      </c>
      <c r="AV20" s="10">
        <v>4</v>
      </c>
      <c r="AW20" s="10">
        <v>1</v>
      </c>
      <c r="AX20" s="12" t="s">
        <v>231</v>
      </c>
      <c r="AY20" s="12" t="s">
        <v>57</v>
      </c>
      <c r="AZ20" s="11"/>
      <c r="BA20" s="12" t="s">
        <v>58</v>
      </c>
      <c r="BB20" s="10">
        <v>117.17079412320599</v>
      </c>
      <c r="BC20" s="12" t="s">
        <v>232</v>
      </c>
      <c r="BD20" s="11"/>
    </row>
    <row r="21" spans="1:56" x14ac:dyDescent="0.15">
      <c r="A21" s="13"/>
      <c r="B21" s="9">
        <v>4</v>
      </c>
      <c r="C21" s="10">
        <v>4</v>
      </c>
      <c r="D21" s="10">
        <v>0</v>
      </c>
      <c r="E21" s="11"/>
      <c r="F21" s="11"/>
      <c r="G21" s="12" t="s">
        <v>149</v>
      </c>
      <c r="H21" s="12" t="s">
        <v>150</v>
      </c>
      <c r="I21" s="12" t="s">
        <v>76</v>
      </c>
      <c r="J21" s="12" t="s">
        <v>151</v>
      </c>
      <c r="K21" s="12" t="s">
        <v>243</v>
      </c>
      <c r="L21" s="12" t="s">
        <v>244</v>
      </c>
      <c r="M21" s="12" t="s">
        <v>80</v>
      </c>
      <c r="N21" s="12" t="s">
        <v>81</v>
      </c>
      <c r="O21" s="12" t="s">
        <v>81</v>
      </c>
      <c r="P21" s="12" t="s">
        <v>245</v>
      </c>
      <c r="Q21" s="12" t="s">
        <v>83</v>
      </c>
      <c r="R21" s="11"/>
      <c r="S21" s="11"/>
      <c r="T21" s="11"/>
      <c r="U21" s="11"/>
      <c r="V21" s="10">
        <v>0</v>
      </c>
      <c r="W21" s="10">
        <v>4</v>
      </c>
      <c r="X21" s="10">
        <v>4</v>
      </c>
      <c r="Y21" s="10">
        <v>15</v>
      </c>
      <c r="Z21" s="10">
        <v>27.006990625057401</v>
      </c>
      <c r="AA21" s="11"/>
      <c r="AB21" s="11"/>
      <c r="AC21" s="11"/>
      <c r="AD21" s="11"/>
      <c r="AE21" s="11"/>
      <c r="AF21" s="11"/>
      <c r="AG21" s="11"/>
      <c r="AH21" s="10">
        <v>26.9973142910749</v>
      </c>
      <c r="AI21" s="10">
        <v>27.006990625057401</v>
      </c>
      <c r="AJ21" s="10">
        <v>27.006990625057401</v>
      </c>
      <c r="AK21" s="10">
        <v>27.006990625057401</v>
      </c>
      <c r="AL21" s="10">
        <v>1.93595816381276E-3</v>
      </c>
      <c r="AM21" s="10">
        <v>29.2392539582215</v>
      </c>
      <c r="AN21" s="12" t="s">
        <v>151</v>
      </c>
      <c r="AO21" s="12" t="s">
        <v>243</v>
      </c>
      <c r="AP21" s="12" t="s">
        <v>244</v>
      </c>
      <c r="AQ21" s="12" t="s">
        <v>80</v>
      </c>
      <c r="AR21" s="12" t="s">
        <v>81</v>
      </c>
      <c r="AS21" s="12" t="s">
        <v>81</v>
      </c>
      <c r="AT21" s="12" t="s">
        <v>245</v>
      </c>
      <c r="AU21" s="12" t="s">
        <v>83</v>
      </c>
      <c r="AV21" s="10">
        <v>4</v>
      </c>
      <c r="AW21" s="10">
        <v>1</v>
      </c>
      <c r="AX21" s="12" t="s">
        <v>231</v>
      </c>
      <c r="AY21" s="12" t="s">
        <v>57</v>
      </c>
      <c r="AZ21" s="11"/>
      <c r="BA21" s="12" t="s">
        <v>58</v>
      </c>
      <c r="BB21" s="10">
        <v>117.17079412320599</v>
      </c>
      <c r="BC21" s="12" t="s">
        <v>232</v>
      </c>
      <c r="BD21" s="11"/>
    </row>
    <row r="22" spans="1:56" x14ac:dyDescent="0.15">
      <c r="A22" s="13"/>
      <c r="B22" s="9">
        <v>5</v>
      </c>
      <c r="C22" s="10">
        <v>5</v>
      </c>
      <c r="D22" s="10">
        <v>0</v>
      </c>
      <c r="E22" s="11"/>
      <c r="F22" s="11"/>
      <c r="G22" s="12" t="s">
        <v>159</v>
      </c>
      <c r="H22" s="12" t="s">
        <v>160</v>
      </c>
      <c r="I22" s="12" t="s">
        <v>76</v>
      </c>
      <c r="J22" s="12" t="s">
        <v>161</v>
      </c>
      <c r="K22" s="12" t="s">
        <v>246</v>
      </c>
      <c r="L22" s="12" t="s">
        <v>230</v>
      </c>
      <c r="M22" s="12" t="s">
        <v>80</v>
      </c>
      <c r="N22" s="12" t="s">
        <v>81</v>
      </c>
      <c r="O22" s="12" t="s">
        <v>81</v>
      </c>
      <c r="P22" s="12" t="s">
        <v>247</v>
      </c>
      <c r="Q22" s="12" t="s">
        <v>83</v>
      </c>
      <c r="R22" s="11"/>
      <c r="S22" s="11"/>
      <c r="T22" s="11"/>
      <c r="U22" s="11"/>
      <c r="V22" s="10">
        <v>0</v>
      </c>
      <c r="W22" s="10">
        <v>5</v>
      </c>
      <c r="X22" s="10">
        <v>5</v>
      </c>
      <c r="Y22" s="10">
        <v>18</v>
      </c>
      <c r="Z22" s="10">
        <v>29.270548083121</v>
      </c>
      <c r="AA22" s="11"/>
      <c r="AB22" s="11"/>
      <c r="AC22" s="11"/>
      <c r="AD22" s="11"/>
      <c r="AE22" s="11"/>
      <c r="AF22" s="11"/>
      <c r="AG22" s="11"/>
      <c r="AH22" s="10">
        <v>29.243020916124799</v>
      </c>
      <c r="AI22" s="10">
        <v>29.270548083121</v>
      </c>
      <c r="AJ22" s="10">
        <v>29.270548083121</v>
      </c>
      <c r="AK22" s="10">
        <v>29.270548083121</v>
      </c>
      <c r="AL22" s="10">
        <v>3.59216681681573E-3</v>
      </c>
      <c r="AM22" s="10">
        <v>31.879301916109402</v>
      </c>
      <c r="AN22" s="12" t="s">
        <v>161</v>
      </c>
      <c r="AO22" s="12" t="s">
        <v>246</v>
      </c>
      <c r="AP22" s="12" t="s">
        <v>230</v>
      </c>
      <c r="AQ22" s="12" t="s">
        <v>80</v>
      </c>
      <c r="AR22" s="12" t="s">
        <v>81</v>
      </c>
      <c r="AS22" s="12" t="s">
        <v>81</v>
      </c>
      <c r="AT22" s="12" t="s">
        <v>247</v>
      </c>
      <c r="AU22" s="12" t="s">
        <v>83</v>
      </c>
      <c r="AV22" s="10">
        <v>4</v>
      </c>
      <c r="AW22" s="10">
        <v>1</v>
      </c>
      <c r="AX22" s="12" t="s">
        <v>231</v>
      </c>
      <c r="AY22" s="12" t="s">
        <v>57</v>
      </c>
      <c r="AZ22" s="11"/>
      <c r="BA22" s="12" t="s">
        <v>58</v>
      </c>
      <c r="BB22" s="10">
        <v>117.17079412320599</v>
      </c>
      <c r="BC22" s="12" t="s">
        <v>232</v>
      </c>
      <c r="BD22" s="11"/>
    </row>
    <row r="23" spans="1:56" x14ac:dyDescent="0.15">
      <c r="A23" s="13"/>
      <c r="B23" s="9">
        <v>6</v>
      </c>
      <c r="C23" s="10">
        <v>6</v>
      </c>
      <c r="D23" s="10">
        <v>0</v>
      </c>
      <c r="E23" s="11"/>
      <c r="F23" s="11"/>
      <c r="G23" s="12" t="s">
        <v>116</v>
      </c>
      <c r="H23" s="12" t="s">
        <v>73</v>
      </c>
      <c r="I23" s="12" t="s">
        <v>85</v>
      </c>
      <c r="J23" s="12" t="s">
        <v>73</v>
      </c>
      <c r="K23" s="12" t="s">
        <v>248</v>
      </c>
      <c r="L23" s="12" t="s">
        <v>249</v>
      </c>
      <c r="M23" s="12" t="s">
        <v>80</v>
      </c>
      <c r="N23" s="12" t="s">
        <v>81</v>
      </c>
      <c r="O23" s="12" t="s">
        <v>81</v>
      </c>
      <c r="P23" s="12" t="s">
        <v>250</v>
      </c>
      <c r="Q23" s="12" t="s">
        <v>83</v>
      </c>
      <c r="R23" s="11"/>
      <c r="S23" s="11"/>
      <c r="T23" s="11"/>
      <c r="U23" s="11"/>
      <c r="V23" s="10">
        <v>0</v>
      </c>
      <c r="W23" s="10">
        <v>6</v>
      </c>
      <c r="X23" s="10">
        <v>6</v>
      </c>
      <c r="Y23" s="10">
        <v>8</v>
      </c>
      <c r="Z23" s="10">
        <v>31.891558333067199</v>
      </c>
      <c r="AA23" s="11"/>
      <c r="AB23" s="11"/>
      <c r="AC23" s="11"/>
      <c r="AD23" s="11"/>
      <c r="AE23" s="11"/>
      <c r="AF23" s="11"/>
      <c r="AG23" s="11"/>
      <c r="AH23" s="10">
        <v>31.881247875047801</v>
      </c>
      <c r="AI23" s="10">
        <v>31.891558333067199</v>
      </c>
      <c r="AJ23" s="10">
        <v>31.891558333067199</v>
      </c>
      <c r="AK23" s="10">
        <v>31.891558333067199</v>
      </c>
      <c r="AL23" s="10">
        <v>1.83770782314241E-3</v>
      </c>
      <c r="AM23" s="10">
        <v>34.15539829107</v>
      </c>
      <c r="AN23" s="12" t="s">
        <v>73</v>
      </c>
      <c r="AO23" s="12" t="s">
        <v>248</v>
      </c>
      <c r="AP23" s="12" t="s">
        <v>249</v>
      </c>
      <c r="AQ23" s="12" t="s">
        <v>80</v>
      </c>
      <c r="AR23" s="12" t="s">
        <v>81</v>
      </c>
      <c r="AS23" s="12" t="s">
        <v>81</v>
      </c>
      <c r="AT23" s="12" t="s">
        <v>250</v>
      </c>
      <c r="AU23" s="12" t="s">
        <v>83</v>
      </c>
      <c r="AV23" s="10">
        <v>4</v>
      </c>
      <c r="AW23" s="10">
        <v>1</v>
      </c>
      <c r="AX23" s="12" t="s">
        <v>231</v>
      </c>
      <c r="AY23" s="12" t="s">
        <v>57</v>
      </c>
      <c r="AZ23" s="11"/>
      <c r="BA23" s="12" t="s">
        <v>58</v>
      </c>
      <c r="BB23" s="10">
        <v>117.17079412320599</v>
      </c>
      <c r="BC23" s="12" t="s">
        <v>232</v>
      </c>
      <c r="BD23" s="11"/>
    </row>
    <row r="24" spans="1:56" x14ac:dyDescent="0.15">
      <c r="A24" s="13"/>
      <c r="B24" s="9">
        <v>7</v>
      </c>
      <c r="C24" s="10">
        <v>7</v>
      </c>
      <c r="D24" s="10">
        <v>0</v>
      </c>
      <c r="E24" s="11"/>
      <c r="F24" s="11"/>
      <c r="G24" s="12" t="s">
        <v>170</v>
      </c>
      <c r="H24" s="12" t="s">
        <v>65</v>
      </c>
      <c r="I24" s="12" t="s">
        <v>85</v>
      </c>
      <c r="J24" s="12" t="s">
        <v>65</v>
      </c>
      <c r="K24" s="12" t="s">
        <v>237</v>
      </c>
      <c r="L24" s="12" t="s">
        <v>251</v>
      </c>
      <c r="M24" s="12" t="s">
        <v>80</v>
      </c>
      <c r="N24" s="12" t="s">
        <v>81</v>
      </c>
      <c r="O24" s="12" t="s">
        <v>81</v>
      </c>
      <c r="P24" s="12" t="s">
        <v>252</v>
      </c>
      <c r="Q24" s="12" t="s">
        <v>83</v>
      </c>
      <c r="R24" s="11"/>
      <c r="S24" s="11"/>
      <c r="T24" s="11"/>
      <c r="U24" s="11"/>
      <c r="V24" s="10">
        <v>0</v>
      </c>
      <c r="W24" s="10">
        <v>7</v>
      </c>
      <c r="X24" s="10">
        <v>7</v>
      </c>
      <c r="Y24" s="10">
        <v>4</v>
      </c>
      <c r="Z24" s="10">
        <v>34.170725291129202</v>
      </c>
      <c r="AA24" s="11"/>
      <c r="AB24" s="11"/>
      <c r="AC24" s="11"/>
      <c r="AD24" s="11"/>
      <c r="AE24" s="11"/>
      <c r="AF24" s="11"/>
      <c r="AG24" s="11"/>
      <c r="AH24" s="10">
        <v>34.158268041210299</v>
      </c>
      <c r="AI24" s="10">
        <v>34.170725291129202</v>
      </c>
      <c r="AJ24" s="10">
        <v>34.170725291129202</v>
      </c>
      <c r="AK24" s="10">
        <v>34.170725291129202</v>
      </c>
      <c r="AL24" s="10">
        <v>2.7407919988036199E-3</v>
      </c>
      <c r="AM24" s="10">
        <v>38.0582101661712</v>
      </c>
      <c r="AN24" s="12" t="s">
        <v>65</v>
      </c>
      <c r="AO24" s="12" t="s">
        <v>237</v>
      </c>
      <c r="AP24" s="12" t="s">
        <v>251</v>
      </c>
      <c r="AQ24" s="12" t="s">
        <v>80</v>
      </c>
      <c r="AR24" s="12" t="s">
        <v>81</v>
      </c>
      <c r="AS24" s="12" t="s">
        <v>81</v>
      </c>
      <c r="AT24" s="12" t="s">
        <v>252</v>
      </c>
      <c r="AU24" s="12" t="s">
        <v>83</v>
      </c>
      <c r="AV24" s="10">
        <v>4</v>
      </c>
      <c r="AW24" s="10">
        <v>1</v>
      </c>
      <c r="AX24" s="12" t="s">
        <v>231</v>
      </c>
      <c r="AY24" s="12" t="s">
        <v>57</v>
      </c>
      <c r="AZ24" s="11"/>
      <c r="BA24" s="12" t="s">
        <v>58</v>
      </c>
      <c r="BB24" s="10">
        <v>117.17079412320599</v>
      </c>
      <c r="BC24" s="12" t="s">
        <v>232</v>
      </c>
      <c r="BD24" s="11"/>
    </row>
    <row r="25" spans="1:56" x14ac:dyDescent="0.15">
      <c r="A25" s="13"/>
      <c r="B25" s="9">
        <v>8</v>
      </c>
      <c r="C25" s="10">
        <v>8</v>
      </c>
      <c r="D25" s="10">
        <v>0</v>
      </c>
      <c r="E25" s="11"/>
      <c r="F25" s="11"/>
      <c r="G25" s="12" t="s">
        <v>92</v>
      </c>
      <c r="H25" s="12" t="s">
        <v>93</v>
      </c>
      <c r="I25" s="12" t="s">
        <v>85</v>
      </c>
      <c r="J25" s="12" t="s">
        <v>93</v>
      </c>
      <c r="K25" s="12" t="s">
        <v>253</v>
      </c>
      <c r="L25" s="12" t="s">
        <v>123</v>
      </c>
      <c r="M25" s="12" t="s">
        <v>80</v>
      </c>
      <c r="N25" s="12" t="s">
        <v>81</v>
      </c>
      <c r="O25" s="12" t="s">
        <v>81</v>
      </c>
      <c r="P25" s="12" t="s">
        <v>254</v>
      </c>
      <c r="Q25" s="12" t="s">
        <v>83</v>
      </c>
      <c r="R25" s="11"/>
      <c r="S25" s="11"/>
      <c r="T25" s="11"/>
      <c r="U25" s="11"/>
      <c r="V25" s="10">
        <v>0</v>
      </c>
      <c r="W25" s="10">
        <v>8</v>
      </c>
      <c r="X25" s="10">
        <v>8</v>
      </c>
      <c r="Y25" s="10">
        <v>2</v>
      </c>
      <c r="Z25" s="10">
        <v>38.072734291199602</v>
      </c>
      <c r="AA25" s="11"/>
      <c r="AB25" s="11"/>
      <c r="AC25" s="11"/>
      <c r="AD25" s="11"/>
      <c r="AE25" s="11"/>
      <c r="AF25" s="11"/>
      <c r="AG25" s="11"/>
      <c r="AH25" s="10">
        <v>38.0609060002025</v>
      </c>
      <c r="AI25" s="10">
        <v>38.072734291199602</v>
      </c>
      <c r="AJ25" s="10">
        <v>38.072734291199602</v>
      </c>
      <c r="AK25" s="10">
        <v>38.072734291199602</v>
      </c>
      <c r="AL25" s="10">
        <v>2.5174580514431E-3</v>
      </c>
      <c r="AM25" s="10">
        <v>40.631401375168899</v>
      </c>
      <c r="AN25" s="12" t="s">
        <v>93</v>
      </c>
      <c r="AO25" s="12" t="s">
        <v>253</v>
      </c>
      <c r="AP25" s="12" t="s">
        <v>123</v>
      </c>
      <c r="AQ25" s="12" t="s">
        <v>80</v>
      </c>
      <c r="AR25" s="12" t="s">
        <v>81</v>
      </c>
      <c r="AS25" s="12" t="s">
        <v>81</v>
      </c>
      <c r="AT25" s="12" t="s">
        <v>254</v>
      </c>
      <c r="AU25" s="12" t="s">
        <v>83</v>
      </c>
      <c r="AV25" s="10">
        <v>4</v>
      </c>
      <c r="AW25" s="10">
        <v>1</v>
      </c>
      <c r="AX25" s="12" t="s">
        <v>231</v>
      </c>
      <c r="AY25" s="12" t="s">
        <v>57</v>
      </c>
      <c r="AZ25" s="11"/>
      <c r="BA25" s="12" t="s">
        <v>58</v>
      </c>
      <c r="BB25" s="10">
        <v>117.17079412320599</v>
      </c>
      <c r="BC25" s="12" t="s">
        <v>232</v>
      </c>
      <c r="BD25" s="11"/>
    </row>
    <row r="26" spans="1:56" x14ac:dyDescent="0.15">
      <c r="A26" s="13"/>
      <c r="B26" s="9">
        <v>9</v>
      </c>
      <c r="C26" s="10">
        <v>9</v>
      </c>
      <c r="D26" s="10">
        <v>0</v>
      </c>
      <c r="E26" s="11"/>
      <c r="F26" s="11"/>
      <c r="G26" s="12" t="s">
        <v>154</v>
      </c>
      <c r="H26" s="12" t="s">
        <v>155</v>
      </c>
      <c r="I26" s="12" t="s">
        <v>85</v>
      </c>
      <c r="J26" s="12" t="s">
        <v>255</v>
      </c>
      <c r="K26" s="12" t="s">
        <v>104</v>
      </c>
      <c r="L26" s="12" t="s">
        <v>256</v>
      </c>
      <c r="M26" s="12" t="s">
        <v>80</v>
      </c>
      <c r="N26" s="12" t="s">
        <v>81</v>
      </c>
      <c r="O26" s="12" t="s">
        <v>81</v>
      </c>
      <c r="P26" s="12" t="s">
        <v>257</v>
      </c>
      <c r="Q26" s="12" t="s">
        <v>83</v>
      </c>
      <c r="R26" s="11"/>
      <c r="S26" s="11"/>
      <c r="T26" s="11"/>
      <c r="U26" s="11"/>
      <c r="V26" s="10">
        <v>0</v>
      </c>
      <c r="W26" s="10">
        <v>9</v>
      </c>
      <c r="X26" s="10">
        <v>9</v>
      </c>
      <c r="Y26" s="10">
        <v>11</v>
      </c>
      <c r="Z26" s="10">
        <v>40.643620875198401</v>
      </c>
      <c r="AA26" s="11"/>
      <c r="AB26" s="11"/>
      <c r="AC26" s="11"/>
      <c r="AD26" s="11"/>
      <c r="AE26" s="11"/>
      <c r="AF26" s="11"/>
      <c r="AG26" s="11"/>
      <c r="AH26" s="10">
        <v>40.634037875104703</v>
      </c>
      <c r="AI26" s="10">
        <v>40.643620875198401</v>
      </c>
      <c r="AJ26" s="10">
        <v>40.643620875198401</v>
      </c>
      <c r="AK26" s="10">
        <v>40.643620875198401</v>
      </c>
      <c r="AL26" s="10">
        <v>2.52899993211031E-3</v>
      </c>
      <c r="AM26" s="10">
        <v>46.196129166055499</v>
      </c>
      <c r="AN26" s="12" t="s">
        <v>255</v>
      </c>
      <c r="AO26" s="12" t="s">
        <v>104</v>
      </c>
      <c r="AP26" s="12" t="s">
        <v>256</v>
      </c>
      <c r="AQ26" s="12" t="s">
        <v>80</v>
      </c>
      <c r="AR26" s="12" t="s">
        <v>81</v>
      </c>
      <c r="AS26" s="12" t="s">
        <v>81</v>
      </c>
      <c r="AT26" s="12" t="s">
        <v>257</v>
      </c>
      <c r="AU26" s="12" t="s">
        <v>83</v>
      </c>
      <c r="AV26" s="10">
        <v>4</v>
      </c>
      <c r="AW26" s="10">
        <v>1</v>
      </c>
      <c r="AX26" s="12" t="s">
        <v>231</v>
      </c>
      <c r="AY26" s="12" t="s">
        <v>57</v>
      </c>
      <c r="AZ26" s="11"/>
      <c r="BA26" s="12" t="s">
        <v>58</v>
      </c>
      <c r="BB26" s="10">
        <v>117.17079412320599</v>
      </c>
      <c r="BC26" s="12" t="s">
        <v>232</v>
      </c>
      <c r="BD26" s="11"/>
    </row>
    <row r="27" spans="1:56" x14ac:dyDescent="0.15">
      <c r="A27" s="13"/>
      <c r="B27" s="9">
        <v>10</v>
      </c>
      <c r="C27" s="10">
        <v>10</v>
      </c>
      <c r="D27" s="10">
        <v>0</v>
      </c>
      <c r="E27" s="11"/>
      <c r="F27" s="11"/>
      <c r="G27" s="12" t="s">
        <v>111</v>
      </c>
      <c r="H27" s="12" t="s">
        <v>69</v>
      </c>
      <c r="I27" s="12" t="s">
        <v>85</v>
      </c>
      <c r="J27" s="12" t="s">
        <v>112</v>
      </c>
      <c r="K27" s="12" t="s">
        <v>122</v>
      </c>
      <c r="L27" s="12" t="s">
        <v>238</v>
      </c>
      <c r="M27" s="12" t="s">
        <v>80</v>
      </c>
      <c r="N27" s="12" t="s">
        <v>81</v>
      </c>
      <c r="O27" s="12" t="s">
        <v>81</v>
      </c>
      <c r="P27" s="12" t="s">
        <v>258</v>
      </c>
      <c r="Q27" s="12" t="s">
        <v>83</v>
      </c>
      <c r="R27" s="11"/>
      <c r="S27" s="11"/>
      <c r="T27" s="11"/>
      <c r="U27" s="11"/>
      <c r="V27" s="10">
        <v>0</v>
      </c>
      <c r="W27" s="10">
        <v>10</v>
      </c>
      <c r="X27" s="10">
        <v>10</v>
      </c>
      <c r="Y27" s="10">
        <v>0</v>
      </c>
      <c r="Z27" s="10">
        <v>46.209100875072203</v>
      </c>
      <c r="AA27" s="11"/>
      <c r="AB27" s="11"/>
      <c r="AC27" s="11"/>
      <c r="AD27" s="11"/>
      <c r="AE27" s="11"/>
      <c r="AF27" s="11"/>
      <c r="AG27" s="11"/>
      <c r="AH27" s="10">
        <v>46.198104625102097</v>
      </c>
      <c r="AI27" s="10">
        <v>46.209100875072203</v>
      </c>
      <c r="AJ27" s="10">
        <v>46.209100875072203</v>
      </c>
      <c r="AK27" s="10">
        <v>46.209100875072203</v>
      </c>
      <c r="AL27" s="10">
        <v>1.87029084190726E-3</v>
      </c>
      <c r="AM27" s="10">
        <v>48.979811708210001</v>
      </c>
      <c r="AN27" s="12" t="s">
        <v>112</v>
      </c>
      <c r="AO27" s="12" t="s">
        <v>122</v>
      </c>
      <c r="AP27" s="12" t="s">
        <v>238</v>
      </c>
      <c r="AQ27" s="12" t="s">
        <v>80</v>
      </c>
      <c r="AR27" s="12" t="s">
        <v>81</v>
      </c>
      <c r="AS27" s="12" t="s">
        <v>81</v>
      </c>
      <c r="AT27" s="12" t="s">
        <v>258</v>
      </c>
      <c r="AU27" s="12" t="s">
        <v>83</v>
      </c>
      <c r="AV27" s="10">
        <v>4</v>
      </c>
      <c r="AW27" s="10">
        <v>1</v>
      </c>
      <c r="AX27" s="12" t="s">
        <v>231</v>
      </c>
      <c r="AY27" s="12" t="s">
        <v>57</v>
      </c>
      <c r="AZ27" s="11"/>
      <c r="BA27" s="12" t="s">
        <v>58</v>
      </c>
      <c r="BB27" s="10">
        <v>117.17079412320599</v>
      </c>
      <c r="BC27" s="12" t="s">
        <v>232</v>
      </c>
      <c r="BD27" s="11"/>
    </row>
    <row r="28" spans="1:56" x14ac:dyDescent="0.15">
      <c r="A28" s="13"/>
      <c r="B28" s="9">
        <v>11</v>
      </c>
      <c r="C28" s="10">
        <v>11</v>
      </c>
      <c r="D28" s="10">
        <v>0</v>
      </c>
      <c r="E28" s="11"/>
      <c r="F28" s="11"/>
      <c r="G28" s="12" t="s">
        <v>140</v>
      </c>
      <c r="H28" s="12" t="s">
        <v>62</v>
      </c>
      <c r="I28" s="12" t="s">
        <v>85</v>
      </c>
      <c r="J28" s="12" t="s">
        <v>141</v>
      </c>
      <c r="K28" s="12" t="s">
        <v>122</v>
      </c>
      <c r="L28" s="12" t="s">
        <v>259</v>
      </c>
      <c r="M28" s="12" t="s">
        <v>80</v>
      </c>
      <c r="N28" s="12" t="s">
        <v>81</v>
      </c>
      <c r="O28" s="12" t="s">
        <v>81</v>
      </c>
      <c r="P28" s="12" t="s">
        <v>260</v>
      </c>
      <c r="Q28" s="12" t="s">
        <v>83</v>
      </c>
      <c r="R28" s="11"/>
      <c r="S28" s="11"/>
      <c r="T28" s="11"/>
      <c r="U28" s="11"/>
      <c r="V28" s="10">
        <v>0</v>
      </c>
      <c r="W28" s="10">
        <v>11</v>
      </c>
      <c r="X28" s="10">
        <v>11</v>
      </c>
      <c r="Y28" s="10">
        <v>6</v>
      </c>
      <c r="Z28" s="10">
        <v>48.991636333055801</v>
      </c>
      <c r="AA28" s="11"/>
      <c r="AB28" s="11"/>
      <c r="AC28" s="11"/>
      <c r="AD28" s="11"/>
      <c r="AE28" s="11"/>
      <c r="AF28" s="11"/>
      <c r="AG28" s="11"/>
      <c r="AH28" s="10">
        <v>48.981828500051101</v>
      </c>
      <c r="AI28" s="10">
        <v>48.991636333055801</v>
      </c>
      <c r="AJ28" s="10">
        <v>48.991636333055801</v>
      </c>
      <c r="AK28" s="10">
        <v>48.991636333055801</v>
      </c>
      <c r="AL28" s="10">
        <v>1.9230421166867E-3</v>
      </c>
      <c r="AM28" s="10">
        <v>51.4797575830016</v>
      </c>
      <c r="AN28" s="12" t="s">
        <v>141</v>
      </c>
      <c r="AO28" s="12" t="s">
        <v>122</v>
      </c>
      <c r="AP28" s="12" t="s">
        <v>259</v>
      </c>
      <c r="AQ28" s="12" t="s">
        <v>80</v>
      </c>
      <c r="AR28" s="12" t="s">
        <v>81</v>
      </c>
      <c r="AS28" s="12" t="s">
        <v>81</v>
      </c>
      <c r="AT28" s="12" t="s">
        <v>260</v>
      </c>
      <c r="AU28" s="12" t="s">
        <v>83</v>
      </c>
      <c r="AV28" s="10">
        <v>4</v>
      </c>
      <c r="AW28" s="10">
        <v>1</v>
      </c>
      <c r="AX28" s="12" t="s">
        <v>231</v>
      </c>
      <c r="AY28" s="12" t="s">
        <v>57</v>
      </c>
      <c r="AZ28" s="11"/>
      <c r="BA28" s="12" t="s">
        <v>58</v>
      </c>
      <c r="BB28" s="10">
        <v>117.17079412320599</v>
      </c>
      <c r="BC28" s="12" t="s">
        <v>232</v>
      </c>
      <c r="BD28" s="11"/>
    </row>
    <row r="29" spans="1:56" x14ac:dyDescent="0.15">
      <c r="A29" s="13"/>
      <c r="B29" s="9">
        <v>12</v>
      </c>
      <c r="C29" s="10">
        <v>12</v>
      </c>
      <c r="D29" s="10">
        <v>0</v>
      </c>
      <c r="E29" s="11"/>
      <c r="F29" s="11"/>
      <c r="G29" s="12" t="s">
        <v>102</v>
      </c>
      <c r="H29" s="12" t="s">
        <v>103</v>
      </c>
      <c r="I29" s="12" t="s">
        <v>85</v>
      </c>
      <c r="J29" s="12" t="s">
        <v>261</v>
      </c>
      <c r="K29" s="12" t="s">
        <v>262</v>
      </c>
      <c r="L29" s="12" t="s">
        <v>263</v>
      </c>
      <c r="M29" s="12" t="s">
        <v>80</v>
      </c>
      <c r="N29" s="12" t="s">
        <v>81</v>
      </c>
      <c r="O29" s="12" t="s">
        <v>81</v>
      </c>
      <c r="P29" s="12" t="s">
        <v>264</v>
      </c>
      <c r="Q29" s="12" t="s">
        <v>83</v>
      </c>
      <c r="R29" s="11"/>
      <c r="S29" s="11"/>
      <c r="T29" s="11"/>
      <c r="U29" s="11"/>
      <c r="V29" s="10">
        <v>0</v>
      </c>
      <c r="W29" s="10">
        <v>12</v>
      </c>
      <c r="X29" s="10">
        <v>12</v>
      </c>
      <c r="Y29" s="10">
        <v>10</v>
      </c>
      <c r="Z29" s="10">
        <v>51.492609250126399</v>
      </c>
      <c r="AA29" s="11"/>
      <c r="AB29" s="11"/>
      <c r="AC29" s="11"/>
      <c r="AD29" s="11"/>
      <c r="AE29" s="11"/>
      <c r="AF29" s="11"/>
      <c r="AG29" s="11"/>
      <c r="AH29" s="10">
        <v>51.482158833183398</v>
      </c>
      <c r="AI29" s="10">
        <v>51.492609250126399</v>
      </c>
      <c r="AJ29" s="10">
        <v>51.492609250126399</v>
      </c>
      <c r="AK29" s="10">
        <v>51.492609250126399</v>
      </c>
      <c r="AL29" s="10">
        <v>2.2678750101476899E-3</v>
      </c>
      <c r="AM29" s="10">
        <v>58.541413458064198</v>
      </c>
      <c r="AN29" s="12" t="s">
        <v>261</v>
      </c>
      <c r="AO29" s="12" t="s">
        <v>262</v>
      </c>
      <c r="AP29" s="12" t="s">
        <v>263</v>
      </c>
      <c r="AQ29" s="12" t="s">
        <v>80</v>
      </c>
      <c r="AR29" s="12" t="s">
        <v>81</v>
      </c>
      <c r="AS29" s="12" t="s">
        <v>81</v>
      </c>
      <c r="AT29" s="12" t="s">
        <v>264</v>
      </c>
      <c r="AU29" s="12" t="s">
        <v>83</v>
      </c>
      <c r="AV29" s="10">
        <v>4</v>
      </c>
      <c r="AW29" s="10">
        <v>1</v>
      </c>
      <c r="AX29" s="12" t="s">
        <v>231</v>
      </c>
      <c r="AY29" s="12" t="s">
        <v>57</v>
      </c>
      <c r="AZ29" s="11"/>
      <c r="BA29" s="12" t="s">
        <v>58</v>
      </c>
      <c r="BB29" s="10">
        <v>117.17079412320599</v>
      </c>
      <c r="BC29" s="12" t="s">
        <v>232</v>
      </c>
      <c r="BD29" s="11"/>
    </row>
    <row r="30" spans="1:56" x14ac:dyDescent="0.15">
      <c r="A30" s="13"/>
      <c r="B30" s="9">
        <v>13</v>
      </c>
      <c r="C30" s="10">
        <v>13</v>
      </c>
      <c r="D30" s="10">
        <v>0</v>
      </c>
      <c r="E30" s="11"/>
      <c r="F30" s="11"/>
      <c r="G30" s="12" t="s">
        <v>107</v>
      </c>
      <c r="H30" s="12" t="s">
        <v>68</v>
      </c>
      <c r="I30" s="12" t="s">
        <v>85</v>
      </c>
      <c r="J30" s="12" t="s">
        <v>108</v>
      </c>
      <c r="K30" s="12" t="s">
        <v>265</v>
      </c>
      <c r="L30" s="12" t="s">
        <v>266</v>
      </c>
      <c r="M30" s="12" t="s">
        <v>80</v>
      </c>
      <c r="N30" s="12" t="s">
        <v>81</v>
      </c>
      <c r="O30" s="12" t="s">
        <v>81</v>
      </c>
      <c r="P30" s="12" t="s">
        <v>267</v>
      </c>
      <c r="Q30" s="12" t="s">
        <v>83</v>
      </c>
      <c r="R30" s="11"/>
      <c r="S30" s="11"/>
      <c r="T30" s="11"/>
      <c r="U30" s="11"/>
      <c r="V30" s="10">
        <v>0</v>
      </c>
      <c r="W30" s="10">
        <v>13</v>
      </c>
      <c r="X30" s="10">
        <v>13</v>
      </c>
      <c r="Y30" s="10">
        <v>5</v>
      </c>
      <c r="Z30" s="10">
        <v>58.5541618750431</v>
      </c>
      <c r="AA30" s="11"/>
      <c r="AB30" s="11"/>
      <c r="AC30" s="11"/>
      <c r="AD30" s="11"/>
      <c r="AE30" s="11"/>
      <c r="AF30" s="11"/>
      <c r="AG30" s="11"/>
      <c r="AH30" s="10">
        <v>58.543449750170097</v>
      </c>
      <c r="AI30" s="10">
        <v>58.5541618750431</v>
      </c>
      <c r="AJ30" s="10">
        <v>58.5541618750431</v>
      </c>
      <c r="AK30" s="10">
        <v>58.5541618750431</v>
      </c>
      <c r="AL30" s="10">
        <v>1.9235420040786301E-3</v>
      </c>
      <c r="AM30" s="10">
        <v>60.763356708223</v>
      </c>
      <c r="AN30" s="12" t="s">
        <v>108</v>
      </c>
      <c r="AO30" s="12" t="s">
        <v>265</v>
      </c>
      <c r="AP30" s="12" t="s">
        <v>266</v>
      </c>
      <c r="AQ30" s="12" t="s">
        <v>80</v>
      </c>
      <c r="AR30" s="12" t="s">
        <v>81</v>
      </c>
      <c r="AS30" s="12" t="s">
        <v>81</v>
      </c>
      <c r="AT30" s="12" t="s">
        <v>267</v>
      </c>
      <c r="AU30" s="12" t="s">
        <v>83</v>
      </c>
      <c r="AV30" s="10">
        <v>4</v>
      </c>
      <c r="AW30" s="10">
        <v>1</v>
      </c>
      <c r="AX30" s="12" t="s">
        <v>231</v>
      </c>
      <c r="AY30" s="12" t="s">
        <v>57</v>
      </c>
      <c r="AZ30" s="11"/>
      <c r="BA30" s="12" t="s">
        <v>58</v>
      </c>
      <c r="BB30" s="10">
        <v>117.17079412320599</v>
      </c>
      <c r="BC30" s="12" t="s">
        <v>232</v>
      </c>
      <c r="BD30" s="11"/>
    </row>
    <row r="31" spans="1:56" x14ac:dyDescent="0.15">
      <c r="A31" s="13"/>
      <c r="B31" s="9">
        <v>14</v>
      </c>
      <c r="C31" s="10">
        <v>14</v>
      </c>
      <c r="D31" s="10">
        <v>0</v>
      </c>
      <c r="E31" s="11"/>
      <c r="F31" s="11"/>
      <c r="G31" s="12" t="s">
        <v>97</v>
      </c>
      <c r="H31" s="12" t="s">
        <v>66</v>
      </c>
      <c r="I31" s="12" t="s">
        <v>85</v>
      </c>
      <c r="J31" s="12" t="s">
        <v>98</v>
      </c>
      <c r="K31" s="12" t="s">
        <v>122</v>
      </c>
      <c r="L31" s="12" t="s">
        <v>118</v>
      </c>
      <c r="M31" s="12" t="s">
        <v>80</v>
      </c>
      <c r="N31" s="12" t="s">
        <v>81</v>
      </c>
      <c r="O31" s="12" t="s">
        <v>81</v>
      </c>
      <c r="P31" s="12" t="s">
        <v>268</v>
      </c>
      <c r="Q31" s="12" t="s">
        <v>83</v>
      </c>
      <c r="R31" s="11"/>
      <c r="S31" s="11"/>
      <c r="T31" s="11"/>
      <c r="U31" s="11"/>
      <c r="V31" s="10">
        <v>0</v>
      </c>
      <c r="W31" s="10">
        <v>14</v>
      </c>
      <c r="X31" s="10">
        <v>14</v>
      </c>
      <c r="Y31" s="10">
        <v>1</v>
      </c>
      <c r="Z31" s="10">
        <v>60.775570916011901</v>
      </c>
      <c r="AA31" s="11"/>
      <c r="AB31" s="11"/>
      <c r="AC31" s="11"/>
      <c r="AD31" s="11"/>
      <c r="AE31" s="11"/>
      <c r="AF31" s="11"/>
      <c r="AG31" s="11"/>
      <c r="AH31" s="10">
        <v>60.765445625176703</v>
      </c>
      <c r="AI31" s="10">
        <v>60.775570916011901</v>
      </c>
      <c r="AJ31" s="10">
        <v>60.775570916011901</v>
      </c>
      <c r="AK31" s="10">
        <v>60.775570916011901</v>
      </c>
      <c r="AL31" s="10">
        <v>1.9763750024139898E-3</v>
      </c>
      <c r="AM31" s="10">
        <v>63.2638833331876</v>
      </c>
      <c r="AN31" s="12" t="s">
        <v>98</v>
      </c>
      <c r="AO31" s="12" t="s">
        <v>122</v>
      </c>
      <c r="AP31" s="12" t="s">
        <v>118</v>
      </c>
      <c r="AQ31" s="12" t="s">
        <v>80</v>
      </c>
      <c r="AR31" s="12" t="s">
        <v>81</v>
      </c>
      <c r="AS31" s="12" t="s">
        <v>81</v>
      </c>
      <c r="AT31" s="12" t="s">
        <v>268</v>
      </c>
      <c r="AU31" s="12" t="s">
        <v>83</v>
      </c>
      <c r="AV31" s="10">
        <v>4</v>
      </c>
      <c r="AW31" s="10">
        <v>1</v>
      </c>
      <c r="AX31" s="12" t="s">
        <v>231</v>
      </c>
      <c r="AY31" s="12" t="s">
        <v>57</v>
      </c>
      <c r="AZ31" s="11"/>
      <c r="BA31" s="12" t="s">
        <v>58</v>
      </c>
      <c r="BB31" s="10">
        <v>117.17079412320599</v>
      </c>
      <c r="BC31" s="12" t="s">
        <v>232</v>
      </c>
      <c r="BD31" s="11"/>
    </row>
    <row r="32" spans="1:56" x14ac:dyDescent="0.15">
      <c r="A32" s="13"/>
      <c r="B32" s="9">
        <v>15</v>
      </c>
      <c r="C32" s="10">
        <v>15</v>
      </c>
      <c r="D32" s="10">
        <v>0</v>
      </c>
      <c r="E32" s="11"/>
      <c r="F32" s="11"/>
      <c r="G32" s="12" t="s">
        <v>135</v>
      </c>
      <c r="H32" s="12" t="s">
        <v>136</v>
      </c>
      <c r="I32" s="12" t="s">
        <v>85</v>
      </c>
      <c r="J32" s="12" t="s">
        <v>55</v>
      </c>
      <c r="K32" s="12" t="s">
        <v>132</v>
      </c>
      <c r="L32" s="12" t="s">
        <v>269</v>
      </c>
      <c r="M32" s="12" t="s">
        <v>80</v>
      </c>
      <c r="N32" s="12" t="s">
        <v>81</v>
      </c>
      <c r="O32" s="12" t="s">
        <v>81</v>
      </c>
      <c r="P32" s="12" t="s">
        <v>270</v>
      </c>
      <c r="Q32" s="12" t="s">
        <v>83</v>
      </c>
      <c r="R32" s="11"/>
      <c r="S32" s="11"/>
      <c r="T32" s="11"/>
      <c r="U32" s="11"/>
      <c r="V32" s="10">
        <v>0</v>
      </c>
      <c r="W32" s="10">
        <v>15</v>
      </c>
      <c r="X32" s="10">
        <v>15</v>
      </c>
      <c r="Y32" s="10">
        <v>13</v>
      </c>
      <c r="Z32" s="10">
        <v>63.276699583046103</v>
      </c>
      <c r="AA32" s="11"/>
      <c r="AB32" s="11"/>
      <c r="AC32" s="11"/>
      <c r="AD32" s="11"/>
      <c r="AE32" s="11"/>
      <c r="AF32" s="11"/>
      <c r="AG32" s="11"/>
      <c r="AH32" s="10">
        <v>63.265649458160603</v>
      </c>
      <c r="AI32" s="10">
        <v>63.276699583046103</v>
      </c>
      <c r="AJ32" s="10">
        <v>63.276699583046103</v>
      </c>
      <c r="AK32" s="10">
        <v>63.276699583046103</v>
      </c>
      <c r="AL32" s="10">
        <v>1.67104206047952E-3</v>
      </c>
      <c r="AM32" s="10">
        <v>65.264165666187196</v>
      </c>
      <c r="AN32" s="12" t="s">
        <v>55</v>
      </c>
      <c r="AO32" s="12" t="s">
        <v>132</v>
      </c>
      <c r="AP32" s="12" t="s">
        <v>269</v>
      </c>
      <c r="AQ32" s="12" t="s">
        <v>80</v>
      </c>
      <c r="AR32" s="12" t="s">
        <v>81</v>
      </c>
      <c r="AS32" s="12" t="s">
        <v>81</v>
      </c>
      <c r="AT32" s="12" t="s">
        <v>270</v>
      </c>
      <c r="AU32" s="12" t="s">
        <v>83</v>
      </c>
      <c r="AV32" s="10">
        <v>4</v>
      </c>
      <c r="AW32" s="10">
        <v>1</v>
      </c>
      <c r="AX32" s="12" t="s">
        <v>231</v>
      </c>
      <c r="AY32" s="12" t="s">
        <v>57</v>
      </c>
      <c r="AZ32" s="11"/>
      <c r="BA32" s="12" t="s">
        <v>58</v>
      </c>
      <c r="BB32" s="10">
        <v>117.17079412320599</v>
      </c>
      <c r="BC32" s="12" t="s">
        <v>232</v>
      </c>
      <c r="BD32" s="11"/>
    </row>
    <row r="33" spans="1:56" x14ac:dyDescent="0.15">
      <c r="A33" s="13"/>
      <c r="B33" s="9">
        <v>16</v>
      </c>
      <c r="C33" s="10">
        <v>16</v>
      </c>
      <c r="D33" s="10">
        <v>0</v>
      </c>
      <c r="E33" s="11"/>
      <c r="F33" s="11"/>
      <c r="G33" s="12" t="s">
        <v>125</v>
      </c>
      <c r="H33" s="12" t="s">
        <v>126</v>
      </c>
      <c r="I33" s="12" t="s">
        <v>85</v>
      </c>
      <c r="J33" s="12" t="s">
        <v>71</v>
      </c>
      <c r="K33" s="12" t="s">
        <v>271</v>
      </c>
      <c r="L33" s="12" t="s">
        <v>263</v>
      </c>
      <c r="M33" s="12" t="s">
        <v>80</v>
      </c>
      <c r="N33" s="12" t="s">
        <v>81</v>
      </c>
      <c r="O33" s="12" t="s">
        <v>81</v>
      </c>
      <c r="P33" s="12" t="s">
        <v>272</v>
      </c>
      <c r="Q33" s="12" t="s">
        <v>83</v>
      </c>
      <c r="R33" s="11"/>
      <c r="S33" s="11"/>
      <c r="T33" s="11"/>
      <c r="U33" s="11"/>
      <c r="V33" s="10">
        <v>0</v>
      </c>
      <c r="W33" s="10">
        <v>16</v>
      </c>
      <c r="X33" s="10">
        <v>16</v>
      </c>
      <c r="Y33" s="10">
        <v>3</v>
      </c>
      <c r="Z33" s="10">
        <v>65.276209541130797</v>
      </c>
      <c r="AA33" s="11"/>
      <c r="AB33" s="11"/>
      <c r="AC33" s="11"/>
      <c r="AD33" s="11"/>
      <c r="AE33" s="11"/>
      <c r="AF33" s="11"/>
      <c r="AG33" s="11"/>
      <c r="AH33" s="10">
        <v>65.266309958184095</v>
      </c>
      <c r="AI33" s="10">
        <v>65.276209541130797</v>
      </c>
      <c r="AJ33" s="10">
        <v>65.276209541130797</v>
      </c>
      <c r="AK33" s="10">
        <v>65.276209541130797</v>
      </c>
      <c r="AL33" s="10">
        <v>2.0475420169532299E-3</v>
      </c>
      <c r="AM33" s="10">
        <v>67.347935166209894</v>
      </c>
      <c r="AN33" s="12" t="s">
        <v>71</v>
      </c>
      <c r="AO33" s="12" t="s">
        <v>271</v>
      </c>
      <c r="AP33" s="12" t="s">
        <v>263</v>
      </c>
      <c r="AQ33" s="12" t="s">
        <v>80</v>
      </c>
      <c r="AR33" s="12" t="s">
        <v>81</v>
      </c>
      <c r="AS33" s="12" t="s">
        <v>81</v>
      </c>
      <c r="AT33" s="12" t="s">
        <v>272</v>
      </c>
      <c r="AU33" s="12" t="s">
        <v>83</v>
      </c>
      <c r="AV33" s="10">
        <v>4</v>
      </c>
      <c r="AW33" s="10">
        <v>1</v>
      </c>
      <c r="AX33" s="12" t="s">
        <v>231</v>
      </c>
      <c r="AY33" s="12" t="s">
        <v>57</v>
      </c>
      <c r="AZ33" s="11"/>
      <c r="BA33" s="12" t="s">
        <v>58</v>
      </c>
      <c r="BB33" s="10">
        <v>117.17079412320599</v>
      </c>
      <c r="BC33" s="12" t="s">
        <v>232</v>
      </c>
      <c r="BD33" s="11"/>
    </row>
    <row r="34" spans="1:56" x14ac:dyDescent="0.15">
      <c r="A34" s="13"/>
      <c r="B34" s="9">
        <v>17</v>
      </c>
      <c r="C34" s="10">
        <v>17</v>
      </c>
      <c r="D34" s="10">
        <v>0</v>
      </c>
      <c r="E34" s="11"/>
      <c r="F34" s="11"/>
      <c r="G34" s="12" t="s">
        <v>84</v>
      </c>
      <c r="H34" s="12" t="s">
        <v>63</v>
      </c>
      <c r="I34" s="12" t="s">
        <v>85</v>
      </c>
      <c r="J34" s="12" t="s">
        <v>63</v>
      </c>
      <c r="K34" s="12" t="s">
        <v>273</v>
      </c>
      <c r="L34" s="12" t="s">
        <v>143</v>
      </c>
      <c r="M34" s="12" t="s">
        <v>80</v>
      </c>
      <c r="N34" s="12" t="s">
        <v>81</v>
      </c>
      <c r="O34" s="12" t="s">
        <v>81</v>
      </c>
      <c r="P34" s="12" t="s">
        <v>274</v>
      </c>
      <c r="Q34" s="12" t="s">
        <v>83</v>
      </c>
      <c r="R34" s="11"/>
      <c r="S34" s="11"/>
      <c r="T34" s="11"/>
      <c r="U34" s="11"/>
      <c r="V34" s="10">
        <v>0</v>
      </c>
      <c r="W34" s="10">
        <v>17</v>
      </c>
      <c r="X34" s="10">
        <v>17</v>
      </c>
      <c r="Y34" s="10">
        <v>9</v>
      </c>
      <c r="Z34" s="10">
        <v>67.360139833064807</v>
      </c>
      <c r="AA34" s="11"/>
      <c r="AB34" s="11"/>
      <c r="AC34" s="11"/>
      <c r="AD34" s="11"/>
      <c r="AE34" s="11"/>
      <c r="AF34" s="11"/>
      <c r="AG34" s="11"/>
      <c r="AH34" s="10">
        <v>67.3501311661676</v>
      </c>
      <c r="AI34" s="10">
        <v>67.360139833064807</v>
      </c>
      <c r="AJ34" s="10">
        <v>67.360139833064807</v>
      </c>
      <c r="AK34" s="10">
        <v>67.360139833064807</v>
      </c>
      <c r="AL34" s="10">
        <v>2.09200009703636E-3</v>
      </c>
      <c r="AM34" s="10">
        <v>72.884348666062607</v>
      </c>
      <c r="AN34" s="12" t="s">
        <v>63</v>
      </c>
      <c r="AO34" s="12" t="s">
        <v>273</v>
      </c>
      <c r="AP34" s="12" t="s">
        <v>143</v>
      </c>
      <c r="AQ34" s="12" t="s">
        <v>80</v>
      </c>
      <c r="AR34" s="12" t="s">
        <v>81</v>
      </c>
      <c r="AS34" s="12" t="s">
        <v>81</v>
      </c>
      <c r="AT34" s="12" t="s">
        <v>274</v>
      </c>
      <c r="AU34" s="12" t="s">
        <v>83</v>
      </c>
      <c r="AV34" s="10">
        <v>4</v>
      </c>
      <c r="AW34" s="10">
        <v>1</v>
      </c>
      <c r="AX34" s="12" t="s">
        <v>231</v>
      </c>
      <c r="AY34" s="12" t="s">
        <v>57</v>
      </c>
      <c r="AZ34" s="11"/>
      <c r="BA34" s="12" t="s">
        <v>58</v>
      </c>
      <c r="BB34" s="10">
        <v>117.17079412320599</v>
      </c>
      <c r="BC34" s="12" t="s">
        <v>232</v>
      </c>
      <c r="BD34" s="11"/>
    </row>
    <row r="35" spans="1:56" x14ac:dyDescent="0.15">
      <c r="A35" s="13"/>
      <c r="B35" s="9">
        <v>18</v>
      </c>
      <c r="C35" s="10">
        <v>18</v>
      </c>
      <c r="D35" s="10">
        <v>0</v>
      </c>
      <c r="E35" s="11"/>
      <c r="F35" s="11"/>
      <c r="G35" s="12" t="s">
        <v>174</v>
      </c>
      <c r="H35" s="12" t="s">
        <v>175</v>
      </c>
      <c r="I35" s="12" t="s">
        <v>76</v>
      </c>
      <c r="J35" s="12" t="s">
        <v>176</v>
      </c>
      <c r="K35" s="12" t="s">
        <v>191</v>
      </c>
      <c r="L35" s="12" t="s">
        <v>109</v>
      </c>
      <c r="M35" s="12" t="s">
        <v>80</v>
      </c>
      <c r="N35" s="12" t="s">
        <v>81</v>
      </c>
      <c r="O35" s="12" t="s">
        <v>81</v>
      </c>
      <c r="P35" s="12" t="s">
        <v>275</v>
      </c>
      <c r="Q35" s="12" t="s">
        <v>83</v>
      </c>
      <c r="R35" s="11"/>
      <c r="S35" s="11"/>
      <c r="T35" s="11"/>
      <c r="U35" s="11"/>
      <c r="V35" s="10">
        <v>0</v>
      </c>
      <c r="W35" s="10">
        <v>18</v>
      </c>
      <c r="X35" s="10">
        <v>18</v>
      </c>
      <c r="Y35" s="10">
        <v>16</v>
      </c>
      <c r="Z35" s="10">
        <v>72.899621041025995</v>
      </c>
      <c r="AA35" s="11"/>
      <c r="AB35" s="11"/>
      <c r="AC35" s="11"/>
      <c r="AD35" s="11"/>
      <c r="AE35" s="11"/>
      <c r="AF35" s="11"/>
      <c r="AG35" s="11"/>
      <c r="AH35" s="10">
        <v>72.887379000196205</v>
      </c>
      <c r="AI35" s="10">
        <v>72.899621041025995</v>
      </c>
      <c r="AJ35" s="10">
        <v>72.899621041025995</v>
      </c>
      <c r="AK35" s="10">
        <v>72.899621041025995</v>
      </c>
      <c r="AL35" s="10">
        <v>2.8654579073190702E-3</v>
      </c>
      <c r="AM35" s="10">
        <v>75.223252166062593</v>
      </c>
      <c r="AN35" s="12" t="s">
        <v>176</v>
      </c>
      <c r="AO35" s="12" t="s">
        <v>191</v>
      </c>
      <c r="AP35" s="12" t="s">
        <v>109</v>
      </c>
      <c r="AQ35" s="12" t="s">
        <v>80</v>
      </c>
      <c r="AR35" s="12" t="s">
        <v>81</v>
      </c>
      <c r="AS35" s="12" t="s">
        <v>81</v>
      </c>
      <c r="AT35" s="12" t="s">
        <v>275</v>
      </c>
      <c r="AU35" s="12" t="s">
        <v>83</v>
      </c>
      <c r="AV35" s="10">
        <v>4</v>
      </c>
      <c r="AW35" s="10">
        <v>1</v>
      </c>
      <c r="AX35" s="12" t="s">
        <v>231</v>
      </c>
      <c r="AY35" s="12" t="s">
        <v>57</v>
      </c>
      <c r="AZ35" s="11"/>
      <c r="BA35" s="12" t="s">
        <v>58</v>
      </c>
      <c r="BB35" s="10">
        <v>117.17079412320599</v>
      </c>
      <c r="BC35" s="12" t="s">
        <v>232</v>
      </c>
      <c r="BD35" s="11"/>
    </row>
    <row r="36" spans="1:56" x14ac:dyDescent="0.15">
      <c r="A36" s="13"/>
      <c r="B36" s="9">
        <v>19</v>
      </c>
      <c r="C36" s="10">
        <v>19</v>
      </c>
      <c r="D36" s="10">
        <v>0</v>
      </c>
      <c r="E36" s="11"/>
      <c r="F36" s="11"/>
      <c r="G36" s="12" t="s">
        <v>145</v>
      </c>
      <c r="H36" s="12" t="s">
        <v>72</v>
      </c>
      <c r="I36" s="12" t="s">
        <v>85</v>
      </c>
      <c r="J36" s="12" t="s">
        <v>72</v>
      </c>
      <c r="K36" s="12" t="s">
        <v>276</v>
      </c>
      <c r="L36" s="12" t="s">
        <v>241</v>
      </c>
      <c r="M36" s="12" t="s">
        <v>80</v>
      </c>
      <c r="N36" s="12" t="s">
        <v>81</v>
      </c>
      <c r="O36" s="12" t="s">
        <v>81</v>
      </c>
      <c r="P36" s="12" t="s">
        <v>277</v>
      </c>
      <c r="Q36" s="12" t="s">
        <v>83</v>
      </c>
      <c r="R36" s="11"/>
      <c r="S36" s="11"/>
      <c r="T36" s="11"/>
      <c r="U36" s="11"/>
      <c r="V36" s="10">
        <v>0</v>
      </c>
      <c r="W36" s="10">
        <v>19</v>
      </c>
      <c r="X36" s="10">
        <v>19</v>
      </c>
      <c r="Y36" s="10">
        <v>7</v>
      </c>
      <c r="Z36" s="10">
        <v>75.237435458228006</v>
      </c>
      <c r="AA36" s="11"/>
      <c r="AB36" s="11"/>
      <c r="AC36" s="11"/>
      <c r="AD36" s="11"/>
      <c r="AE36" s="11"/>
      <c r="AF36" s="11"/>
      <c r="AG36" s="11"/>
      <c r="AH36" s="10">
        <v>75.225849458016498</v>
      </c>
      <c r="AI36" s="10">
        <v>75.237435458228006</v>
      </c>
      <c r="AJ36" s="10">
        <v>75.237435458228006</v>
      </c>
      <c r="AK36" s="10">
        <v>75.237435458228006</v>
      </c>
      <c r="AL36" s="10">
        <v>2.4817909579724099E-3</v>
      </c>
      <c r="AM36" s="10">
        <v>77.814046333078295</v>
      </c>
      <c r="AN36" s="12" t="s">
        <v>72</v>
      </c>
      <c r="AO36" s="12" t="s">
        <v>276</v>
      </c>
      <c r="AP36" s="12" t="s">
        <v>241</v>
      </c>
      <c r="AQ36" s="12" t="s">
        <v>80</v>
      </c>
      <c r="AR36" s="12" t="s">
        <v>81</v>
      </c>
      <c r="AS36" s="12" t="s">
        <v>81</v>
      </c>
      <c r="AT36" s="12" t="s">
        <v>277</v>
      </c>
      <c r="AU36" s="12" t="s">
        <v>83</v>
      </c>
      <c r="AV36" s="10">
        <v>4</v>
      </c>
      <c r="AW36" s="10">
        <v>1</v>
      </c>
      <c r="AX36" s="12" t="s">
        <v>231</v>
      </c>
      <c r="AY36" s="12" t="s">
        <v>57</v>
      </c>
      <c r="AZ36" s="11"/>
      <c r="BA36" s="12" t="s">
        <v>58</v>
      </c>
      <c r="BB36" s="10">
        <v>117.17079412320599</v>
      </c>
      <c r="BC36" s="12" t="s">
        <v>232</v>
      </c>
      <c r="BD36" s="11"/>
    </row>
    <row r="39" spans="1:56" x14ac:dyDescent="0.15">
      <c r="G39" s="14" t="s">
        <v>278</v>
      </c>
      <c r="H39" s="15">
        <v>13</v>
      </c>
      <c r="I39" s="15">
        <f>13/15</f>
        <v>0.8666666666666667</v>
      </c>
    </row>
    <row r="40" spans="1:56" ht="14" x14ac:dyDescent="0.15">
      <c r="G40" s="15" t="s">
        <v>279</v>
      </c>
      <c r="H40" s="15">
        <v>5</v>
      </c>
      <c r="I40" s="15">
        <f>5/5</f>
        <v>1</v>
      </c>
    </row>
    <row r="41" spans="1:56" x14ac:dyDescent="0.15">
      <c r="G41" s="15"/>
      <c r="H41" s="15"/>
      <c r="I41" s="15"/>
    </row>
    <row r="42" spans="1:56" ht="14" x14ac:dyDescent="0.15">
      <c r="G42" s="16" t="s">
        <v>319</v>
      </c>
      <c r="H42" s="15"/>
      <c r="I42" s="15">
        <f>I39-I40</f>
        <v>-0.1333333333333333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 data</vt:lpstr>
      <vt:lpstr>Participant 2 data</vt:lpstr>
      <vt:lpstr>Participant 3 data</vt:lpstr>
      <vt:lpstr>Participant 4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Prisha Jain</cp:lastModifiedBy>
  <dcterms:created xsi:type="dcterms:W3CDTF">2025-10-16T07:03:24Z</dcterms:created>
  <dcterms:modified xsi:type="dcterms:W3CDTF">2025-10-16T09:05:06Z</dcterms:modified>
</cp:coreProperties>
</file>